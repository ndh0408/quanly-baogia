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820" windowHeight="15500"/>
  </bookViews>
  <sheets>
    <sheet sheetId="21" name="Quotation" state="visible" r:id="rId4"/>
  </sheets>
  <calcPr calcId="171027"/>
</workbook>
</file>

<file path=xl/sharedStrings.xml><?xml version="1.0" encoding="utf-8"?>
<sst xmlns="http://schemas.openxmlformats.org/spreadsheetml/2006/main" count="56" uniqueCount="48">
  <si>
    <t xml:space="preserve">To: </t>
  </si>
  <si>
    <t>Unibenfood</t>
  </si>
  <si>
    <t>From:</t>
  </si>
  <si>
    <t>Ms. Thi</t>
  </si>
  <si>
    <t>Ms. Hồng _ Account Mannager</t>
  </si>
  <si>
    <t>Tel:</t>
  </si>
  <si>
    <t>0914.2919.51</t>
  </si>
  <si>
    <t>Add:</t>
  </si>
  <si>
    <t>34 Đào Trí, Phường Phú Thuận, Q7</t>
  </si>
  <si>
    <t>TP. Hồ Chí Minh, ngày 20 tháng 05 năm 2026</t>
  </si>
  <si>
    <t>BẢNG BÁO GIÁ  - Sampling PG Inline  - Emart  _ Quotation</t>
  </si>
  <si>
    <t>Chân thành cảm ơn Quí khách hàng đã quan tâm đến dịch vụ của công ty Gia Nguyễn</t>
  </si>
  <si>
    <t>Chúng tôi xin gởi bảng báo giá theo yêu cầu như sau:</t>
  </si>
  <si>
    <t>STT</t>
  </si>
  <si>
    <t>Hạng Mục</t>
  </si>
  <si>
    <t>ĐVT</t>
  </si>
  <si>
    <t>Số Lượng</t>
  </si>
  <si>
    <t>Số Ngày</t>
  </si>
  <si>
    <t>Đơn Giá</t>
  </si>
  <si>
    <t>Thành Tiền</t>
  </si>
  <si>
    <t>Ghi Chú</t>
  </si>
  <si>
    <t xml:space="preserve">1. Dự án: Sampling PG inline
2. Thời gian: 15.6 – 28.6.2026 (7am – 10.30pm)
3. Địa điểm: Emart Phan Văn Trị, Gò Vấp
4. Mô tả công việc tổng quát:
- Thiết kế đồng phục, booth, merchandise…
- Vận hành dự án Sampling PG inline
- Sampling sản phẩm BONCHA tới khách hàng
- Mời khách hàng mua BONCHA Yuzu tại Emart
5. Số lượng nhân sự: 2 (PG)</t>
  </si>
  <si>
    <t>Nhân sự : (08:30 - 21:00)</t>
  </si>
  <si>
    <r>
      <t xml:space="preserve">2 PG/ 1 ca x 2 ca /1 ngày
</t>
    </r>
    <r>
      <rPr>
        <i/>
        <family val="1"/>
        <sz val="11"/>
        <rFont val="Times New Roman"/>
      </rPr>
      <t>Phát sampling, tại line ngành hàng</t>
    </r>
  </si>
  <si>
    <t>người</t>
  </si>
  <si>
    <r>
      <t xml:space="preserve">1 SUP
</t>
    </r>
    <r>
      <rPr>
        <i/>
        <family val="1"/>
        <sz val="11"/>
        <rFont val="Times New Roman"/>
      </rPr>
      <t>Chụp report, Quản lý nhân sự, fill sampling</t>
    </r>
  </si>
  <si>
    <r>
      <t xml:space="preserve">Đồng phục nhân sự: </t>
    </r>
    <r>
      <rPr>
        <color indexed="10"/>
        <family val="1"/>
        <sz val="11"/>
        <rFont val="Times New Roman"/>
      </rPr>
      <t xml:space="preserve">áo thun in tên nhãn hàng, quần dài như hình </t>
    </r>
  </si>
  <si>
    <t>bộ</t>
  </si>
  <si>
    <t>f</t>
  </si>
  <si>
    <t>Chi phí khác</t>
  </si>
  <si>
    <t>Booth</t>
  </si>
  <si>
    <t>Khay đựng sampling</t>
  </si>
  <si>
    <t>cái</t>
  </si>
  <si>
    <t xml:space="preserve">Lý giấy: (75ml) -  1000 cái /ngày </t>
  </si>
  <si>
    <t>Thùng đá</t>
  </si>
  <si>
    <t>Đá lạnh mỗi ngày</t>
  </si>
  <si>
    <t>gói</t>
  </si>
  <si>
    <t>Thùng rác, túi rác, găn tay nilong, phụ kiện vệ sinh</t>
  </si>
  <si>
    <t>Vận chuyển hàng sampling đến Emart</t>
  </si>
  <si>
    <t>chuyến</t>
  </si>
  <si>
    <t>* Lấy hàng tại Emart</t>
  </si>
  <si>
    <t>Phí quản lý</t>
  </si>
  <si>
    <t xml:space="preserve"> Tổng</t>
  </si>
  <si>
    <t>VAT 8%</t>
  </si>
  <si>
    <t>Thành tiền</t>
  </si>
  <si>
    <t>.Rất mong nhận được sự phúc đáp sớm từ Quí công ty</t>
  </si>
  <si>
    <t>Trân trọng kính chào</t>
  </si>
  <si>
    <t>Ý Kiến Khách Hàng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</si>
</sst>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(* #,##0.00_);_(* (#,##0.00);_(* &quot;-&quot;??_);_(@_)"/>
    <numFmt numFmtId="165" formatCode="_(* #,##0_);_(* (#,##0);_(* &quot;-&quot;??_);_(@_)"/>
  </numFmts>
  <fonts count="16" x14ac:knownFonts="1">
    <font>
      <color theme="1"/>
      <family val="2"/>
      <scheme val="minor"/>
      <sz val="11"/>
      <name val="Calibri"/>
    </font>
    <font>
      <family val="1"/>
      <sz val="10"/>
      <name val="Times New Roman"/>
    </font>
    <font>
      <family val="1"/>
      <sz val="11"/>
      <name val="Times New Roman"/>
    </font>
    <font>
      <i/>
      <family val="1"/>
      <sz val="11"/>
      <name val="Times New Roman"/>
    </font>
    <font>
      <b/>
      <color rgb="FF00B050"/>
      <family val="1"/>
      <sz val="11"/>
      <name val="Times New Roman"/>
    </font>
    <font>
      <b/>
      <color indexed="10"/>
      <family val="1"/>
      <sz val="11"/>
      <name val="Times New Roman"/>
    </font>
    <font>
      <i/>
      <family val="1"/>
      <sz val="10"/>
      <name val="Times New Roman"/>
    </font>
    <font>
      <b/>
      <family val="1"/>
      <sz val="14"/>
      <name val="Times New Roman"/>
    </font>
    <font>
      <b/>
      <color rgb="FFFF0000"/>
      <family val="1"/>
      <sz val="10"/>
      <name val="Times New Roman"/>
    </font>
    <font>
      <b/>
      <family val="1"/>
      <sz val="11"/>
      <name val="Times New Roman"/>
    </font>
    <font>
      <family val="2"/>
      <sz val="10"/>
      <name val="Arial"/>
    </font>
    <font>
      <b/>
      <color theme="1"/>
      <family val="1"/>
      <sz val="11"/>
      <name val="Times New Roman"/>
    </font>
    <font>
      <b/>
      <color indexed="8"/>
      <family val="1"/>
      <sz val="11"/>
      <name val="Times New Roman"/>
    </font>
    <font>
      <b/>
      <color theme="1"/>
      <family val="2"/>
      <sz val="11"/>
      <name val="Arial"/>
    </font>
    <font>
      <color rgb="FFFF0000"/>
      <family val="1"/>
      <sz val="11"/>
      <name val="Times New Roman"/>
    </font>
    <font>
      <color theme="1"/>
      <family val="1"/>
      <sz val="11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7999816888943144"/>
        <bgColor rgb="FF000000"/>
      </patternFill>
    </fill>
  </fills>
  <borders count="38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3" fillId="0" borderId="0" xfId="0" applyFont="1" applyAlignment="1">
      <alignment horizontal="right"/>
    </xf>
    <xf numFmtId="0" fontId="4" fillId="0" borderId="0" xfId="0" applyFont="1"/>
    <xf numFmtId="165" fontId="5" fillId="0" borderId="0" xfId="0" applyNumberFormat="1" applyFont="1"/>
    <xf numFmtId="164" fontId="1" fillId="0" borderId="0" xfId="0" applyNumberFormat="1" applyFont="1"/>
    <xf numFmtId="0" fontId="6" fillId="0" borderId="0" xfId="0" applyFont="1" applyAlignment="1">
      <alignment horizontal="right"/>
    </xf>
    <xf numFmtId="165" fontId="1" fillId="0" borderId="0" xfId="0" applyNumberFormat="1" applyFont="1"/>
    <xf numFmtId="0" fontId="1" fillId="0" borderId="0" xfId="0" applyFont="1" applyAlignment="1">
      <alignment horizontal="left"/>
    </xf>
    <xf numFmtId="165" fontId="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center"/>
    </xf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164" fontId="6" fillId="0" borderId="0" xfId="0" applyNumberFormat="1" applyFont="1" applyAlignment="1">
      <alignment horizontal="left"/>
    </xf>
    <xf numFmtId="164" fontId="6" fillId="0" borderId="0" xfId="0" applyNumberFormat="1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1" fillId="0" borderId="1" xfId="0" applyFont="1" applyBorder="1"/>
    <xf numFmtId="0" fontId="8" fillId="0" borderId="1" xfId="0" applyFont="1" applyBorder="1"/>
    <xf numFmtId="0" fontId="9" fillId="2" borderId="2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left" vertical="top" wrapText="1"/>
    </xf>
    <xf numFmtId="0" fontId="3" fillId="3" borderId="10" xfId="0" applyFont="1" applyFill="1" applyBorder="1" applyAlignment="1">
      <alignment horizontal="center"/>
    </xf>
    <xf numFmtId="165" fontId="3" fillId="3" borderId="9" xfId="0" applyNumberFormat="1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10" fillId="0" borderId="0" xfId="0" applyFont="1" applyAlignment="1">
      <alignment vertical="center"/>
    </xf>
    <xf numFmtId="0" fontId="11" fillId="3" borderId="12" xfId="0" applyFont="1" applyFill="1" applyBorder="1" applyAlignment="1">
      <alignment horizontal="center" vertical="center"/>
    </xf>
    <xf numFmtId="0" fontId="12" fillId="3" borderId="13" xfId="0" applyFont="1" applyFill="1" applyBorder="1" applyAlignment="1">
      <alignment horizontal="left" vertical="center" wrapText="1"/>
    </xf>
    <xf numFmtId="0" fontId="11" fillId="3" borderId="14" xfId="0" applyFont="1" applyFill="1" applyBorder="1" applyAlignment="1">
      <alignment horizontal="center" vertical="center" wrapText="1"/>
    </xf>
    <xf numFmtId="165" fontId="11" fillId="3" borderId="14" xfId="0" applyNumberFormat="1" applyFont="1" applyFill="1" applyBorder="1" applyAlignment="1">
      <alignment horizontal="center" vertical="center" wrapText="1"/>
    </xf>
    <xf numFmtId="165" fontId="11" fillId="3" borderId="15" xfId="0" applyNumberFormat="1" applyFont="1" applyFill="1" applyBorder="1" applyAlignment="1">
      <alignment vertical="center" wrapText="1"/>
    </xf>
    <xf numFmtId="165" fontId="13" fillId="3" borderId="13" xfId="0" applyNumberFormat="1" applyFont="1" applyFill="1" applyBorder="1" applyAlignment="1">
      <alignment vertical="center"/>
    </xf>
    <xf numFmtId="165" fontId="13" fillId="3" borderId="16" xfId="0" applyNumberFormat="1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vertical="center" wrapText="1"/>
    </xf>
    <xf numFmtId="0" fontId="2" fillId="0" borderId="18" xfId="0" applyFont="1" applyBorder="1" applyAlignment="1">
      <alignment horizontal="center" vertical="center"/>
    </xf>
    <xf numFmtId="165" fontId="2" fillId="0" borderId="18" xfId="0" applyNumberFormat="1" applyFont="1" applyBorder="1" applyAlignment="1">
      <alignment horizontal="center" vertical="center"/>
    </xf>
    <xf numFmtId="165" fontId="2" fillId="0" borderId="18" xfId="0" applyNumberFormat="1" applyFont="1" applyBorder="1" applyAlignment="1">
      <alignment horizontal="right" vertical="center"/>
    </xf>
    <xf numFmtId="165" fontId="2" fillId="0" borderId="19" xfId="0" applyNumberFormat="1" applyFont="1" applyBorder="1" applyAlignment="1">
      <alignment horizontal="right" vertical="center"/>
    </xf>
    <xf numFmtId="165" fontId="2" fillId="0" borderId="20" xfId="0" applyNumberFormat="1" applyFont="1" applyBorder="1" applyAlignment="1">
      <alignment horizontal="right" vertical="center"/>
    </xf>
    <xf numFmtId="0" fontId="2" fillId="0" borderId="21" xfId="0" applyFont="1" applyBorder="1" applyAlignment="1">
      <alignment vertical="center" wrapText="1"/>
    </xf>
    <xf numFmtId="165" fontId="14" fillId="0" borderId="18" xfId="0" applyNumberFormat="1" applyFont="1" applyBorder="1" applyAlignment="1">
      <alignment horizontal="right" vertical="center"/>
    </xf>
    <xf numFmtId="0" fontId="11" fillId="3" borderId="22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left" vertical="center" wrapText="1"/>
    </xf>
    <xf numFmtId="0" fontId="11" fillId="3" borderId="3" xfId="0" applyFont="1" applyFill="1" applyBorder="1" applyAlignment="1">
      <alignment horizontal="center" vertical="center" wrapText="1"/>
    </xf>
    <xf numFmtId="164" fontId="11" fillId="3" borderId="3" xfId="0" applyNumberFormat="1" applyFont="1" applyFill="1" applyBorder="1" applyAlignment="1">
      <alignment horizontal="center" vertical="center" wrapText="1"/>
    </xf>
    <xf numFmtId="165" fontId="11" fillId="3" borderId="23" xfId="0" applyNumberFormat="1" applyFont="1" applyFill="1" applyBorder="1" applyAlignment="1">
      <alignment vertical="center" wrapText="1"/>
    </xf>
    <xf numFmtId="165" fontId="13" fillId="3" borderId="3" xfId="0" applyNumberFormat="1" applyFont="1" applyFill="1" applyBorder="1" applyAlignment="1">
      <alignment vertical="center"/>
    </xf>
    <xf numFmtId="165" fontId="13" fillId="3" borderId="24" xfId="0" applyNumberFormat="1" applyFont="1" applyFill="1" applyBorder="1" applyAlignment="1">
      <alignment vertical="center"/>
    </xf>
    <xf numFmtId="165" fontId="10" fillId="0" borderId="0" xfId="0" applyNumberFormat="1" applyFont="1"/>
    <xf numFmtId="165" fontId="2" fillId="0" borderId="20" xfId="0" applyNumberFormat="1" applyFont="1" applyBorder="1" applyAlignment="1">
      <alignment horizontal="left" vertical="center"/>
    </xf>
    <xf numFmtId="0" fontId="2" fillId="0" borderId="25" xfId="0" applyFont="1" applyBorder="1" applyAlignment="1">
      <alignment horizontal="center" vertical="center" wrapText="1"/>
    </xf>
    <xf numFmtId="0" fontId="2" fillId="0" borderId="26" xfId="0" applyFont="1" applyBorder="1" applyAlignment="1">
      <alignment vertical="center" wrapText="1"/>
    </xf>
    <xf numFmtId="0" fontId="2" fillId="0" borderId="26" xfId="0" applyFont="1" applyBorder="1" applyAlignment="1">
      <alignment horizontal="center" vertical="center"/>
    </xf>
    <xf numFmtId="164" fontId="2" fillId="0" borderId="26" xfId="0" applyNumberFormat="1" applyFont="1" applyBorder="1" applyAlignment="1">
      <alignment horizontal="center" vertical="center"/>
    </xf>
    <xf numFmtId="165" fontId="2" fillId="0" borderId="26" xfId="0" applyNumberFormat="1" applyFont="1" applyBorder="1" applyAlignment="1">
      <alignment horizontal="right" vertical="center"/>
    </xf>
    <xf numFmtId="165" fontId="15" fillId="0" borderId="27" xfId="0" applyNumberFormat="1" applyFont="1" applyBorder="1" applyAlignment="1">
      <alignment horizontal="right" vertical="center"/>
    </xf>
    <xf numFmtId="165" fontId="15" fillId="0" borderId="28" xfId="0" applyNumberFormat="1" applyFont="1" applyBorder="1" applyAlignment="1">
      <alignment horizontal="right" vertical="center"/>
    </xf>
    <xf numFmtId="165" fontId="9" fillId="4" borderId="22" xfId="0" applyNumberFormat="1" applyFont="1" applyFill="1" applyBorder="1" applyAlignment="1">
      <alignment horizontal="center" vertical="center"/>
    </xf>
    <xf numFmtId="165" fontId="9" fillId="4" borderId="29" xfId="0" applyNumberFormat="1" applyFont="1" applyFill="1" applyBorder="1" applyAlignment="1">
      <alignment horizontal="center" vertical="center"/>
    </xf>
    <xf numFmtId="165" fontId="9" fillId="4" borderId="30" xfId="0" applyNumberFormat="1" applyFont="1" applyFill="1" applyBorder="1" applyAlignment="1">
      <alignment horizontal="center" vertical="center"/>
    </xf>
    <xf numFmtId="165" fontId="9" fillId="3" borderId="24" xfId="0" applyNumberFormat="1" applyFont="1" applyFill="1" applyBorder="1" applyAlignment="1">
      <alignment vertical="center"/>
    </xf>
    <xf numFmtId="165" fontId="9" fillId="4" borderId="31" xfId="0" applyNumberFormat="1" applyFont="1" applyFill="1" applyBorder="1" applyAlignment="1">
      <alignment horizontal="center" vertical="center"/>
    </xf>
    <xf numFmtId="165" fontId="9" fillId="4" borderId="32" xfId="0" applyNumberFormat="1" applyFont="1" applyFill="1" applyBorder="1" applyAlignment="1">
      <alignment horizontal="center" vertical="center"/>
    </xf>
    <xf numFmtId="165" fontId="9" fillId="4" borderId="33" xfId="0" applyNumberFormat="1" applyFont="1" applyFill="1" applyBorder="1" applyAlignment="1">
      <alignment horizontal="center" vertical="center"/>
    </xf>
    <xf numFmtId="165" fontId="9" fillId="3" borderId="20" xfId="0" applyNumberFormat="1" applyFont="1" applyFill="1" applyBorder="1" applyAlignment="1">
      <alignment vertical="center"/>
    </xf>
    <xf numFmtId="165" fontId="9" fillId="4" borderId="34" xfId="0" applyNumberFormat="1" applyFont="1" applyFill="1" applyBorder="1" applyAlignment="1">
      <alignment horizontal="center" vertical="center"/>
    </xf>
    <xf numFmtId="165" fontId="9" fillId="4" borderId="35" xfId="0" applyNumberFormat="1" applyFont="1" applyFill="1" applyBorder="1" applyAlignment="1">
      <alignment horizontal="center" vertical="center"/>
    </xf>
    <xf numFmtId="165" fontId="9" fillId="4" borderId="36" xfId="0" applyNumberFormat="1" applyFont="1" applyFill="1" applyBorder="1" applyAlignment="1">
      <alignment horizontal="center" vertical="center"/>
    </xf>
    <xf numFmtId="165" fontId="9" fillId="3" borderId="37" xfId="0" applyNumberFormat="1" applyFont="1" applyFill="1" applyBorder="1" applyAlignment="1">
      <alignment vertical="center"/>
    </xf>
    <xf numFmtId="165" fontId="2" fillId="0" borderId="0" xfId="0" applyNumberFormat="1" applyFont="1" applyAlignment="1">
      <alignment horizontal="center" wrapText="1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57150</xdr:colOff>
      <xdr:row>0</xdr:row>
      <xdr:rowOff>114300</xdr:rowOff>
    </xdr:from>
    <xdr:to>
      <xdr:col>5</xdr:col>
      <xdr:colOff>444500</xdr:colOff>
      <xdr:row>0</xdr:row>
      <xdr:rowOff>342900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8</xdr:col>
      <xdr:colOff>330200</xdr:colOff>
      <xdr:row>10</xdr:row>
      <xdr:rowOff>25400</xdr:rowOff>
    </xdr:from>
    <xdr:to>
      <xdr:col>8</xdr:col>
      <xdr:colOff>1638300</xdr:colOff>
      <xdr:row>17</xdr:row>
      <xdr:rowOff>88900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5"/>
  <sheetViews>
    <sheetView workbookViewId="0" showGridLines="0" zoomScale="80" zoomScaleNormal="80">
      <selection activeCell="L17" sqref="L17"/>
    </sheetView>
  </sheetViews>
  <sheetFormatPr defaultRowHeight="13" outlineLevelRow="0" outlineLevelCol="0" x14ac:dyDescent="0.3" defaultColWidth="8.81640625" customHeight="1"/>
  <cols>
    <col min="1" max="1" width="3" style="1" customWidth="1"/>
    <col min="2" max="2" width="5.453125" style="1" customWidth="1"/>
    <col min="3" max="3" width="50.6328125" style="1" customWidth="1"/>
    <col min="4" max="4" width="8.6328125" style="1" customWidth="1"/>
    <col min="5" max="6" width="12" style="1" customWidth="1"/>
    <col min="7" max="7" width="13.81640625" style="1" customWidth="1"/>
    <col min="8" max="8" width="15" style="1" customWidth="1"/>
    <col min="9" max="10" width="28.1796875" style="1" customWidth="1"/>
    <col min="11" max="16384" width="8.81640625" style="1" customWidth="1"/>
  </cols>
  <sheetData>
    <row r="1" ht="28" customHeight="1" spans="2:7" s="2" customFormat="1" x14ac:dyDescent="0.25">
      <c r="B1" s="3" t="s">
        <v>0</v>
      </c>
      <c r="C1" s="4" t="s">
        <v>1</v>
      </c>
      <c r="D1" s="3" t="s">
        <v>2</v>
      </c>
      <c r="E1" s="5"/>
      <c r="F1" s="5"/>
      <c r="G1" s="5"/>
    </row>
    <row r="2" spans="2:7" s="6" customFormat="1" x14ac:dyDescent="0.25">
      <c r="B2" s="7"/>
      <c r="C2" s="1" t="s">
        <v>3</v>
      </c>
      <c r="D2" s="7"/>
      <c r="E2" s="8" t="s">
        <v>4</v>
      </c>
      <c r="F2" s="8"/>
      <c r="G2" s="1"/>
    </row>
    <row r="3" spans="2:7" s="6" customFormat="1" x14ac:dyDescent="0.25">
      <c r="B3" s="7" t="s">
        <v>5</v>
      </c>
      <c r="C3" s="9"/>
      <c r="D3" s="7" t="s">
        <v>5</v>
      </c>
      <c r="E3" s="10" t="s">
        <v>6</v>
      </c>
      <c r="F3" s="10"/>
      <c r="G3" s="9"/>
    </row>
    <row r="4" spans="2:7" s="6" customFormat="1" x14ac:dyDescent="0.25">
      <c r="B4" s="7" t="s">
        <v>7</v>
      </c>
      <c r="C4" s="1"/>
      <c r="D4" s="7" t="s">
        <v>7</v>
      </c>
      <c r="E4" s="8" t="s">
        <v>8</v>
      </c>
      <c r="F4" s="8"/>
      <c r="G4" s="1"/>
    </row>
    <row r="5" spans="2:10" s="6" customFormat="1" x14ac:dyDescent="0.25">
      <c r="B5" s="11" t="s">
        <v>9</v>
      </c>
      <c r="C5" s="11"/>
      <c r="D5" s="11"/>
      <c r="E5" s="11"/>
      <c r="F5" s="11"/>
      <c r="G5" s="11"/>
      <c r="H5" s="11"/>
      <c r="I5" s="6"/>
      <c r="J5" s="6"/>
    </row>
    <row r="6" ht="20.25" customHeight="1" spans="2:10" s="2" customFormat="1" x14ac:dyDescent="0.25">
      <c r="B6" s="12" t="s">
        <v>10</v>
      </c>
      <c r="C6" s="12"/>
      <c r="D6" s="12"/>
      <c r="E6" s="12"/>
      <c r="F6" s="12"/>
      <c r="G6" s="12"/>
      <c r="H6" s="12"/>
      <c r="I6" s="13"/>
      <c r="J6" s="13"/>
    </row>
    <row r="7" spans="2:9" s="6" customFormat="1" x14ac:dyDescent="0.25">
      <c r="B7" s="14" t="s">
        <v>11</v>
      </c>
      <c r="C7" s="15"/>
      <c r="D7" s="16"/>
      <c r="E7" s="17"/>
      <c r="F7" s="17"/>
      <c r="G7" s="15"/>
      <c r="H7" s="16"/>
      <c r="I7" s="16"/>
    </row>
    <row r="8" spans="2:9" s="6" customFormat="1" x14ac:dyDescent="0.25">
      <c r="B8" s="14" t="s">
        <v>12</v>
      </c>
      <c r="C8" s="15"/>
      <c r="D8" s="16"/>
      <c r="E8" s="17"/>
      <c r="F8" s="17"/>
      <c r="G8" s="15"/>
      <c r="H8" s="16"/>
      <c r="I8" s="16"/>
    </row>
    <row r="9" ht="13.5" customHeight="1" spans="2:9" x14ac:dyDescent="0.25">
      <c r="B9" s="18"/>
      <c r="C9" s="19"/>
      <c r="D9" s="18"/>
      <c r="E9" s="18"/>
      <c r="F9" s="18"/>
      <c r="G9" s="18"/>
      <c r="H9" s="18"/>
      <c r="I9" s="18"/>
    </row>
    <row r="10" ht="14" customHeight="1" spans="2:9" x14ac:dyDescent="0.25">
      <c r="B10" s="20" t="s">
        <v>13</v>
      </c>
      <c r="C10" s="21" t="s">
        <v>14</v>
      </c>
      <c r="D10" s="22" t="s">
        <v>15</v>
      </c>
      <c r="E10" s="23" t="s">
        <v>16</v>
      </c>
      <c r="F10" s="23" t="s">
        <v>17</v>
      </c>
      <c r="G10" s="22" t="s">
        <v>18</v>
      </c>
      <c r="H10" s="23" t="s">
        <v>19</v>
      </c>
      <c r="I10" s="24" t="s">
        <v>20</v>
      </c>
    </row>
    <row r="11" ht="14" customHeight="1" spans="2:9" x14ac:dyDescent="0.25">
      <c r="B11" s="20"/>
      <c r="C11" s="25"/>
      <c r="D11" s="22"/>
      <c r="E11" s="23"/>
      <c r="F11" s="23"/>
      <c r="G11" s="22"/>
      <c r="H11" s="23"/>
      <c r="I11" s="24"/>
    </row>
    <row r="12" ht="126.5" customHeight="1" spans="2:9" x14ac:dyDescent="0.25">
      <c r="B12" s="26"/>
      <c r="C12" s="27" t="s">
        <v>21</v>
      </c>
      <c r="D12" s="28"/>
      <c r="E12" s="29"/>
      <c r="F12" s="29"/>
      <c r="G12" s="28"/>
      <c r="H12" s="30"/>
      <c r="I12" s="31"/>
    </row>
    <row r="13" ht="18" customHeight="1" spans="2:9" s="32" customFormat="1" x14ac:dyDescent="0.25">
      <c r="B13" s="33">
        <v>2</v>
      </c>
      <c r="C13" s="34" t="s">
        <v>22</v>
      </c>
      <c r="D13" s="35"/>
      <c r="E13" s="36"/>
      <c r="F13" s="36"/>
      <c r="G13" s="37"/>
      <c r="H13" s="38"/>
      <c r="I13" s="39"/>
    </row>
    <row r="14" ht="28" customHeight="1" spans="2:9" x14ac:dyDescent="0.25">
      <c r="B14" s="40"/>
      <c r="C14" s="41" t="s">
        <v>23</v>
      </c>
      <c r="D14" s="42" t="s">
        <v>24</v>
      </c>
      <c r="E14" s="43">
        <f>2*2</f>
        <v>4</v>
      </c>
      <c r="F14" s="43">
        <v>14</v>
      </c>
      <c r="G14" s="44">
        <v>320000</v>
      </c>
      <c r="H14" s="45">
        <f>G14*E14*F14</f>
        <v>17920000</v>
      </c>
      <c r="I14" s="46"/>
    </row>
    <row r="15" ht="28" customHeight="1" spans="2:9" x14ac:dyDescent="0.25">
      <c r="B15" s="40"/>
      <c r="C15" s="47" t="s">
        <v>25</v>
      </c>
      <c r="D15" s="42" t="s">
        <v>24</v>
      </c>
      <c r="E15" s="43">
        <v>1</v>
      </c>
      <c r="F15" s="43">
        <f>F14</f>
        <v>14</v>
      </c>
      <c r="G15" s="44">
        <v>400000</v>
      </c>
      <c r="H15" s="45">
        <f>G15*E15*F15</f>
        <v>5600000</v>
      </c>
      <c r="I15" s="46"/>
    </row>
    <row r="16" ht="27" customHeight="1" spans="2:17" x14ac:dyDescent="0.25">
      <c r="B16" s="40"/>
      <c r="C16" s="47" t="s">
        <v>26</v>
      </c>
      <c r="D16" s="42" t="s">
        <v>27</v>
      </c>
      <c r="E16" s="43">
        <v>5</v>
      </c>
      <c r="F16" s="43">
        <v>1</v>
      </c>
      <c r="G16" s="48">
        <v>1350000</v>
      </c>
      <c r="H16" s="45">
        <f>G16*E16*F16</f>
        <v>6750000</v>
      </c>
      <c r="I16" s="46"/>
      <c r="Q16" t="s">
        <v>28</v>
      </c>
    </row>
    <row r="17" ht="19.5" customHeight="1" spans="2:9" s="32" customFormat="1" x14ac:dyDescent="0.25">
      <c r="B17" s="49">
        <v>3</v>
      </c>
      <c r="C17" s="50" t="s">
        <v>29</v>
      </c>
      <c r="D17" s="51"/>
      <c r="E17" s="52"/>
      <c r="F17" s="52"/>
      <c r="G17" s="53"/>
      <c r="H17" s="54"/>
      <c r="I17" s="55"/>
    </row>
    <row r="18" ht="14" customHeight="1" spans="2:10" x14ac:dyDescent="0.25">
      <c r="B18" s="40"/>
      <c r="C18" s="41" t="s">
        <v>30</v>
      </c>
      <c r="D18" s="42" t="s">
        <v>27</v>
      </c>
      <c r="E18" s="43">
        <v>1</v>
      </c>
      <c r="F18" s="43">
        <v>1</v>
      </c>
      <c r="G18" s="44">
        <v>3500000</v>
      </c>
      <c r="H18" s="45">
        <f t="shared" ref="H18:H23" si="0">G18*E18*F18</f>
        <v>3500000</v>
      </c>
      <c r="I18" s="46"/>
      <c r="J18" s="56"/>
    </row>
    <row r="19" ht="14" customHeight="1" spans="2:10" x14ac:dyDescent="0.25">
      <c r="B19" s="40"/>
      <c r="C19" s="41" t="s">
        <v>31</v>
      </c>
      <c r="D19" s="42" t="s">
        <v>32</v>
      </c>
      <c r="E19" s="43">
        <v>1</v>
      </c>
      <c r="F19" s="43">
        <v>1</v>
      </c>
      <c r="G19" s="44">
        <v>400000</v>
      </c>
      <c r="H19" s="45">
        <f t="shared" si="0"/>
        <v>400000</v>
      </c>
      <c r="I19" s="46"/>
      <c r="J19" s="56"/>
    </row>
    <row r="20" ht="14" customHeight="1" spans="2:10" x14ac:dyDescent="0.25">
      <c r="B20" s="40"/>
      <c r="C20" s="41" t="s">
        <v>33</v>
      </c>
      <c r="D20" s="42" t="s">
        <v>32</v>
      </c>
      <c r="E20" s="43">
        <v>1000</v>
      </c>
      <c r="F20" s="43">
        <f>F14</f>
        <v>14</v>
      </c>
      <c r="G20" s="44">
        <v>800</v>
      </c>
      <c r="H20" s="45">
        <f t="shared" si="0"/>
        <v>11200000</v>
      </c>
      <c r="I20" s="46"/>
      <c r="J20" s="56"/>
    </row>
    <row r="21" ht="14" customHeight="1" spans="2:10" x14ac:dyDescent="0.25">
      <c r="B21" s="40"/>
      <c r="C21" s="41" t="s">
        <v>34</v>
      </c>
      <c r="D21" s="42" t="s">
        <v>27</v>
      </c>
      <c r="E21" s="43">
        <v>1</v>
      </c>
      <c r="F21" s="43">
        <v>1</v>
      </c>
      <c r="G21" s="44">
        <v>1500000</v>
      </c>
      <c r="H21" s="45">
        <f t="shared" si="0"/>
        <v>1500000</v>
      </c>
      <c r="I21" s="46"/>
      <c r="J21" s="56"/>
    </row>
    <row r="22" ht="14" customHeight="1" spans="2:10" x14ac:dyDescent="0.25">
      <c r="B22" s="40"/>
      <c r="C22" s="41" t="s">
        <v>35</v>
      </c>
      <c r="D22" s="42" t="s">
        <v>36</v>
      </c>
      <c r="E22" s="43">
        <v>1</v>
      </c>
      <c r="F22" s="43">
        <f>F14</f>
        <v>14</v>
      </c>
      <c r="G22" s="44">
        <v>300000</v>
      </c>
      <c r="H22" s="45">
        <f t="shared" si="0"/>
        <v>4200000</v>
      </c>
      <c r="I22" s="46"/>
      <c r="J22" s="56"/>
    </row>
    <row r="23" ht="14" customHeight="1" spans="2:10" x14ac:dyDescent="0.25">
      <c r="B23" s="40"/>
      <c r="C23" s="41" t="s">
        <v>37</v>
      </c>
      <c r="D23" s="42" t="s">
        <v>27</v>
      </c>
      <c r="E23" s="43">
        <v>1</v>
      </c>
      <c r="F23" s="43">
        <v>3</v>
      </c>
      <c r="G23" s="44">
        <v>300000</v>
      </c>
      <c r="H23" s="45">
        <f t="shared" si="0"/>
        <v>900000</v>
      </c>
      <c r="I23" s="46"/>
      <c r="J23" s="56"/>
    </row>
    <row r="24" ht="30" customHeight="1" spans="2:9" x14ac:dyDescent="0.25">
      <c r="B24" s="40"/>
      <c r="C24" s="41" t="s">
        <v>38</v>
      </c>
      <c r="D24" s="42" t="s">
        <v>39</v>
      </c>
      <c r="E24" s="43"/>
      <c r="F24" s="43"/>
      <c r="G24" s="44">
        <v>0</v>
      </c>
      <c r="H24" s="45">
        <v>0</v>
      </c>
      <c r="I24" s="57" t="s">
        <v>40</v>
      </c>
    </row>
    <row r="25" ht="18" customHeight="1" spans="2:9" x14ac:dyDescent="0.25">
      <c r="B25" s="58"/>
      <c r="C25" s="59" t="s">
        <v>41</v>
      </c>
      <c r="D25" s="60" t="s">
        <v>27</v>
      </c>
      <c r="E25" s="61">
        <v>1</v>
      </c>
      <c r="F25" s="61"/>
      <c r="G25" s="62">
        <f>ROUND(SUM(H13:H24)*20%,-5)</f>
        <v>10400000</v>
      </c>
      <c r="H25" s="63">
        <f>G25*E25</f>
        <v>10400000</v>
      </c>
      <c r="I25" s="64"/>
    </row>
    <row r="26" ht="19" customHeight="1" spans="2:9" x14ac:dyDescent="0.25">
      <c r="B26" s="65" t="s">
        <v>42</v>
      </c>
      <c r="C26" s="66"/>
      <c r="D26" s="66"/>
      <c r="E26" s="66"/>
      <c r="F26" s="66"/>
      <c r="G26" s="67"/>
      <c r="H26" s="68">
        <f>SUM(H12:H25)</f>
        <v>62370000</v>
      </c>
      <c r="I26" s="2"/>
    </row>
    <row r="27" ht="19" customHeight="1" spans="2:9" x14ac:dyDescent="0.25">
      <c r="B27" s="69" t="s">
        <v>43</v>
      </c>
      <c r="C27" s="70"/>
      <c r="D27" s="70"/>
      <c r="E27" s="70"/>
      <c r="F27" s="70"/>
      <c r="G27" s="71"/>
      <c r="H27" s="72">
        <f>H26*8%</f>
        <v>4989600</v>
      </c>
      <c r="I27" s="2"/>
    </row>
    <row r="28" ht="19" customHeight="1" spans="2:9" x14ac:dyDescent="0.25">
      <c r="B28" s="73" t="s">
        <v>44</v>
      </c>
      <c r="C28" s="74"/>
      <c r="D28" s="74"/>
      <c r="E28" s="74"/>
      <c r="F28" s="74"/>
      <c r="G28" s="75"/>
      <c r="H28" s="76">
        <f>SUM(H26:H27)</f>
        <v>67359600</v>
      </c>
      <c r="I28" s="2"/>
    </row>
    <row r="29" ht="14" customHeight="1" spans="10:10" s="2" customFormat="1" x14ac:dyDescent="0.25">
      <c r="J29" s="77"/>
    </row>
    <row r="30" ht="14" customHeight="1" spans="10:10" s="2" customFormat="1" x14ac:dyDescent="0.25">
      <c r="J30" s="77"/>
    </row>
    <row r="31" ht="14" customHeight="1" spans="3:10" s="2" customFormat="1" x14ac:dyDescent="0.25">
      <c r="C31" s="2" t="s">
        <v>45</v>
      </c>
      <c r="J31" s="77"/>
    </row>
    <row r="32" ht="14" customHeight="1" spans="3:10" s="2" customFormat="1" x14ac:dyDescent="0.25">
      <c r="C32" s="2" t="s">
        <v>46</v>
      </c>
      <c r="J32" s="77"/>
    </row>
    <row r="33" ht="14" customHeight="1" spans="7:10" s="2" customFormat="1" x14ac:dyDescent="0.25">
      <c r="G33" s="78" t="s">
        <v>47</v>
      </c>
      <c r="H33" s="78"/>
      <c r="I33" s="78"/>
      <c r="J33" s="77"/>
    </row>
    <row r="34" ht="14" customHeight="1" spans="5:6" s="2" customFormat="1" x14ac:dyDescent="0.25">
      <c r="E34" s="79"/>
      <c r="F34" s="79"/>
    </row>
    <row r="35" ht="14" customHeight="1" spans="5:6" s="2" customFormat="1" x14ac:dyDescent="0.25">
      <c r="E35" s="79"/>
      <c r="F35" s="79"/>
    </row>
  </sheetData>
  <mergeCells count="13">
    <mergeCell ref="B5:H5"/>
    <mergeCell ref="B6:H6"/>
    <mergeCell ref="B10:B11"/>
    <mergeCell ref="C10:C11"/>
    <mergeCell ref="D10:D11"/>
    <mergeCell ref="E10:E11"/>
    <mergeCell ref="F10:F11"/>
    <mergeCell ref="G10:G11"/>
    <mergeCell ref="H10:H11"/>
    <mergeCell ref="I10:I11"/>
    <mergeCell ref="B26:G26"/>
    <mergeCell ref="B27:G27"/>
    <mergeCell ref="B28:G28"/>
  </mergeCells>
  <pageMargins left="0.25" right="0.25" top="0.75" bottom="0.75" header="0.3" footer="0.3"/>
  <pageSetup paperSize="9" orientation="portrait" horizontalDpi="4294967295" verticalDpi="4294967295" scale="38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Customer</dc:creator>
  <cp:lastModifiedBy>Administrator</cp:lastModifiedBy>
  <cp:lastPrinted>2026-05-21T09:06:50Z</cp:lastPrinted>
  <dcterms:created xsi:type="dcterms:W3CDTF">2000-06-22T04:23:24Z</dcterms:created>
  <dcterms:modified xsi:type="dcterms:W3CDTF">2026-05-28T06:02:19Z</dcterms:modified>
</cp:coreProperties>
</file>