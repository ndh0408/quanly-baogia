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\Desktop\QuanLY\templates\"/>
    </mc:Choice>
  </mc:AlternateContent>
  <xr:revisionPtr revIDLastSave="0" documentId="8_{A03AABCC-A876-4D8A-AE18-1F39CFA879F6}" xr6:coauthVersionLast="47" xr6:coauthVersionMax="47" xr10:uidLastSave="{00000000-0000-0000-0000-000000000000}"/>
  <bookViews>
    <workbookView xWindow="-110" yWindow="-110" windowWidth="25820" windowHeight="15500" xr2:uid="{49C388C4-0D7E-4D23-83E8-BA6ECF513E82}"/>
  </bookViews>
  <sheets>
    <sheet name="Quotation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3" i="21" l="1"/>
  <c r="H21" i="21"/>
  <c r="H19" i="21"/>
  <c r="H18" i="21"/>
  <c r="F20" i="21"/>
  <c r="H20" i="21"/>
  <c r="F22" i="21"/>
  <c r="H22" i="21"/>
  <c r="F15" i="21"/>
  <c r="H16" i="21"/>
  <c r="E14" i="21"/>
  <c r="H14" i="21"/>
  <c r="H15" i="21"/>
  <c r="G25" i="21"/>
  <c r="H25" i="21"/>
  <c r="H26" i="21"/>
  <c r="H27" i="21"/>
  <c r="H28" i="21"/>
</calcChain>
</file>

<file path=xl/sharedStrings.xml><?xml version="1.0" encoding="utf-8"?>
<sst xmlns="http://schemas.openxmlformats.org/spreadsheetml/2006/main" count="62" uniqueCount="53">
  <si>
    <t xml:space="preserve">To: </t>
  </si>
  <si>
    <t>From:</t>
  </si>
  <si>
    <t>Tel:</t>
  </si>
  <si>
    <t>Add:</t>
  </si>
  <si>
    <t>Chân thành cảm ơn Quí khách hàng đã quan tâm đến dịch vụ của công ty Gia Nguyễn</t>
  </si>
  <si>
    <t>Chúng tôi xin gởi bảng báo giá theo yêu cầu như sau:</t>
  </si>
  <si>
    <t>No.</t>
  </si>
  <si>
    <t>Description</t>
  </si>
  <si>
    <t>Unit price</t>
  </si>
  <si>
    <t>Qty. Order</t>
  </si>
  <si>
    <t>Price</t>
  </si>
  <si>
    <t>Amount</t>
  </si>
  <si>
    <t>STT</t>
  </si>
  <si>
    <t xml:space="preserve">ĐVT </t>
  </si>
  <si>
    <t>S.Lg đặt hàng</t>
  </si>
  <si>
    <t>Đơn giá</t>
  </si>
  <si>
    <t>Thành tiền</t>
  </si>
  <si>
    <t>bộ</t>
  </si>
  <si>
    <t>Chi phí khác</t>
  </si>
  <si>
    <t xml:space="preserve"> Tổng</t>
  </si>
  <si>
    <t>.Rất mong nhận được sự phúc đáp sớm từ Quí công ty</t>
  </si>
  <si>
    <t>Trân trọng kính chào</t>
  </si>
  <si>
    <t>Ý Kiến Khách Hàng</t>
  </si>
  <si>
    <t>người</t>
  </si>
  <si>
    <t>chuyến</t>
  </si>
  <si>
    <t>cái</t>
  </si>
  <si>
    <t>BẢNG BÁO GIÁ  - Sampling PG Inline  - Emart  _ Quotation</t>
  </si>
  <si>
    <t>TP. Hồ Chí Minh, ngày 20 tháng 05 năm 2026</t>
  </si>
  <si>
    <t>Unibenfood</t>
  </si>
  <si>
    <t>Ms. Thi</t>
  </si>
  <si>
    <t>Ms. Hồng _ Account Mannager</t>
  </si>
  <si>
    <t>0914.2919.51</t>
  </si>
  <si>
    <t>34 Đào Trí, Phường Phú Thuận, Q7</t>
  </si>
  <si>
    <t>Vận chuyển hàng sampling đến Emart</t>
  </si>
  <si>
    <t>Note</t>
  </si>
  <si>
    <t>Khay đựng sampling</t>
  </si>
  <si>
    <t>Thùng đá</t>
  </si>
  <si>
    <t>S.Lg Ngày</t>
  </si>
  <si>
    <t>Days</t>
  </si>
  <si>
    <r>
      <t xml:space="preserve">2 PG/ 1 ca x 2 ca /1 ngày
</t>
    </r>
    <r>
      <rPr>
        <i/>
        <sz val="11"/>
        <rFont val="Times New Roman"/>
        <family val="1"/>
      </rPr>
      <t>Phát sampling, tại line ngành hàng</t>
    </r>
  </si>
  <si>
    <t>Nhân sự : (08:30 - 21:00)</t>
  </si>
  <si>
    <r>
      <t xml:space="preserve">1 SUP
</t>
    </r>
    <r>
      <rPr>
        <i/>
        <sz val="11"/>
        <rFont val="Times New Roman"/>
        <family val="1"/>
      </rPr>
      <t>Chụp report, Quản lý nhân sự, fill sampling</t>
    </r>
  </si>
  <si>
    <t>Booth</t>
  </si>
  <si>
    <t>Đá lạnh mỗi ngày</t>
  </si>
  <si>
    <t>gói</t>
  </si>
  <si>
    <t>Phí quản lý</t>
  </si>
  <si>
    <t>1. Dự án: Sampling PG inline
2. Thời gian: 15.6 – 28.6.2026 (7am – 10.30pm)
3. Địa điểm: Emart Phan Văn Trị, Gò Vấp
4. Mô tả công việc tổng quát:
- Thiết kế đồng phục, booth, merchandise…
- Vận hành dự án Sampling PG inline
- Sampling sản phẩm BONCHA tới khách hàng
- Mời khách hàng mua BONCHA Yuzu tại Emart
5. Số lượng nhân sự: 2 (PG)</t>
  </si>
  <si>
    <t>VAT 8%</t>
  </si>
  <si>
    <t xml:space="preserve">Lý giấy: (75ml) -  1000 cái /ngày </t>
  </si>
  <si>
    <t>Thùng rác, túi rác, găn tay nilong, phụ kiện vệ sinh</t>
  </si>
  <si>
    <r>
      <t xml:space="preserve">Đồng phục nhân sự: </t>
    </r>
    <r>
      <rPr>
        <sz val="11"/>
        <color indexed="10"/>
        <rFont val="Times New Roman"/>
        <family val="1"/>
      </rPr>
      <t xml:space="preserve">áo thun in tên nhãn hàng, quần dài như hình </t>
    </r>
  </si>
  <si>
    <t>f</t>
  </si>
  <si>
    <t>* Lấy hàng tại Emart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</si>
</sst>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4" formatCode="_(* #,##0_);_(* \(#,##0\);_(* &quot;-&quot;??_);_(@_)"/>
  </numFmts>
  <fonts count="18" x14ac:knownFonts="1">
    <font>
      <sz val="10"/>
      <name val="Arial"/>
      <family val="2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sz val="11"/>
      <color indexed="10"/>
      <name val="Times New Roman"/>
      <family val="1"/>
    </font>
    <font>
      <i/>
      <sz val="10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10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rgb="FF00B05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rial"/>
      <family val="2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rgb="FF000000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/>
    <xf numFmtId="9" fontId="9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43" fontId="3" fillId="0" borderId="0" xfId="2" applyFont="1"/>
    <xf numFmtId="43" fontId="2" fillId="0" borderId="0" xfId="2" applyFont="1"/>
    <xf numFmtId="0" fontId="0" fillId="0" borderId="0" xfId="0" applyAlignment="1">
      <alignment vertical="center"/>
    </xf>
    <xf numFmtId="0" fontId="4" fillId="0" borderId="0" xfId="2" applyNumberFormat="1" applyFont="1" applyAlignment="1">
      <alignment horizontal="right"/>
    </xf>
    <xf numFmtId="174" fontId="5" fillId="0" borderId="0" xfId="2" applyNumberFormat="1" applyFont="1"/>
    <xf numFmtId="0" fontId="6" fillId="0" borderId="0" xfId="2" applyNumberFormat="1" applyFont="1" applyAlignment="1">
      <alignment horizontal="right"/>
    </xf>
    <xf numFmtId="0" fontId="2" fillId="0" borderId="0" xfId="2" applyNumberFormat="1" applyFont="1"/>
    <xf numFmtId="174" fontId="2" fillId="0" borderId="0" xfId="2" applyNumberFormat="1" applyFont="1"/>
    <xf numFmtId="0" fontId="2" fillId="0" borderId="0" xfId="2" applyNumberFormat="1" applyFont="1" applyAlignment="1">
      <alignment horizontal="left"/>
    </xf>
    <xf numFmtId="43" fontId="2" fillId="0" borderId="0" xfId="2" applyFont="1" applyBorder="1" applyAlignment="1"/>
    <xf numFmtId="43" fontId="1" fillId="0" borderId="0" xfId="2" applyFont="1" applyBorder="1" applyAlignment="1"/>
    <xf numFmtId="43" fontId="6" fillId="0" borderId="0" xfId="2" applyFont="1" applyBorder="1" applyAlignment="1">
      <alignment horizontal="left"/>
    </xf>
    <xf numFmtId="43" fontId="6" fillId="0" borderId="0" xfId="2" applyFont="1" applyBorder="1" applyAlignment="1"/>
    <xf numFmtId="43" fontId="6" fillId="0" borderId="0" xfId="2" applyFont="1" applyBorder="1" applyAlignment="1">
      <alignment horizontal="center"/>
    </xf>
    <xf numFmtId="174" fontId="6" fillId="0" borderId="0" xfId="2" applyNumberFormat="1" applyFont="1" applyBorder="1" applyAlignment="1">
      <alignment horizontal="center"/>
    </xf>
    <xf numFmtId="0" fontId="2" fillId="0" borderId="1" xfId="0" applyFont="1" applyBorder="1"/>
    <xf numFmtId="0" fontId="12" fillId="0" borderId="1" xfId="0" applyFont="1" applyBorder="1"/>
    <xf numFmtId="0" fontId="7" fillId="3" borderId="2" xfId="10" applyFont="1" applyFill="1" applyBorder="1" applyAlignment="1">
      <alignment horizontal="center"/>
    </xf>
    <xf numFmtId="0" fontId="7" fillId="3" borderId="3" xfId="10" applyFont="1" applyFill="1" applyBorder="1" applyAlignment="1">
      <alignment horizontal="center"/>
    </xf>
    <xf numFmtId="0" fontId="7" fillId="3" borderId="4" xfId="10" applyFont="1" applyFill="1" applyBorder="1" applyAlignment="1">
      <alignment horizontal="center"/>
    </xf>
    <xf numFmtId="0" fontId="7" fillId="3" borderId="5" xfId="10" applyFont="1" applyFill="1" applyBorder="1" applyAlignment="1">
      <alignment horizontal="center"/>
    </xf>
    <xf numFmtId="0" fontId="4" fillId="3" borderId="6" xfId="10" applyFont="1" applyFill="1" applyBorder="1" applyAlignment="1">
      <alignment horizontal="center"/>
    </xf>
    <xf numFmtId="0" fontId="4" fillId="3" borderId="7" xfId="10" applyFont="1" applyFill="1" applyBorder="1" applyAlignment="1">
      <alignment horizontal="center"/>
    </xf>
    <xf numFmtId="174" fontId="4" fillId="3" borderId="8" xfId="1" applyNumberFormat="1" applyFont="1" applyFill="1" applyBorder="1" applyAlignment="1">
      <alignment horizontal="center"/>
    </xf>
    <xf numFmtId="0" fontId="4" fillId="3" borderId="9" xfId="10" applyFont="1" applyFill="1" applyBorder="1" applyAlignment="1">
      <alignment horizontal="center"/>
    </xf>
    <xf numFmtId="0" fontId="3" fillId="0" borderId="10" xfId="12" applyFont="1" applyFill="1" applyBorder="1" applyAlignment="1">
      <alignment horizontal="center" vertical="center" wrapText="1"/>
    </xf>
    <xf numFmtId="0" fontId="3" fillId="0" borderId="11" xfId="12" applyFont="1" applyFill="1" applyBorder="1" applyAlignment="1">
      <alignment vertical="center" wrapText="1"/>
    </xf>
    <xf numFmtId="0" fontId="3" fillId="0" borderId="11" xfId="0" applyFont="1" applyFill="1" applyBorder="1" applyAlignment="1">
      <alignment horizontal="center" vertical="center"/>
    </xf>
    <xf numFmtId="174" fontId="3" fillId="0" borderId="11" xfId="2" applyNumberFormat="1" applyFont="1" applyFill="1" applyBorder="1" applyAlignment="1">
      <alignment horizontal="center" vertical="center"/>
    </xf>
    <xf numFmtId="174" fontId="3" fillId="0" borderId="11" xfId="2" applyNumberFormat="1" applyFont="1" applyFill="1" applyBorder="1" applyAlignment="1">
      <alignment horizontal="right" vertical="center"/>
    </xf>
    <xf numFmtId="174" fontId="3" fillId="0" borderId="12" xfId="2" applyNumberFormat="1" applyFont="1" applyFill="1" applyBorder="1" applyAlignment="1">
      <alignment horizontal="right" vertical="center"/>
    </xf>
    <xf numFmtId="174" fontId="0" fillId="0" borderId="0" xfId="0" applyNumberFormat="1"/>
    <xf numFmtId="0" fontId="3" fillId="0" borderId="13" xfId="12" applyFont="1" applyFill="1" applyBorder="1" applyAlignment="1">
      <alignment vertical="center" wrapText="1"/>
    </xf>
    <xf numFmtId="0" fontId="3" fillId="0" borderId="14" xfId="12" applyFont="1" applyFill="1" applyBorder="1" applyAlignment="1">
      <alignment horizontal="center" vertical="center" wrapText="1"/>
    </xf>
    <xf numFmtId="0" fontId="3" fillId="0" borderId="15" xfId="12" applyFont="1" applyFill="1" applyBorder="1" applyAlignment="1">
      <alignment vertical="center" wrapText="1"/>
    </xf>
    <xf numFmtId="0" fontId="3" fillId="0" borderId="15" xfId="0" applyFont="1" applyFill="1" applyBorder="1" applyAlignment="1">
      <alignment horizontal="center" vertical="center"/>
    </xf>
    <xf numFmtId="43" fontId="3" fillId="0" borderId="15" xfId="2" applyFont="1" applyFill="1" applyBorder="1" applyAlignment="1">
      <alignment horizontal="center" vertical="center"/>
    </xf>
    <xf numFmtId="174" fontId="3" fillId="0" borderId="15" xfId="2" applyNumberFormat="1" applyFont="1" applyFill="1" applyBorder="1" applyAlignment="1">
      <alignment horizontal="right" vertical="center"/>
    </xf>
    <xf numFmtId="174" fontId="13" fillId="0" borderId="16" xfId="2" applyNumberFormat="1" applyFont="1" applyFill="1" applyBorder="1" applyAlignment="1">
      <alignment horizontal="right" vertical="center"/>
    </xf>
    <xf numFmtId="43" fontId="3" fillId="0" borderId="0" xfId="2" applyFont="1" applyAlignment="1">
      <alignment horizontal="center"/>
    </xf>
    <xf numFmtId="174" fontId="3" fillId="0" borderId="0" xfId="2" applyNumberFormat="1" applyFont="1"/>
    <xf numFmtId="174" fontId="3" fillId="0" borderId="0" xfId="2" applyNumberFormat="1" applyFont="1" applyAlignment="1">
      <alignment horizontal="center" wrapText="1"/>
    </xf>
    <xf numFmtId="0" fontId="14" fillId="0" borderId="0" xfId="2" applyNumberFormat="1" applyFont="1"/>
    <xf numFmtId="174" fontId="2" fillId="0" borderId="0" xfId="2" quotePrefix="1" applyNumberFormat="1" applyFont="1" applyAlignment="1">
      <alignment horizontal="left"/>
    </xf>
    <xf numFmtId="0" fontId="4" fillId="3" borderId="8" xfId="10" applyFont="1" applyFill="1" applyBorder="1" applyAlignment="1">
      <alignment horizontal="center"/>
    </xf>
    <xf numFmtId="174" fontId="3" fillId="0" borderId="17" xfId="2" applyNumberFormat="1" applyFont="1" applyFill="1" applyBorder="1" applyAlignment="1">
      <alignment horizontal="right" vertical="center"/>
    </xf>
    <xf numFmtId="174" fontId="13" fillId="0" borderId="18" xfId="2" applyNumberFormat="1" applyFont="1" applyFill="1" applyBorder="1" applyAlignment="1">
      <alignment horizontal="right" vertical="center"/>
    </xf>
    <xf numFmtId="0" fontId="15" fillId="2" borderId="19" xfId="11" applyFont="1" applyFill="1" applyBorder="1" applyAlignment="1">
      <alignment horizontal="center" vertical="center"/>
    </xf>
    <xf numFmtId="0" fontId="8" fillId="2" borderId="20" xfId="7" quotePrefix="1" applyFont="1" applyFill="1" applyBorder="1" applyAlignment="1">
      <alignment horizontal="left" vertical="center" wrapText="1"/>
    </xf>
    <xf numFmtId="174" fontId="16" fillId="2" borderId="20" xfId="2" applyNumberFormat="1" applyFont="1" applyFill="1" applyBorder="1" applyAlignment="1" applyProtection="1">
      <alignment vertical="center"/>
    </xf>
    <xf numFmtId="174" fontId="16" fillId="2" borderId="21" xfId="2" applyNumberFormat="1" applyFont="1" applyFill="1" applyBorder="1" applyAlignment="1" applyProtection="1">
      <alignment vertical="center"/>
    </xf>
    <xf numFmtId="0" fontId="15" fillId="2" borderId="22" xfId="11" applyFont="1" applyFill="1" applyBorder="1" applyAlignment="1">
      <alignment horizontal="center" vertical="center"/>
    </xf>
    <xf numFmtId="0" fontId="8" fillId="2" borderId="23" xfId="7" quotePrefix="1" applyFont="1" applyFill="1" applyBorder="1" applyAlignment="1">
      <alignment horizontal="left" vertical="center" wrapText="1"/>
    </xf>
    <xf numFmtId="0" fontId="15" fillId="2" borderId="24" xfId="7" applyFont="1" applyFill="1" applyBorder="1" applyAlignment="1">
      <alignment horizontal="center" vertical="center" wrapText="1"/>
    </xf>
    <xf numFmtId="174" fontId="15" fillId="2" borderId="24" xfId="1" applyNumberFormat="1" applyFont="1" applyFill="1" applyBorder="1" applyAlignment="1">
      <alignment horizontal="center" vertical="center" wrapText="1"/>
    </xf>
    <xf numFmtId="174" fontId="15" fillId="2" borderId="25" xfId="7" applyNumberFormat="1" applyFont="1" applyFill="1" applyBorder="1" applyAlignment="1">
      <alignment vertical="center" wrapText="1"/>
    </xf>
    <xf numFmtId="174" fontId="16" fillId="2" borderId="23" xfId="2" applyNumberFormat="1" applyFont="1" applyFill="1" applyBorder="1" applyAlignment="1" applyProtection="1">
      <alignment vertical="center"/>
    </xf>
    <xf numFmtId="174" fontId="16" fillId="2" borderId="26" xfId="2" applyNumberFormat="1" applyFont="1" applyFill="1" applyBorder="1" applyAlignment="1" applyProtection="1">
      <alignment vertical="center"/>
    </xf>
    <xf numFmtId="0" fontId="15" fillId="2" borderId="20" xfId="7" applyFont="1" applyFill="1" applyBorder="1" applyAlignment="1">
      <alignment horizontal="center" vertical="center" wrapText="1"/>
    </xf>
    <xf numFmtId="43" fontId="15" fillId="2" borderId="20" xfId="1" applyFont="1" applyFill="1" applyBorder="1" applyAlignment="1">
      <alignment horizontal="center" vertical="center" wrapText="1"/>
    </xf>
    <xf numFmtId="174" fontId="15" fillId="2" borderId="27" xfId="7" applyNumberFormat="1" applyFont="1" applyFill="1" applyBorder="1" applyAlignment="1">
      <alignment vertical="center" wrapText="1"/>
    </xf>
    <xf numFmtId="0" fontId="4" fillId="2" borderId="28" xfId="10" applyFont="1" applyFill="1" applyBorder="1" applyAlignment="1">
      <alignment horizontal="center"/>
    </xf>
    <xf numFmtId="0" fontId="7" fillId="2" borderId="29" xfId="10" applyFont="1" applyFill="1" applyBorder="1" applyAlignment="1">
      <alignment horizontal="left" vertical="top" wrapText="1"/>
    </xf>
    <xf numFmtId="0" fontId="4" fillId="2" borderId="30" xfId="10" applyFont="1" applyFill="1" applyBorder="1" applyAlignment="1">
      <alignment horizontal="center"/>
    </xf>
    <xf numFmtId="174" fontId="4" fillId="2" borderId="29" xfId="1" applyNumberFormat="1" applyFont="1" applyFill="1" applyBorder="1" applyAlignment="1">
      <alignment horizontal="center"/>
    </xf>
    <xf numFmtId="0" fontId="4" fillId="2" borderId="29" xfId="10" applyFont="1" applyFill="1" applyBorder="1" applyAlignment="1">
      <alignment horizontal="center"/>
    </xf>
    <xf numFmtId="0" fontId="4" fillId="2" borderId="31" xfId="10" applyFont="1" applyFill="1" applyBorder="1" applyAlignment="1">
      <alignment horizontal="center"/>
    </xf>
    <xf numFmtId="174" fontId="7" fillId="2" borderId="21" xfId="2" applyNumberFormat="1" applyFont="1" applyFill="1" applyBorder="1" applyAlignment="1">
      <alignment vertical="center"/>
    </xf>
    <xf numFmtId="174" fontId="7" fillId="2" borderId="12" xfId="2" applyNumberFormat="1" applyFont="1" applyFill="1" applyBorder="1" applyAlignment="1">
      <alignment vertical="center"/>
    </xf>
    <xf numFmtId="174" fontId="7" fillId="2" borderId="32" xfId="2" applyNumberFormat="1" applyFont="1" applyFill="1" applyBorder="1" applyAlignment="1">
      <alignment vertical="center"/>
    </xf>
    <xf numFmtId="174" fontId="17" fillId="0" borderId="11" xfId="2" applyNumberFormat="1" applyFont="1" applyFill="1" applyBorder="1" applyAlignment="1">
      <alignment horizontal="right" vertical="center"/>
    </xf>
    <xf numFmtId="174" fontId="3" fillId="0" borderId="12" xfId="2" applyNumberFormat="1" applyFont="1" applyFill="1" applyBorder="1" applyAlignment="1">
      <alignment horizontal="left" vertical="center"/>
    </xf>
    <xf numFmtId="43" fontId="2" fillId="0" borderId="0" xfId="2" applyFont="1" applyBorder="1" applyAlignment="1">
      <alignment horizontal="center"/>
    </xf>
    <xf numFmtId="43" fontId="1" fillId="0" borderId="0" xfId="2" applyFont="1" applyBorder="1" applyAlignment="1">
      <alignment horizontal="center"/>
    </xf>
    <xf numFmtId="0" fontId="7" fillId="3" borderId="20" xfId="10" applyFont="1" applyFill="1" applyBorder="1" applyAlignment="1">
      <alignment horizontal="center" vertical="center"/>
    </xf>
    <xf numFmtId="0" fontId="7" fillId="3" borderId="33" xfId="10" applyFont="1" applyFill="1" applyBorder="1" applyAlignment="1">
      <alignment horizontal="center" vertical="center"/>
    </xf>
    <xf numFmtId="174" fontId="7" fillId="4" borderId="19" xfId="0" applyNumberFormat="1" applyFont="1" applyFill="1" applyBorder="1" applyAlignment="1">
      <alignment horizontal="center" vertical="center"/>
    </xf>
    <xf numFmtId="174" fontId="7" fillId="4" borderId="34" xfId="0" applyNumberFormat="1" applyFont="1" applyFill="1" applyBorder="1" applyAlignment="1">
      <alignment horizontal="center" vertical="center"/>
    </xf>
    <xf numFmtId="174" fontId="7" fillId="4" borderId="35" xfId="0" applyNumberFormat="1" applyFont="1" applyFill="1" applyBorder="1" applyAlignment="1">
      <alignment horizontal="center" vertical="center"/>
    </xf>
    <xf numFmtId="174" fontId="7" fillId="4" borderId="36" xfId="0" applyNumberFormat="1" applyFont="1" applyFill="1" applyBorder="1" applyAlignment="1">
      <alignment horizontal="center" vertical="center"/>
    </xf>
    <xf numFmtId="174" fontId="7" fillId="4" borderId="37" xfId="0" applyNumberFormat="1" applyFont="1" applyFill="1" applyBorder="1" applyAlignment="1">
      <alignment horizontal="center" vertical="center"/>
    </xf>
    <xf numFmtId="174" fontId="7" fillId="4" borderId="38" xfId="0" applyNumberFormat="1" applyFont="1" applyFill="1" applyBorder="1" applyAlignment="1">
      <alignment horizontal="center" vertical="center"/>
    </xf>
    <xf numFmtId="174" fontId="7" fillId="4" borderId="39" xfId="0" applyNumberFormat="1" applyFont="1" applyFill="1" applyBorder="1" applyAlignment="1">
      <alignment horizontal="center" vertical="center"/>
    </xf>
    <xf numFmtId="174" fontId="7" fillId="4" borderId="40" xfId="0" applyNumberFormat="1" applyFont="1" applyFill="1" applyBorder="1" applyAlignment="1">
      <alignment horizontal="center" vertical="center"/>
    </xf>
    <xf numFmtId="174" fontId="7" fillId="4" borderId="41" xfId="0" applyNumberFormat="1" applyFont="1" applyFill="1" applyBorder="1" applyAlignment="1">
      <alignment horizontal="center" vertical="center"/>
    </xf>
  </cellXfs>
  <cellStyles count="14">
    <cellStyle name="Comma" xfId="1" builtinId="3"/>
    <cellStyle name="Comma 10 2 5" xfId="2" xr:uid="{2A29CEA5-BB1C-4B55-B9DE-77149A263892}"/>
    <cellStyle name="Comma 2" xfId="3" xr:uid="{017737D8-E3CA-4B98-9304-0CBB60FD9FE9}"/>
    <cellStyle name="Comma 2 10" xfId="4" xr:uid="{C144EF1A-8331-43DE-932A-AD9133B1A249}"/>
    <cellStyle name="Comma 2 2" xfId="5" xr:uid="{27D0D23D-4A9E-4B2B-B1D8-8F5B206FA23C}"/>
    <cellStyle name="Comma 3" xfId="6" xr:uid="{73B04164-F14F-4813-B243-4005DFAC0E8E}"/>
    <cellStyle name="Normal" xfId="0" builtinId="0"/>
    <cellStyle name="Normal 12" xfId="7" xr:uid="{6B7321DD-4D91-44AA-9B35-95FC0C94E4DD}"/>
    <cellStyle name="Normal 2" xfId="8" xr:uid="{7CC7B7E2-35AB-4722-9F50-79DB8C8C6744}"/>
    <cellStyle name="Normal 2 2" xfId="9" xr:uid="{6B916C93-92AF-40AF-B83E-1EEDD87A05E4}"/>
    <cellStyle name="Normal 4" xfId="10" xr:uid="{4EAC78C6-833C-4075-8885-D7E2BF9AE188}"/>
    <cellStyle name="Normal 4 2" xfId="11" xr:uid="{E87D5479-3462-4C94-8825-E7CA8730D918}"/>
    <cellStyle name="Normal_Quotation 22-Aug_without sillk dance_01" xfId="12" xr:uid="{A411A633-8D85-424C-A86C-BD7F49008F92}"/>
    <cellStyle name="Percent 2" xfId="13" xr:uid="{1EFEB438-8931-472C-9515-AF490A46E50C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</xdr:colOff>
      <xdr:row>0</xdr:row>
      <xdr:rowOff>114300</xdr:rowOff>
    </xdr:from>
    <xdr:to>
      <xdr:col>5</xdr:col>
      <xdr:colOff>444500</xdr:colOff>
      <xdr:row>0</xdr:row>
      <xdr:rowOff>342900</xdr:rowOff>
    </xdr:to>
    <xdr:pic>
      <xdr:nvPicPr>
        <xdr:cNvPr id="1284" name="Picture 2">
          <a:extLst>
            <a:ext uri="{FF2B5EF4-FFF2-40B4-BE49-F238E27FC236}">
              <a16:creationId xmlns:a16="http://schemas.microsoft.com/office/drawing/2014/main" id="{C9C4A5B0-B08A-2DC7-48A5-44639B312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7900" y="114300"/>
          <a:ext cx="12255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330200</xdr:colOff>
      <xdr:row>10</xdr:row>
      <xdr:rowOff>25400</xdr:rowOff>
    </xdr:from>
    <xdr:to>
      <xdr:col>8</xdr:col>
      <xdr:colOff>1638300</xdr:colOff>
      <xdr:row>17</xdr:row>
      <xdr:rowOff>88900</xdr:rowOff>
    </xdr:to>
    <xdr:pic>
      <xdr:nvPicPr>
        <xdr:cNvPr id="1285" name="Picture 1">
          <a:extLst>
            <a:ext uri="{FF2B5EF4-FFF2-40B4-BE49-F238E27FC236}">
              <a16:creationId xmlns:a16="http://schemas.microsoft.com/office/drawing/2014/main" id="{8E2E13A7-A25C-6003-6506-02120943C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0300" y="1974850"/>
          <a:ext cx="1308100" cy="337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9A0E-FF25-46FF-BCAF-497B1C477816}">
  <sheetPr>
    <pageSetUpPr fitToPage="1"/>
  </sheetPr>
  <dimension ref="B1:Q35"/>
  <sheetViews>
    <sheetView showGridLines="0" tabSelected="1" zoomScale="80" zoomScaleNormal="80" workbookViewId="0">
      <selection activeCell="L17" sqref="L17"/>
    </sheetView>
  </sheetViews>
  <sheetFormatPr defaultColWidth="8.81640625" defaultRowHeight="13" x14ac:dyDescent="0.3"/>
  <cols>
    <col min="1" max="1" width="3" style="1" customWidth="1"/>
    <col min="2" max="2" width="5.453125" style="1" customWidth="1"/>
    <col min="3" max="3" width="50.6328125" style="1" customWidth="1"/>
    <col min="4" max="4" width="8.6328125" style="1" customWidth="1"/>
    <col min="5" max="6" width="12" style="1" customWidth="1"/>
    <col min="7" max="7" width="13.81640625" style="1" customWidth="1"/>
    <col min="8" max="8" width="15" style="1" customWidth="1"/>
    <col min="9" max="10" width="28.1796875" style="1" customWidth="1"/>
    <col min="11" max="16384" width="8.81640625" style="1"/>
  </cols>
  <sheetData>
    <row r="1" spans="2:17" s="2" customFormat="1" ht="28" customHeight="1" x14ac:dyDescent="0.3">
      <c r="B1" s="5" t="s">
        <v>0</v>
      </c>
      <c r="C1" s="44" t="s">
        <v>28</v>
      </c>
      <c r="D1" s="5" t="s">
        <v>1</v>
      </c>
      <c r="E1" s="6"/>
      <c r="F1" s="6"/>
      <c r="G1" s="6"/>
    </row>
    <row r="2" spans="2:17" s="3" customFormat="1" x14ac:dyDescent="0.3">
      <c r="B2" s="7"/>
      <c r="C2" s="8" t="s">
        <v>29</v>
      </c>
      <c r="D2" s="7"/>
      <c r="E2" s="9" t="s">
        <v>30</v>
      </c>
      <c r="F2" s="9"/>
      <c r="G2" s="8"/>
    </row>
    <row r="3" spans="2:17" s="3" customFormat="1" x14ac:dyDescent="0.3">
      <c r="B3" s="7" t="s">
        <v>2</v>
      </c>
      <c r="C3" s="10"/>
      <c r="D3" s="7" t="s">
        <v>2</v>
      </c>
      <c r="E3" s="45" t="s">
        <v>31</v>
      </c>
      <c r="F3" s="45"/>
      <c r="G3" s="10"/>
    </row>
    <row r="4" spans="2:17" s="3" customFormat="1" x14ac:dyDescent="0.3">
      <c r="B4" s="7" t="s">
        <v>3</v>
      </c>
      <c r="C4" s="8"/>
      <c r="D4" s="7" t="s">
        <v>3</v>
      </c>
      <c r="E4" s="9" t="s">
        <v>32</v>
      </c>
      <c r="F4" s="9"/>
      <c r="G4" s="8"/>
    </row>
    <row r="5" spans="2:17" s="3" customFormat="1" x14ac:dyDescent="0.3">
      <c r="B5" s="74" t="s">
        <v>27</v>
      </c>
      <c r="C5" s="74"/>
      <c r="D5" s="74"/>
      <c r="E5" s="74"/>
      <c r="F5" s="74"/>
      <c r="G5" s="74"/>
      <c r="H5" s="74"/>
      <c r="I5" s="11"/>
      <c r="J5" s="11"/>
    </row>
    <row r="6" spans="2:17" s="2" customFormat="1" ht="20.25" customHeight="1" x14ac:dyDescent="0.35">
      <c r="B6" s="75" t="s">
        <v>26</v>
      </c>
      <c r="C6" s="75"/>
      <c r="D6" s="75"/>
      <c r="E6" s="75"/>
      <c r="F6" s="75"/>
      <c r="G6" s="75"/>
      <c r="H6" s="75"/>
      <c r="I6" s="12"/>
      <c r="J6" s="12"/>
    </row>
    <row r="7" spans="2:17" s="3" customFormat="1" x14ac:dyDescent="0.3">
      <c r="B7" s="13" t="s">
        <v>4</v>
      </c>
      <c r="C7" s="14"/>
      <c r="D7" s="15"/>
      <c r="E7" s="16"/>
      <c r="F7" s="16"/>
      <c r="G7" s="14"/>
      <c r="H7" s="15"/>
      <c r="I7" s="15"/>
    </row>
    <row r="8" spans="2:17" s="3" customFormat="1" x14ac:dyDescent="0.3">
      <c r="B8" s="13" t="s">
        <v>5</v>
      </c>
      <c r="C8" s="14"/>
      <c r="D8" s="15"/>
      <c r="E8" s="16"/>
      <c r="F8" s="16"/>
      <c r="G8" s="14"/>
      <c r="H8" s="15"/>
      <c r="I8" s="15"/>
    </row>
    <row r="9" spans="2:17" ht="13.5" thickBot="1" x14ac:dyDescent="0.35">
      <c r="B9" s="17"/>
      <c r="C9" s="18"/>
      <c r="D9" s="17"/>
      <c r="E9" s="17"/>
      <c r="F9" s="17"/>
      <c r="G9" s="17"/>
      <c r="H9" s="17"/>
      <c r="I9" s="17"/>
    </row>
    <row r="10" spans="2:17" ht="14" x14ac:dyDescent="0.3">
      <c r="B10" s="19" t="s">
        <v>6</v>
      </c>
      <c r="C10" s="76" t="s">
        <v>7</v>
      </c>
      <c r="D10" s="20" t="s">
        <v>8</v>
      </c>
      <c r="E10" s="21" t="s">
        <v>9</v>
      </c>
      <c r="F10" s="21" t="s">
        <v>38</v>
      </c>
      <c r="G10" s="20" t="s">
        <v>10</v>
      </c>
      <c r="H10" s="21" t="s">
        <v>11</v>
      </c>
      <c r="I10" s="22" t="s">
        <v>34</v>
      </c>
    </row>
    <row r="11" spans="2:17" ht="14" x14ac:dyDescent="0.3">
      <c r="B11" s="23" t="s">
        <v>12</v>
      </c>
      <c r="C11" s="77"/>
      <c r="D11" s="24" t="s">
        <v>13</v>
      </c>
      <c r="E11" s="25" t="s">
        <v>14</v>
      </c>
      <c r="F11" s="25" t="s">
        <v>37</v>
      </c>
      <c r="G11" s="24" t="s">
        <v>15</v>
      </c>
      <c r="H11" s="46" t="s">
        <v>16</v>
      </c>
      <c r="I11" s="26"/>
    </row>
    <row r="12" spans="2:17" ht="126.5" thickBot="1" x14ac:dyDescent="0.35">
      <c r="B12" s="63"/>
      <c r="C12" s="64" t="s">
        <v>46</v>
      </c>
      <c r="D12" s="65"/>
      <c r="E12" s="66"/>
      <c r="F12" s="66"/>
      <c r="G12" s="65"/>
      <c r="H12" s="67"/>
      <c r="I12" s="68"/>
    </row>
    <row r="13" spans="2:17" s="4" customFormat="1" ht="18" customHeight="1" x14ac:dyDescent="0.25">
      <c r="B13" s="53">
        <v>2</v>
      </c>
      <c r="C13" s="54" t="s">
        <v>40</v>
      </c>
      <c r="D13" s="55"/>
      <c r="E13" s="56"/>
      <c r="F13" s="56"/>
      <c r="G13" s="57"/>
      <c r="H13" s="58"/>
      <c r="I13" s="59"/>
    </row>
    <row r="14" spans="2:17" customFormat="1" ht="28" x14ac:dyDescent="0.25">
      <c r="B14" s="27"/>
      <c r="C14" s="28" t="s">
        <v>39</v>
      </c>
      <c r="D14" s="29" t="s">
        <v>23</v>
      </c>
      <c r="E14" s="30">
        <f>2*2</f>
        <v>4</v>
      </c>
      <c r="F14" s="30">
        <v>14</v>
      </c>
      <c r="G14" s="31">
        <v>320000</v>
      </c>
      <c r="H14" s="47">
        <f>G14*E14*F14</f>
        <v>17920000</v>
      </c>
      <c r="I14" s="32"/>
    </row>
    <row r="15" spans="2:17" customFormat="1" ht="28" x14ac:dyDescent="0.25">
      <c r="B15" s="27"/>
      <c r="C15" s="34" t="s">
        <v>41</v>
      </c>
      <c r="D15" s="29" t="s">
        <v>23</v>
      </c>
      <c r="E15" s="30">
        <v>1</v>
      </c>
      <c r="F15" s="30">
        <f>F14</f>
        <v>14</v>
      </c>
      <c r="G15" s="31">
        <v>400000</v>
      </c>
      <c r="H15" s="47">
        <f>G15*E15*F15</f>
        <v>5600000</v>
      </c>
      <c r="I15" s="32"/>
    </row>
    <row r="16" spans="2:17" customFormat="1" ht="27" customHeight="1" thickBot="1" x14ac:dyDescent="0.3">
      <c r="B16" s="27"/>
      <c r="C16" s="34" t="s">
        <v>50</v>
      </c>
      <c r="D16" s="29" t="s">
        <v>17</v>
      </c>
      <c r="E16" s="30">
        <v>5</v>
      </c>
      <c r="F16" s="30">
        <v>1</v>
      </c>
      <c r="G16" s="72">
        <v>1350000</v>
      </c>
      <c r="H16" s="47">
        <f>G16*E16*F16</f>
        <v>6750000</v>
      </c>
      <c r="I16" s="32"/>
      <c r="Q16" t="s">
        <v>51</v>
      </c>
    </row>
    <row r="17" spans="2:10" s="4" customFormat="1" ht="19.5" customHeight="1" x14ac:dyDescent="0.25">
      <c r="B17" s="49">
        <v>3</v>
      </c>
      <c r="C17" s="50" t="s">
        <v>18</v>
      </c>
      <c r="D17" s="60"/>
      <c r="E17" s="61"/>
      <c r="F17" s="61"/>
      <c r="G17" s="62"/>
      <c r="H17" s="51"/>
      <c r="I17" s="52"/>
    </row>
    <row r="18" spans="2:10" customFormat="1" ht="14" x14ac:dyDescent="0.25">
      <c r="B18" s="27"/>
      <c r="C18" s="28" t="s">
        <v>42</v>
      </c>
      <c r="D18" s="29" t="s">
        <v>17</v>
      </c>
      <c r="E18" s="30">
        <v>1</v>
      </c>
      <c r="F18" s="30">
        <v>1</v>
      </c>
      <c r="G18" s="31">
        <v>3500000</v>
      </c>
      <c r="H18" s="47">
        <f t="shared" ref="H18:H23" si="0">G18*E18*F18</f>
        <v>3500000</v>
      </c>
      <c r="I18" s="32"/>
      <c r="J18" s="33"/>
    </row>
    <row r="19" spans="2:10" customFormat="1" ht="14" x14ac:dyDescent="0.25">
      <c r="B19" s="27"/>
      <c r="C19" s="28" t="s">
        <v>35</v>
      </c>
      <c r="D19" s="29" t="s">
        <v>25</v>
      </c>
      <c r="E19" s="30">
        <v>1</v>
      </c>
      <c r="F19" s="30">
        <v>1</v>
      </c>
      <c r="G19" s="31">
        <v>400000</v>
      </c>
      <c r="H19" s="47">
        <f t="shared" si="0"/>
        <v>400000</v>
      </c>
      <c r="I19" s="32"/>
      <c r="J19" s="33"/>
    </row>
    <row r="20" spans="2:10" customFormat="1" ht="14" x14ac:dyDescent="0.25">
      <c r="B20" s="27"/>
      <c r="C20" s="28" t="s">
        <v>48</v>
      </c>
      <c r="D20" s="29" t="s">
        <v>25</v>
      </c>
      <c r="E20" s="30">
        <v>1000</v>
      </c>
      <c r="F20" s="30">
        <f>F14</f>
        <v>14</v>
      </c>
      <c r="G20" s="31">
        <v>800</v>
      </c>
      <c r="H20" s="47">
        <f t="shared" si="0"/>
        <v>11200000</v>
      </c>
      <c r="I20" s="32"/>
      <c r="J20" s="33"/>
    </row>
    <row r="21" spans="2:10" customFormat="1" ht="14" x14ac:dyDescent="0.25">
      <c r="B21" s="27"/>
      <c r="C21" s="28" t="s">
        <v>36</v>
      </c>
      <c r="D21" s="29" t="s">
        <v>17</v>
      </c>
      <c r="E21" s="30">
        <v>1</v>
      </c>
      <c r="F21" s="30">
        <v>1</v>
      </c>
      <c r="G21" s="31">
        <v>1500000</v>
      </c>
      <c r="H21" s="47">
        <f t="shared" si="0"/>
        <v>1500000</v>
      </c>
      <c r="I21" s="32"/>
      <c r="J21" s="33"/>
    </row>
    <row r="22" spans="2:10" customFormat="1" ht="14" x14ac:dyDescent="0.25">
      <c r="B22" s="27"/>
      <c r="C22" s="28" t="s">
        <v>43</v>
      </c>
      <c r="D22" s="29" t="s">
        <v>44</v>
      </c>
      <c r="E22" s="30">
        <v>1</v>
      </c>
      <c r="F22" s="30">
        <f>F14</f>
        <v>14</v>
      </c>
      <c r="G22" s="31">
        <v>300000</v>
      </c>
      <c r="H22" s="47">
        <f t="shared" si="0"/>
        <v>4200000</v>
      </c>
      <c r="I22" s="32"/>
      <c r="J22" s="33"/>
    </row>
    <row r="23" spans="2:10" customFormat="1" ht="14" x14ac:dyDescent="0.25">
      <c r="B23" s="27"/>
      <c r="C23" s="28" t="s">
        <v>49</v>
      </c>
      <c r="D23" s="29" t="s">
        <v>17</v>
      </c>
      <c r="E23" s="30">
        <v>1</v>
      </c>
      <c r="F23" s="30">
        <v>3</v>
      </c>
      <c r="G23" s="31">
        <v>300000</v>
      </c>
      <c r="H23" s="47">
        <f t="shared" si="0"/>
        <v>900000</v>
      </c>
      <c r="I23" s="32"/>
      <c r="J23" s="33"/>
    </row>
    <row r="24" spans="2:10" ht="30" customHeight="1" x14ac:dyDescent="0.3">
      <c r="B24" s="27"/>
      <c r="C24" s="28" t="s">
        <v>33</v>
      </c>
      <c r="D24" s="29" t="s">
        <v>24</v>
      </c>
      <c r="E24" s="30"/>
      <c r="F24" s="30"/>
      <c r="G24" s="31">
        <v>0</v>
      </c>
      <c r="H24" s="47">
        <v>0</v>
      </c>
      <c r="I24" s="73" t="s">
        <v>52</v>
      </c>
    </row>
    <row r="25" spans="2:10" customFormat="1" ht="18" customHeight="1" thickBot="1" x14ac:dyDescent="0.3">
      <c r="B25" s="35"/>
      <c r="C25" s="36" t="s">
        <v>45</v>
      </c>
      <c r="D25" s="37" t="s">
        <v>17</v>
      </c>
      <c r="E25" s="38">
        <v>1</v>
      </c>
      <c r="F25" s="38"/>
      <c r="G25" s="39">
        <f>ROUND(SUM(H13:H24)*20%,-5)</f>
        <v>10400000</v>
      </c>
      <c r="H25" s="48">
        <f>G25*E25</f>
        <v>10400000</v>
      </c>
      <c r="I25" s="40"/>
    </row>
    <row r="26" spans="2:10" ht="19" customHeight="1" x14ac:dyDescent="0.3">
      <c r="B26" s="78" t="s">
        <v>19</v>
      </c>
      <c r="C26" s="79"/>
      <c r="D26" s="79"/>
      <c r="E26" s="79"/>
      <c r="F26" s="79"/>
      <c r="G26" s="80"/>
      <c r="H26" s="69">
        <f>SUM(H12:H25)</f>
        <v>62370000</v>
      </c>
      <c r="I26" s="2"/>
    </row>
    <row r="27" spans="2:10" ht="19" customHeight="1" x14ac:dyDescent="0.3">
      <c r="B27" s="81" t="s">
        <v>47</v>
      </c>
      <c r="C27" s="82"/>
      <c r="D27" s="82"/>
      <c r="E27" s="82"/>
      <c r="F27" s="82"/>
      <c r="G27" s="83"/>
      <c r="H27" s="70">
        <f>H26*8%</f>
        <v>4989600</v>
      </c>
      <c r="I27" s="2"/>
    </row>
    <row r="28" spans="2:10" ht="19" customHeight="1" thickBot="1" x14ac:dyDescent="0.35">
      <c r="B28" s="84" t="s">
        <v>16</v>
      </c>
      <c r="C28" s="85"/>
      <c r="D28" s="85"/>
      <c r="E28" s="85"/>
      <c r="F28" s="85"/>
      <c r="G28" s="86"/>
      <c r="H28" s="71">
        <f>SUM(H26:H27)</f>
        <v>67359600</v>
      </c>
      <c r="I28" s="2"/>
    </row>
    <row r="29" spans="2:10" s="2" customFormat="1" ht="14" x14ac:dyDescent="0.3">
      <c r="J29" s="43"/>
    </row>
    <row r="30" spans="2:10" s="2" customFormat="1" ht="14" x14ac:dyDescent="0.3">
      <c r="J30" s="43"/>
    </row>
    <row r="31" spans="2:10" s="2" customFormat="1" ht="14" x14ac:dyDescent="0.3">
      <c r="C31" s="2" t="s">
        <v>20</v>
      </c>
      <c r="J31" s="43"/>
    </row>
    <row r="32" spans="2:10" s="2" customFormat="1" ht="14" x14ac:dyDescent="0.3">
      <c r="C32" s="2" t="s">
        <v>21</v>
      </c>
      <c r="J32" s="43"/>
    </row>
    <row r="33" spans="5:10" s="2" customFormat="1" ht="14" x14ac:dyDescent="0.3">
      <c r="G33" s="41" t="s">
        <v>22</v>
      </c>
      <c r="H33" s="41"/>
      <c r="I33" s="41"/>
      <c r="J33" s="43"/>
    </row>
    <row r="34" spans="5:10" s="2" customFormat="1" ht="14" x14ac:dyDescent="0.3">
      <c r="E34" s="42"/>
      <c r="F34" s="42"/>
    </row>
    <row r="35" spans="5:10" s="2" customFormat="1" ht="14" x14ac:dyDescent="0.3">
      <c r="E35" s="42"/>
      <c r="F35" s="42"/>
    </row>
  </sheetData>
  <mergeCells count="6">
    <mergeCell ref="B5:H5"/>
    <mergeCell ref="B6:H6"/>
    <mergeCell ref="C10:C11"/>
    <mergeCell ref="B26:G26"/>
    <mergeCell ref="B27:G27"/>
    <mergeCell ref="B28:G28"/>
  </mergeCells>
  <pageMargins left="0.25" right="0.25" top="0.75" bottom="0.75" header="0.3" footer="0.3"/>
  <pageSetup paperSize="9" scale="38"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Administrator</cp:lastModifiedBy>
  <cp:lastPrinted>2026-05-21T09:06:50Z</cp:lastPrinted>
  <dcterms:created xsi:type="dcterms:W3CDTF">2000-06-22T04:23:24Z</dcterms:created>
  <dcterms:modified xsi:type="dcterms:W3CDTF">2026-05-28T06:02:19Z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