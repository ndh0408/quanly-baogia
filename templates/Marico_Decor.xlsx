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QuanLY\"/>
    </mc:Choice>
  </mc:AlternateContent>
  <xr:revisionPtr revIDLastSave="0" documentId="8_{CA5BC1A5-5618-4224-B727-5431AD35F9E2}" xr6:coauthVersionLast="47" xr6:coauthVersionMax="47" xr10:uidLastSave="{00000000-0000-0000-0000-000000000000}"/>
  <bookViews>
    <workbookView xWindow="-110" yWindow="-110" windowWidth="25820" windowHeight="15500" xr2:uid="{FD745143-0AE9-4214-83B2-0CF7BE2F9AFC}"/>
  </bookViews>
  <sheets>
    <sheet name="Décor" sheetId="6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#REF!</definedName>
    <definedName name="\D">#REF!</definedName>
    <definedName name="\gfresgh" hidden="1">{#N/A,#N/A,FALSE,"sum";#N/A,#N/A,FALSE,"MARTV";#N/A,#N/A,FALSE,"APRTV"}</definedName>
    <definedName name="\I">#REF!</definedName>
    <definedName name="\J">#REF!</definedName>
    <definedName name="\P">#REF!</definedName>
    <definedName name="\T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EAU95">#REF!</definedName>
    <definedName name="_EJL95">#REF!</definedName>
    <definedName name="_ESE95">#REF!</definedName>
    <definedName name="_Fill" hidden="1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ort" hidden="1">#REF!</definedName>
    <definedName name="agstyhjt">[2]expenditure!#REF!</definedName>
    <definedName name="Apr">#REF!</definedName>
    <definedName name="ARJN95">[2]I!#REF!</definedName>
    <definedName name="aSC">#REF!</definedName>
    <definedName name="asdgadthrtj">#REF!</definedName>
    <definedName name="asgfwerg">[3]S!#REF!,[3]S!#REF!</definedName>
    <definedName name="Aug">#REF!</definedName>
    <definedName name="AWDVG" hidden="1">{#N/A,#N/A,FALSE,"sum";#N/A,#N/A,FALSE,"MARTV";#N/A,#N/A,FALSE,"APRTV"}</definedName>
    <definedName name="azwrhjny7i5l97" hidden="1">{#N/A,#N/A,FALSE,"sum";#N/A,#N/A,FALSE,"MARTV";#N/A,#N/A,FALSE,"APRTV"}</definedName>
    <definedName name="bangchu">#REF!</definedName>
    <definedName name="bengam">#REF!</definedName>
    <definedName name="benuoc">#REF!</definedName>
    <definedName name="BINH">#REF!</definedName>
    <definedName name="Blademan" hidden="1">{#N/A,#N/A,FALSE,"sum";#N/A,#N/A,FALSE,"MARTV";#N/A,#N/A,FALSE,"APRTV"}</definedName>
    <definedName name="cao">#REF!</definedName>
    <definedName name="CC3Q95">[2]expenditure!#REF!</definedName>
    <definedName name="CC4Q95">[2]expenditure!#REF!</definedName>
    <definedName name="cd">#REF!</definedName>
    <definedName name="CD3Q95">[2]expenditure!#REF!</definedName>
    <definedName name="CD4Q95">[2]expenditure!#REF!</definedName>
    <definedName name="Channels">#REF!</definedName>
    <definedName name="CO">[4]DATA!$I$12:$I$318</definedName>
    <definedName name="coc">#REF!</definedName>
    <definedName name="cocbtct">#REF!</definedName>
    <definedName name="cock">#REF!</definedName>
    <definedName name="cocot">#REF!</definedName>
    <definedName name="cocott">#REF!</definedName>
    <definedName name="comong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no">#REF!</definedName>
    <definedName name="congpanen">#REF!</definedName>
    <definedName name="congsan">#REF!</definedName>
    <definedName name="congthang">#REF!</definedName>
    <definedName name="cottron">#REF!</definedName>
    <definedName name="cotvuong">#REF!</definedName>
    <definedName name="CT3Q95">[2]expenditure!#REF!</definedName>
    <definedName name="dam">#REF!</definedName>
    <definedName name="danducsan">#REF!</definedName>
    <definedName name="_xlnm.Database" hidden="1">#REF!</definedName>
    <definedName name="DC">[5]DC!$A$1:$D$395</definedName>
    <definedName name="Dec">#REF!</definedName>
    <definedName name="dfbgf">#REF!</definedName>
    <definedName name="dfdfas" hidden="1">{#N/A,#N/A,FALSE,"sum";#N/A,#N/A,FALSE,"MARTV";#N/A,#N/A,FALSE,"APRTV"}</definedName>
    <definedName name="dfjhfkg" hidden="1">{#N/A,#N/A,FALSE,"sum";#N/A,#N/A,FALSE,"MARTV";#N/A,#N/A,FALSE,"APRTV"}</definedName>
    <definedName name="dientichck">#REF!</definedName>
    <definedName name="Discount">'[6]Rate-Card-04'!$W$6:$AF$7</definedName>
    <definedName name="DL50SEC">#REF!</definedName>
    <definedName name="DL50SEC_5">#REF!</definedName>
    <definedName name="DLSCM15">#REF!</definedName>
    <definedName name="DLSCM15_5">#REF!</definedName>
    <definedName name="DLSCM30">#REF!</definedName>
    <definedName name="DLSCM30_5">#REF!</definedName>
    <definedName name="DLSCM40">#REF!</definedName>
    <definedName name="DLSCM40_5">#REF!</definedName>
    <definedName name="DLUHT">#REF!</definedName>
    <definedName name="DLUHT_5">#REF!</definedName>
    <definedName name="DLUHT30">#REF!</definedName>
    <definedName name="DLUHT40">#REF!</definedName>
    <definedName name="dnjret" hidden="1">{#N/A,#N/A,FALSE,"sum";#N/A,#N/A,FALSE,"MARTV";#N/A,#N/A,FALSE,"APRTV"}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cumentYear">'[7]#REF'!#REF!</definedName>
    <definedName name="dsds" hidden="1">{#N/A,#N/A,FALSE,"sum";#N/A,#N/A,FALSE,"MARTV";#N/A,#N/A,FALSE,"APRTV"}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eatfgbhrgb">#REF!</definedName>
    <definedName name="ecpn">#REF!</definedName>
    <definedName name="EDAU95">#REF!</definedName>
    <definedName name="edjl95">#REF!</definedName>
    <definedName name="EDSE95">#REF!</definedName>
    <definedName name="Est">'[8]Cover Estimator'!$C$10</definedName>
    <definedName name="fb" hidden="1">{#N/A,#N/A,FALSE,"sum";#N/A,#N/A,FALSE,"MARTV";#N/A,#N/A,FALSE,"APRTV"}</definedName>
    <definedName name="fdfdsd" hidden="1">{#N/A,#N/A,FALSE,"sum";#N/A,#N/A,FALSE,"MARTV";#N/A,#N/A,FALSE,"APRTV"}</definedName>
    <definedName name="feb">#REF!</definedName>
    <definedName name="FLEX">[9]data!#REF!</definedName>
    <definedName name="FLO1Q96">#REF!</definedName>
    <definedName name="FLO2Q96">#REF!</definedName>
    <definedName name="FLO3Q96">#REF!</definedName>
    <definedName name="FLO4Q95">#REF!</definedName>
    <definedName name="FLO4Q96">#REF!</definedName>
    <definedName name="FLOAU95">#REF!</definedName>
    <definedName name="FLOJL95">#REF!</definedName>
    <definedName name="FLOJN95">#REF!</definedName>
    <definedName name="FLOSE95">#REF!</definedName>
    <definedName name="fnghx">[10]Ratecard!$AG$5</definedName>
    <definedName name="frawerh">#REF!</definedName>
    <definedName name="gfg">#REF!</definedName>
    <definedName name="GOC_NGAY">[4]DATA!#REF!</definedName>
    <definedName name="GOC_SO">[4]DATA!#REF!</definedName>
    <definedName name="GOC_TENHANG">[4]DATA!#REF!</definedName>
    <definedName name="GOC_TIENHANG">[4]DATA!#REF!</definedName>
    <definedName name="Grad">'[8]Cover Estimator'!$C$7</definedName>
    <definedName name="IAR1Q96">[2]I!#REF!</definedName>
    <definedName name="IAR2Q96">[2]I!#REF!</definedName>
    <definedName name="IAR3Q95">[2]I!#REF!</definedName>
    <definedName name="IAR3Q96">[2]I!#REF!</definedName>
    <definedName name="IAR4Q95">[2]I!#REF!</definedName>
    <definedName name="IAR4Q96">[2]I!#REF!</definedName>
    <definedName name="IARJN95">[2]I!#REF!</definedName>
    <definedName name="Info">[10]Ratecard!$A$7:$AG$451</definedName>
    <definedName name="Input">'[8]Cover Estimator'!$A$11</definedName>
    <definedName name="INV3Q95">[2]I!#REF!</definedName>
    <definedName name="INV4Q95">[2]I!#REF!</definedName>
    <definedName name="IPP3Q95">[2]I!#REF!</definedName>
    <definedName name="IPP4Q95">[2]I!#REF!</definedName>
    <definedName name="IV16384\">#REF!</definedName>
    <definedName name="jan">#REF!</definedName>
    <definedName name="jhlhyioh" hidden="1">{#N/A,#N/A,FALSE,"sum";#N/A,#N/A,FALSE,"MARTV";#N/A,#N/A,FALSE,"APRTV"}</definedName>
    <definedName name="Jul">#REF!</definedName>
    <definedName name="Jun">#REF!</definedName>
    <definedName name="KCSCM">#REF!</definedName>
    <definedName name="KCSCM_5">#REF!</definedName>
    <definedName name="lanhto">#REF!</definedName>
    <definedName name="LAO1Q96">#REF!</definedName>
    <definedName name="LAO2Q96">#REF!</definedName>
    <definedName name="LAO3Q96">#REF!</definedName>
    <definedName name="LAO4Q95">#REF!</definedName>
    <definedName name="LAO4Q96">#REF!</definedName>
    <definedName name="LAOAU95">#REF!</definedName>
    <definedName name="LAOJL95">#REF!</definedName>
    <definedName name="LAOJN95">#REF!</definedName>
    <definedName name="LAOSE95">#REF!</definedName>
    <definedName name="LCODE">[3]S!#REF!</definedName>
    <definedName name="Limit">'[8]Cover Estimator'!$C$8</definedName>
    <definedName name="link_cd">#REF!</definedName>
    <definedName name="LOTG" hidden="1">{#N/A,#N/A,FALSE,"sum";#N/A,#N/A,FALSE,"MARTV";#N/A,#N/A,FALSE,"APRTV"}</definedName>
    <definedName name="lsdrjhnopjy5io">#REF!</definedName>
    <definedName name="MACN">#REF!</definedName>
    <definedName name="MACO">[4]DATA!$L$12:$L$318</definedName>
    <definedName name="MajorHeader">'[7]#REF'!#REF!</definedName>
    <definedName name="MANO">[4]DATA!$K$12:$K$318</definedName>
    <definedName name="mar">#REF!</definedName>
    <definedName name="may">#REF!</definedName>
    <definedName name="MENG1Q96">#REF!</definedName>
    <definedName name="MENG2Q96">#REF!</definedName>
    <definedName name="MENG3Q95">#REF!</definedName>
    <definedName name="MENG3Q96">#REF!</definedName>
    <definedName name="MENG4Q95">#REF!</definedName>
    <definedName name="MENG4Q96">#REF!</definedName>
    <definedName name="MENGAU95">#REF!</definedName>
    <definedName name="MENGJL95">#REF!</definedName>
    <definedName name="MENGJN95">#REF!</definedName>
    <definedName name="MENGSE95">#REF!</definedName>
    <definedName name="MEQU1Q96">#REF!</definedName>
    <definedName name="MEQU2Q96">#REF!</definedName>
    <definedName name="MEQU3Q95">#REF!</definedName>
    <definedName name="MEQU3Q96">#REF!</definedName>
    <definedName name="MEQU4Q95">#REF!</definedName>
    <definedName name="MEQU4Q96">#REF!</definedName>
    <definedName name="MEQUAU95">#REF!</definedName>
    <definedName name="MEQUJL95">#REF!</definedName>
    <definedName name="MEQUJN95">#REF!</definedName>
    <definedName name="MEQUSE95">#REF!</definedName>
    <definedName name="MFLO1Q96">#REF!</definedName>
    <definedName name="MFLO2Q96">#REF!</definedName>
    <definedName name="MFLO3Q96">#REF!</definedName>
    <definedName name="MFLO4Q95">#REF!</definedName>
    <definedName name="MFLO4Q96">#REF!</definedName>
    <definedName name="MFLOAU95">#REF!</definedName>
    <definedName name="MFLOJL95">#REF!</definedName>
    <definedName name="MFLOJN95">#REF!</definedName>
    <definedName name="MFLOSE95">#REF!</definedName>
    <definedName name="MFLU1Q96">#REF!</definedName>
    <definedName name="MFLU2Q96">#REF!</definedName>
    <definedName name="MFLU3Q95">#REF!</definedName>
    <definedName name="MFLU3Q96">#REF!</definedName>
    <definedName name="MFLU4Q95">#REF!</definedName>
    <definedName name="MFLU4Q96">#REF!</definedName>
    <definedName name="MFLUAU95">#REF!</definedName>
    <definedName name="MFLUJL95">#REF!</definedName>
    <definedName name="MFLUJN95">#REF!</definedName>
    <definedName name="MFLUSE95">#REF!</definedName>
    <definedName name="MLAO1Q96">#REF!</definedName>
    <definedName name="MLAO2Q96">#REF!</definedName>
    <definedName name="MLAO3Q96">#REF!</definedName>
    <definedName name="MLAO4Q95">#REF!</definedName>
    <definedName name="MLAO4Q96">#REF!</definedName>
    <definedName name="MLAOAU95">#REF!</definedName>
    <definedName name="MLAOJL95">#REF!</definedName>
    <definedName name="MLAOJN95">#REF!</definedName>
    <definedName name="MLAOSE95">#REF!</definedName>
    <definedName name="MMENG1Q96">#REF!</definedName>
    <definedName name="MMENG2Q96">#REF!</definedName>
    <definedName name="MMENG3Q95">#REF!</definedName>
    <definedName name="MMENG3Q96">#REF!</definedName>
    <definedName name="MMENG4Q95">#REF!</definedName>
    <definedName name="MMENG4Q96">#REF!</definedName>
    <definedName name="MMENGAU95">#REF!</definedName>
    <definedName name="MMENGJL95">#REF!</definedName>
    <definedName name="MMENGJN95">#REF!</definedName>
    <definedName name="MMENGSE95">#REF!</definedName>
    <definedName name="MMEQU1Q96">#REF!</definedName>
    <definedName name="MMEQU2Q96">#REF!</definedName>
    <definedName name="MMEQU3Q95">#REF!</definedName>
    <definedName name="MMEQU3Q96">#REF!</definedName>
    <definedName name="MMEQU4Q95">#REF!</definedName>
    <definedName name="MMEQU4Q96">#REF!</definedName>
    <definedName name="MMEQUAU95">#REF!</definedName>
    <definedName name="MMEQUJL95">#REF!</definedName>
    <definedName name="MMEQUJN95">#REF!</definedName>
    <definedName name="MMEQUSE95">#REF!</definedName>
    <definedName name="MMFLU1Q96">#REF!</definedName>
    <definedName name="MMFLU2Q96">#REF!</definedName>
    <definedName name="MMFLU3Q95">#REF!</definedName>
    <definedName name="MMFLU3Q96">#REF!</definedName>
    <definedName name="MMFLU4Q95">#REF!</definedName>
    <definedName name="MMFLU4Q96">#REF!</definedName>
    <definedName name="MMFLUAU95">#REF!</definedName>
    <definedName name="MMFLUJL95">#REF!</definedName>
    <definedName name="MMFLUJN95">#REF!</definedName>
    <definedName name="MMFLUSE95">#REF!</definedName>
    <definedName name="MMOTH1Q96">#REF!</definedName>
    <definedName name="MMOTH2Q96">#REF!</definedName>
    <definedName name="MMOTH3Q95">#REF!</definedName>
    <definedName name="MMOTH3Q96">#REF!</definedName>
    <definedName name="MMOTH4Q95">#REF!</definedName>
    <definedName name="MMOTH4Q96">#REF!</definedName>
    <definedName name="MMOTHAU95">#REF!</definedName>
    <definedName name="MMOTHJL95">#REF!</definedName>
    <definedName name="MMOTHJN95">#REF!</definedName>
    <definedName name="MMOTHSE95">#REF!</definedName>
    <definedName name="MMPRO1Q96">#REF!</definedName>
    <definedName name="MMPRO2Q96">#REF!</definedName>
    <definedName name="MMPRO3Q95">#REF!</definedName>
    <definedName name="MMPRO3Q96">#REF!</definedName>
    <definedName name="MMPRO4Q95">#REF!</definedName>
    <definedName name="MMPRO4Q96">#REF!</definedName>
    <definedName name="MMPROAU95">#REF!</definedName>
    <definedName name="MMPROJL95">#REF!</definedName>
    <definedName name="MMPROJN95">#REF!</definedName>
    <definedName name="MMPROSE95">#REF!</definedName>
    <definedName name="MMTRA1Q96">#REF!</definedName>
    <definedName name="MMTRA2Q96">#REF!</definedName>
    <definedName name="MMTRA3Q95">#REF!</definedName>
    <definedName name="MMTRA3Q96">#REF!</definedName>
    <definedName name="MMTRA4Q95">#REF!</definedName>
    <definedName name="MMTRA4Q96">#REF!</definedName>
    <definedName name="MMTRAAU95">#REF!</definedName>
    <definedName name="MMTRAJL95">#REF!</definedName>
    <definedName name="MMTRAJN95">#REF!</definedName>
    <definedName name="MMTRASE95">#REF!</definedName>
    <definedName name="mongbang">#REF!</definedName>
    <definedName name="mongdon">#REF!</definedName>
    <definedName name="MOTH1Q96">#REF!</definedName>
    <definedName name="MOTH2Q96">#REF!</definedName>
    <definedName name="MOTH3Q95">#REF!</definedName>
    <definedName name="MOTH3Q96">#REF!</definedName>
    <definedName name="MOTH4Q95">#REF!</definedName>
    <definedName name="MOTH4Q96">#REF!</definedName>
    <definedName name="MOTHAU95">#REF!</definedName>
    <definedName name="MOTHJL95">#REF!</definedName>
    <definedName name="MOTHJN95">#REF!</definedName>
    <definedName name="MOTHSE95">#REF!</definedName>
    <definedName name="MPAO1Q96">#REF!</definedName>
    <definedName name="MPAO2Q96">#REF!</definedName>
    <definedName name="MPAO3Q96">#REF!</definedName>
    <definedName name="MPAO4Q95">#REF!</definedName>
    <definedName name="MPAO4Q96">#REF!</definedName>
    <definedName name="MPAOAU95">#REF!</definedName>
    <definedName name="MPAOJL95">#REF!</definedName>
    <definedName name="MPAOJN95">#REF!</definedName>
    <definedName name="MPAOSE95">#REF!</definedName>
    <definedName name="MPRO1Q96">#REF!</definedName>
    <definedName name="MPRO2Q96">#REF!</definedName>
    <definedName name="MPRO3Q95">#REF!</definedName>
    <definedName name="MPRO3Q96">#REF!</definedName>
    <definedName name="MPRO4Q95">#REF!</definedName>
    <definedName name="MPRO4Q96">#REF!</definedName>
    <definedName name="MPROAU95">#REF!</definedName>
    <definedName name="MPROJL95">#REF!</definedName>
    <definedName name="MPROJN95">#REF!</definedName>
    <definedName name="MPROSE95">#REF!</definedName>
    <definedName name="MSYN1Q96">#REF!</definedName>
    <definedName name="MSYN2Q96">#REF!</definedName>
    <definedName name="MSYN3Q96">#REF!</definedName>
    <definedName name="MSYN4Q95">#REF!</definedName>
    <definedName name="MSYN4Q96">#REF!</definedName>
    <definedName name="MSYNAU95">#REF!</definedName>
    <definedName name="MSYNJL95">#REF!</definedName>
    <definedName name="MSYNJN95">#REF!</definedName>
    <definedName name="MSYNSE95">#REF!</definedName>
    <definedName name="MTHPLAN">#REF!</definedName>
    <definedName name="MTRA1Q96">#REF!</definedName>
    <definedName name="MTRA2Q96">#REF!</definedName>
    <definedName name="MTRA3Q95">#REF!</definedName>
    <definedName name="MTRA3Q96">#REF!</definedName>
    <definedName name="MTRA4Q95">#REF!</definedName>
    <definedName name="MTRA4Q96">#REF!</definedName>
    <definedName name="MTRAAU95">#REF!</definedName>
    <definedName name="MTRAJL95">#REF!</definedName>
    <definedName name="MTRAJN95">#REF!</definedName>
    <definedName name="MTRASE95">#REF!</definedName>
    <definedName name="MWELL95">#REF!</definedName>
    <definedName name="MWELL96">#REF!</definedName>
    <definedName name="NAME">#REF!</definedName>
    <definedName name="NET_PDT">[3]S!#REF!,[3]S!#REF!</definedName>
    <definedName name="NET_PDT16">[3]S!#REF!,[3]S!#REF!</definedName>
    <definedName name="NET_PDT26">[3]S!#REF!,[3]S!#REF!</definedName>
    <definedName name="NET_PDT35">[3]S!#REF!,[3]S!#REF!</definedName>
    <definedName name="NET_PDT36">[3]S!#REF!,[3]S!#REF!</definedName>
    <definedName name="NET_PDT45">[3]S!#REF!,[3]S!#REF!</definedName>
    <definedName name="NET_PDT46">[3]S!#REF!,[3]S!#REF!</definedName>
    <definedName name="NET_PDT55">[3]S!#REF!,[3]S!#REF!</definedName>
    <definedName name="NET_PDT56">[3]S!$Q$18:$Q$24,[3]S!$Q$27</definedName>
    <definedName name="NET_PDT66">[3]S!$R$18:$R$24,[3]S!$R$27</definedName>
    <definedName name="nkmjk" hidden="1">{#N/A,#N/A,FALSE,"sum";#N/A,#N/A,FALSE,"MARTV";#N/A,#N/A,FALSE,"APRTV"}</definedName>
    <definedName name="NL01_InKTS_nganhang">#REF!</definedName>
    <definedName name="NO">[4]DATA!$H$12:$H$318</definedName>
    <definedName name="nock">#REF!</definedName>
    <definedName name="Nov">#REF!</definedName>
    <definedName name="object">#REF!</definedName>
    <definedName name="Oct">#REF!</definedName>
    <definedName name="ojec">#REF!</definedName>
    <definedName name="OneTwoThree">#REF!</definedName>
    <definedName name="OneTwoThree_5">#REF!</definedName>
    <definedName name="Online" hidden="1">{#N/A,#N/A,FALSE,"sum";#N/A,#N/A,FALSE,"MARTV";#N/A,#N/A,FALSE,"APRTV"}</definedName>
    <definedName name="PAGE1">'[3]MI2A-A:MI3'!$A$1:$N$58</definedName>
    <definedName name="PAGE2">#REF!</definedName>
    <definedName name="PAGE3">'[3]MI3:MI20(1)'!$A$1:$I$41</definedName>
    <definedName name="PAGE4">#REF!</definedName>
    <definedName name="PAGE5">#REF!</definedName>
    <definedName name="PAGE6">#REF!</definedName>
    <definedName name="PAGE7">#REF!</definedName>
    <definedName name="panen">#REF!</definedName>
    <definedName name="PAO1Q96">#REF!</definedName>
    <definedName name="PAO2Q96">#REF!</definedName>
    <definedName name="PAO3Q96">#REF!</definedName>
    <definedName name="PAO4Q95">#REF!</definedName>
    <definedName name="PAO4Q96">#REF!</definedName>
    <definedName name="PAOAU95">#REF!</definedName>
    <definedName name="PAOJL95">#REF!</definedName>
    <definedName name="PAOJN95">#REF!</definedName>
    <definedName name="PAOSE95">#REF!</definedName>
    <definedName name="_xlnm.Print_Area">#REF!</definedName>
    <definedName name="PRINT_AREA_MI">#REF!</definedName>
    <definedName name="PS">[4]DATA!$J$12:$J$318</definedName>
    <definedName name="q">#REF!</definedName>
    <definedName name="QQWQFG">#REF!</definedName>
    <definedName name="qw" hidden="1">{#N/A,#N/A,FALSE,"sum";#N/A,#N/A,FALSE,"MARTV";#N/A,#N/A,FALSE,"APRTV"}</definedName>
    <definedName name="qwd" hidden="1">{#N/A,#N/A,FALSE,"sum";#N/A,#N/A,FALSE,"MARTV";#N/A,#N/A,FALSE,"APRTV"}</definedName>
    <definedName name="qwdEF" hidden="1">{#N/A,#N/A,FALSE,"sum";#N/A,#N/A,FALSE,"MARTV";#N/A,#N/A,FALSE,"APRTV"}</definedName>
    <definedName name="qwe">#REF!</definedName>
    <definedName name="rate10">#REF!</definedName>
    <definedName name="Rate2004Print">'[6]Rate-Card-04'!$A$6:$AP$116</definedName>
    <definedName name="Ratecard">[10]Ratecard!$K$7:$P$451</definedName>
    <definedName name="rateù0">#REF!</definedName>
    <definedName name="rere" hidden="1">{#N/A,#N/A,FALSE,"sum";#N/A,#N/A,FALSE,"MARTV";#N/A,#N/A,FALSE,"APRTV"}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[10]Ratecard!$AG$5</definedName>
    <definedName name="san">#REF!</definedName>
    <definedName name="sccr">#REF!</definedName>
    <definedName name="scdt">#REF!</definedName>
    <definedName name="SDF" hidden="1">{#N/A,#N/A,FALSE,"sum";#N/A,#N/A,FALSE,"MARTV";#N/A,#N/A,FALSE,"APRTV"}</definedName>
    <definedName name="sdfdsf">#REF!</definedName>
    <definedName name="Sep">#REF!</definedName>
    <definedName name="sfagasertuyjhrt6">#REF!</definedName>
    <definedName name="sGB" hidden="1">{#N/A,#N/A,FALSE,"sum";#N/A,#N/A,FALSE,"MARTV";#N/A,#N/A,FALSE,"APRTV"}</definedName>
    <definedName name="Size">'[6]Rate-Card-04'!$F$5:$V$7</definedName>
    <definedName name="slg">#REF!</definedName>
    <definedName name="sm">#REF!</definedName>
    <definedName name="sqacf" hidden="1">{#N/A,#N/A,FALSE,"sum";#N/A,#N/A,FALSE,"MARTV";#N/A,#N/A,FALSE,"APRTV"}</definedName>
    <definedName name="SUM_VND_SPARE">#REF!</definedName>
    <definedName name="SYN1Q96">#REF!</definedName>
    <definedName name="SYN2Q96">#REF!</definedName>
    <definedName name="SYN3Q96">#REF!</definedName>
    <definedName name="SYN4Q95">#REF!</definedName>
    <definedName name="SYN4Q96">#REF!</definedName>
    <definedName name="SYNAU95">#REF!</definedName>
    <definedName name="SYNJL95">#REF!</definedName>
    <definedName name="SYNJN95">#REF!</definedName>
    <definedName name="SYNSE95">#REF!</definedName>
    <definedName name="TA07_Bang_Doimoitungngay">#REF!</definedName>
    <definedName name="Table1">[6]BRAND!$B$6:$F$53</definedName>
    <definedName name="Tangled">#REF!</definedName>
    <definedName name="TEMP">#REF!</definedName>
    <definedName name="tenck">#REF!</definedName>
    <definedName name="TENG1Q96">#REF!</definedName>
    <definedName name="TENG2Q96">#REF!</definedName>
    <definedName name="TENG3Q95">#REF!</definedName>
    <definedName name="TENG3Q96">#REF!</definedName>
    <definedName name="TENG4Q95">#REF!</definedName>
    <definedName name="TENG4Q96">#REF!</definedName>
    <definedName name="TENGAU95">#REF!</definedName>
    <definedName name="TENGJL95">#REF!</definedName>
    <definedName name="TENGJN95">#REF!</definedName>
    <definedName name="TENGSE95">#REF!</definedName>
    <definedName name="TEQU1Q96">#REF!</definedName>
    <definedName name="TEQU2Q96">#REF!</definedName>
    <definedName name="TEQU3Q95">#REF!</definedName>
    <definedName name="TEQU3Q96">#REF!</definedName>
    <definedName name="TEQU4Q95">#REF!</definedName>
    <definedName name="TEQU4Q96">#REF!</definedName>
    <definedName name="TEQUAU95">#REF!</definedName>
    <definedName name="TEQUJL95">#REF!</definedName>
    <definedName name="TEQUJN95">#REF!</definedName>
    <definedName name="TEQUSE95">#REF!</definedName>
    <definedName name="TFLU1Q96">#REF!</definedName>
    <definedName name="TFLU2Q96">#REF!</definedName>
    <definedName name="TFLU3Q95">#REF!</definedName>
    <definedName name="TFLU3Q96">#REF!</definedName>
    <definedName name="TFLU4Q95">#REF!</definedName>
    <definedName name="TFLU4Q96">#REF!</definedName>
    <definedName name="TFLUAU95">#REF!</definedName>
    <definedName name="TFLUJL95">#REF!</definedName>
    <definedName name="TFLUJN95">#REF!</definedName>
    <definedName name="TFLUSE95">#REF!</definedName>
    <definedName name="thang">#REF!</definedName>
    <definedName name="thanhtien">#REF!</definedName>
    <definedName name="thepban">#REF!</definedName>
    <definedName name="thetichck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O_HANGVAO">[4]MUAVAO!#REF!</definedName>
    <definedName name="TO_THUEVAO">#REF!</definedName>
    <definedName name="tongbt">#REF!</definedName>
    <definedName name="tongcong">#REF!</definedName>
    <definedName name="tongdientich">#REF!</definedName>
    <definedName name="tongthep">#REF!</definedName>
    <definedName name="tongthetich">#REF!</definedName>
    <definedName name="tongvao">#REF!</definedName>
    <definedName name="TOTH1Q96">#REF!</definedName>
    <definedName name="TOTH2Q96">#REF!</definedName>
    <definedName name="TOTH3Q95">#REF!</definedName>
    <definedName name="TOTH3Q96">#REF!</definedName>
    <definedName name="TOTH4Q95">#REF!</definedName>
    <definedName name="TOTH4Q96">#REF!</definedName>
    <definedName name="TOTHAU95">#REF!</definedName>
    <definedName name="TOTHJL95">#REF!</definedName>
    <definedName name="TOTHJN95">#REF!</definedName>
    <definedName name="TOTHSE95">#REF!</definedName>
    <definedName name="TPRO1Q96">#REF!</definedName>
    <definedName name="TPRO2Q96">#REF!</definedName>
    <definedName name="TPRO3Q95">#REF!</definedName>
    <definedName name="TPRO3Q96">#REF!</definedName>
    <definedName name="TPRO4Q95">#REF!</definedName>
    <definedName name="TPRO4Q96">#REF!</definedName>
    <definedName name="TPROAU95">#REF!</definedName>
    <definedName name="TPROJL95">#REF!</definedName>
    <definedName name="TPROJN95">#REF!</definedName>
    <definedName name="TPROSE95">#REF!</definedName>
    <definedName name="trt" hidden="1">{#N/A,#N/A,FALSE,"sum";#N/A,#N/A,FALSE,"MARTV";#N/A,#N/A,FALSE,"APRTV"}</definedName>
    <definedName name="TSSCM">#REF!</definedName>
    <definedName name="TSSCM_5">#REF!</definedName>
    <definedName name="TTRA1Q96">#REF!</definedName>
    <definedName name="TTRA2Q96">#REF!</definedName>
    <definedName name="TTRA3Q95">#REF!</definedName>
    <definedName name="TTRA3Q96">#REF!</definedName>
    <definedName name="TTRA4Q95">#REF!</definedName>
    <definedName name="TTRA4Q96">#REF!</definedName>
    <definedName name="TTRAAU95">#REF!</definedName>
    <definedName name="TTRAJL95">#REF!</definedName>
    <definedName name="TTRAJN95">#REF!</definedName>
    <definedName name="TTRASE95">#REF!</definedName>
    <definedName name="Ttruc01_thiep2004">#REF!</definedName>
    <definedName name="TV0997_TV0997_List">#REF!</definedName>
    <definedName name="TWELL95">#REF!</definedName>
    <definedName name="TWELL96">#REF!</definedName>
    <definedName name="uiui">#REF!</definedName>
    <definedName name="WeekNumbers">'[7]#REF'!#REF!</definedName>
    <definedName name="weqw">[12]P3!#REF!</definedName>
    <definedName name="werwr">#REF!</definedName>
    <definedName name="WQGVWET35YHJ" hidden="1">{#N/A,#N/A,FALSE,"sum";#N/A,#N/A,FALSE,"MARTV";#N/A,#N/A,FALSE,"APRTV"}</definedName>
    <definedName name="wrgftqw" hidden="1">{#N/A,#N/A,FALSE,"sum";#N/A,#N/A,FALSE,"MARTV";#N/A,#N/A,FALSE,"APRTV"}</definedName>
    <definedName name="wrn.BAOCAO." hidden="1">{#N/A,#N/A,FALSE,"sum";#N/A,#N/A,FALSE,"MARTV";#N/A,#N/A,FALSE,"APRTV"}</definedName>
    <definedName name="wtaehashb">#REF!</definedName>
    <definedName name="xgfjdtyj">#REF!</definedName>
    <definedName name="xgs">#REF!</definedName>
    <definedName name="Yomost">#REF!</definedName>
    <definedName name="Yomost_5">#REF!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69" l="1"/>
  <c r="H15" i="69"/>
  <c r="H14" i="69"/>
  <c r="H21" i="69"/>
  <c r="H13" i="69"/>
  <c r="H12" i="69"/>
  <c r="H22" i="69"/>
  <c r="H23" i="69"/>
  <c r="H24" i="69"/>
</calcChain>
</file>

<file path=xl/sharedStrings.xml><?xml version="1.0" encoding="utf-8"?>
<sst xmlns="http://schemas.openxmlformats.org/spreadsheetml/2006/main" count="58" uniqueCount="52">
  <si>
    <t xml:space="preserve">To: </t>
  </si>
  <si>
    <t>From:</t>
  </si>
  <si>
    <t>Ms.</t>
  </si>
  <si>
    <t>Hồng Tôn _ AccountTeam_0914291951</t>
  </si>
  <si>
    <t>Add:</t>
  </si>
  <si>
    <t>STT</t>
  </si>
  <si>
    <t>Hạng Mục</t>
  </si>
  <si>
    <t>Chi Tiết</t>
  </si>
  <si>
    <t>ĐVT</t>
  </si>
  <si>
    <t>SỐ LƯỢNG</t>
  </si>
  <si>
    <t>ĐƠN GIÁ
(VNĐ)</t>
  </si>
  <si>
    <t>THÀNH TIỀN 
(VNĐ)</t>
  </si>
  <si>
    <t>Notes</t>
  </si>
  <si>
    <t>Yến</t>
  </si>
  <si>
    <t>Marico</t>
  </si>
  <si>
    <t>Chân thành cảm ơn Quí khách hàng đã quan tâm đến dịch vụ của công ty Gia Nguyễn, chúng tôi xin gởi bảng báo giá theo yêu cầu như sau:</t>
  </si>
  <si>
    <t>gói</t>
  </si>
  <si>
    <t>bộ</t>
  </si>
  <si>
    <t>VAT (8%)</t>
  </si>
  <si>
    <t>Tổng Cộng</t>
  </si>
  <si>
    <t>34 Đào Trí , P.Phú Thuận, Q.7  TP.HCM</t>
  </si>
  <si>
    <t>TP. Hồ Chí Minh, ngày 25 tháng 05 năm 2026</t>
  </si>
  <si>
    <t>(Số://GN26)</t>
  </si>
  <si>
    <t>In art standee X</t>
  </si>
  <si>
    <t>. KT 0,6mW x 1,6mH</t>
  </si>
  <si>
    <t>Bút chì mầm cây</t>
  </si>
  <si>
    <t>. Kèm giấy đi kèm</t>
  </si>
  <si>
    <t>cái</t>
  </si>
  <si>
    <t>Chậu xương rồng nhỏ</t>
  </si>
  <si>
    <t>phần</t>
  </si>
  <si>
    <t>Prop chụp hình</t>
  </si>
  <si>
    <t>cây</t>
  </si>
  <si>
    <t>. Khung sắt ốp formex dán PP</t>
  </si>
  <si>
    <t>Booth 2m5W x 2m5H</t>
  </si>
  <si>
    <t>hông 10cm</t>
  </si>
  <si>
    <t>Sticker</t>
  </si>
  <si>
    <t>Diecut</t>
  </si>
  <si>
    <t>. Cầu vồng, trái tim, pride icons,…</t>
  </si>
  <si>
    <t>. In PP dán lên booth</t>
  </si>
  <si>
    <t>200 cái kt 5x5cm</t>
  </si>
  <si>
    <t>. Màu Acrylic</t>
  </si>
  <si>
    <t>Bút màu 7 sắc cầu vồng</t>
  </si>
  <si>
    <t>hộp 12 màu</t>
  </si>
  <si>
    <t>Phí vận chuyển, lắp đặt, tháo dỡ</t>
  </si>
  <si>
    <t>Phí thiết kế</t>
  </si>
  <si>
    <t>. Formex dán PP</t>
  </si>
  <si>
    <t>mua 14k/c</t>
  </si>
  <si>
    <t>mua 65k/c</t>
  </si>
  <si>
    <t>BẢNG BÁO GIÁ - MARICO - WORLD ENVIRONMENT DAY &amp; PRIDE MONTH</t>
  </si>
  <si>
    <t>khung sắt căng hiflex hoặc cái frame ko đủ chắc chắn để tô vẽ</t>
  </si>
  <si>
    <t>. Chậu sứ trắng + hộp trong suốt đi kèm</t>
  </si>
  <si>
    <t>làm full hạng mục 3,5tr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</si>
</sst>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82" formatCode="&quot;$&quot;#,##0.00;[Red]&quot;\&quot;&quot;\&quot;&quot;\&quot;&quot;\&quot;&quot;\&quot;&quot;\&quot;\-&quot;$&quot;#,##0.00"/>
    <numFmt numFmtId="183" formatCode="_-&quot;$&quot;* #,##0_-;&quot;\&quot;&quot;\&quot;&quot;\&quot;&quot;\&quot;&quot;\&quot;&quot;\&quot;\-&quot;$&quot;* #,##0_-;_-&quot;$&quot;* &quot;-&quot;_-;_-@_-"/>
    <numFmt numFmtId="184" formatCode="_-* #,##0.00_-;\-* #,##0.00_-;_-* &quot;-&quot;??_-;_-@_-"/>
    <numFmt numFmtId="185" formatCode="_-&quot;\&quot;* #,##0.00_-;&quot;\&quot;\-&quot;\&quot;* #,##0.00_-;_-&quot;\&quot;* &quot;-&quot;??_-;_-@_-"/>
    <numFmt numFmtId="186" formatCode="\$#,##0.00_);[Red]\(\$#,##0.00\)"/>
    <numFmt numFmtId="187" formatCode="&quot;\&quot;#,##0.00;[Red]&quot;\&quot;\-#,##0.00"/>
    <numFmt numFmtId="188" formatCode="\$#,##0\ ;\(\$#,##0\)"/>
    <numFmt numFmtId="189" formatCode="_(&quot;$&quot;* #,##0.0_);_(&quot;$&quot;* \(#,##0.0\);_(&quot;$&quot;* &quot;-&quot;??_);_(@_)"/>
    <numFmt numFmtId="190" formatCode="_ * #,##0.00_ ;_ * \-#,##0.00_ ;_ * &quot;-&quot;??_ ;_ @_ "/>
    <numFmt numFmtId="191" formatCode="0.00\ &quot;in&quot;"/>
    <numFmt numFmtId="192" formatCode="[Blue]0.00\ &quot;in&quot;"/>
    <numFmt numFmtId="193" formatCode="&quot;¥&quot;#,##0.00;[Red]&quot;¥&quot;&quot;¥&quot;&quot;¥&quot;&quot;¥&quot;&quot;¥&quot;&quot;¥&quot;\-#,##0.00"/>
    <numFmt numFmtId="194" formatCode="_-&quot;$&quot;* #,##0.00_-;\-&quot;$&quot;* #,##0.00_-;_-&quot;$&quot;* &quot;-&quot;??_-;_-@_-"/>
    <numFmt numFmtId="195" formatCode="_(\$* #,##0.00_);_(\$* \(#,##0.00\);_(\$* \-??_);_(@_)"/>
    <numFmt numFmtId="196" formatCode="&quot;¥&quot;#,##0;[Red]&quot;¥&quot;&quot;¥&quot;\-#,##0"/>
    <numFmt numFmtId="197" formatCode="&quot;$&quot;#,##0.00;&quot;\&quot;&quot;\&quot;&quot;\&quot;&quot;\&quot;&quot;\&quot;&quot;\&quot;\-&quot;$&quot;#,##0.00"/>
    <numFmt numFmtId="198" formatCode="[Blue]0.0000\ &quot;Cft/ft&quot;"/>
    <numFmt numFmtId="199" formatCode="&quot;$&quot;#,##0;[Red]&quot;\&quot;&quot;\&quot;&quot;\&quot;&quot;\&quot;&quot;\&quot;&quot;\&quot;\-&quot;$&quot;#,##0"/>
    <numFmt numFmtId="200" formatCode="_-&quot;$&quot;* #,##0_-;\-&quot;$&quot;* #,##0_-;_-&quot;$&quot;* &quot;-&quot;_-;_-@_-"/>
    <numFmt numFmtId="201" formatCode="#,###,;\-#,###,"/>
    <numFmt numFmtId="202" formatCode="#,##0;\-#,##0;&quot;---&quot;"/>
    <numFmt numFmtId="203" formatCode="&quot;\&quot;#,##0;[Red]&quot;\&quot;&quot;\&quot;\-#,##0"/>
    <numFmt numFmtId="204" formatCode="_ * #,##0_ ;_ * \-#,##0_ ;_ * &quot;-&quot;_ ;_ @_ "/>
    <numFmt numFmtId="205" formatCode="_-* #,##0_-;\-* #,##0_-;_-* &quot;-&quot;_-;_-@_-"/>
    <numFmt numFmtId="206" formatCode="_-&quot;\&quot;* #,##0_-;&quot;\&quot;&quot;\&quot;\-&quot;\&quot;* #,##0_-;_-&quot;\&quot;* &quot;-&quot;_-;_-@_-"/>
    <numFmt numFmtId="207" formatCode="_-&quot;\&quot;* #,##0.00_-;&quot;\&quot;&quot;\&quot;\-&quot;\&quot;* #,##0.00_-;_-&quot;\&quot;* &quot;-&quot;??_-;_-@_-"/>
    <numFmt numFmtId="208" formatCode="&quot;\&quot;#,##0.00;[Red]&quot;\&quot;&quot;\&quot;&quot;\&quot;&quot;\&quot;&quot;\&quot;&quot;\&quot;\-#,##0.00"/>
    <numFmt numFmtId="209" formatCode="&quot;\&quot;#,##0;[Red]&quot;\&quot;\-#,##0"/>
    <numFmt numFmtId="210" formatCode="_(* #,##0_);_(* \(#,##0\);_(* &quot;-&quot;??_);_(@_)"/>
  </numFmts>
  <fonts count="68">
    <font>
      <sz val="10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7"/>
      <name val="Small Fonts"/>
      <family val="2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8"/>
      <name val="Calibri"/>
      <family val="2"/>
    </font>
    <font>
      <sz val="12"/>
      <name val="¹ÙÅÁÃ¼"/>
      <family val="2"/>
    </font>
    <font>
      <sz val="10"/>
      <name val="VNI-Aptima"/>
    </font>
    <font>
      <sz val="11"/>
      <color indexed="8"/>
      <name val="宋体"/>
      <charset val="134"/>
    </font>
    <font>
      <sz val="11"/>
      <name val="–¾’©"/>
      <family val="2"/>
    </font>
    <font>
      <sz val="11"/>
      <color indexed="9"/>
      <name val="宋体"/>
      <charset val="134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4"/>
      <name val="??"/>
      <family val="2"/>
    </font>
    <font>
      <sz val="12"/>
      <name val="宋体"/>
      <charset val="134"/>
    </font>
    <font>
      <sz val="10"/>
      <name val="N Helvetica Narrow"/>
      <family val="2"/>
    </font>
    <font>
      <sz val="12"/>
      <name val="바탕체"/>
      <family val="2"/>
    </font>
    <font>
      <sz val="12"/>
      <name val="Helv"/>
      <family val="2"/>
    </font>
    <font>
      <b/>
      <sz val="12"/>
      <name val="Arial"/>
      <family val="2"/>
    </font>
    <font>
      <sz val="12"/>
      <name val="VNI-Aptima"/>
    </font>
    <font>
      <sz val="10"/>
      <name val="Verdana"/>
      <family val="2"/>
    </font>
    <font>
      <b/>
      <sz val="18"/>
      <color indexed="62"/>
      <name val="宋体"/>
      <charset val="134"/>
    </font>
    <font>
      <sz val="11"/>
      <color indexed="52"/>
      <name val="宋体"/>
      <charset val="134"/>
    </font>
    <font>
      <sz val="8"/>
      <name val="Arial"/>
      <family val="2"/>
    </font>
    <font>
      <sz val="12"/>
      <name val="新細明體"/>
      <family val="1"/>
      <charset val="136"/>
    </font>
    <font>
      <sz val="10"/>
      <name val="???"/>
      <family val="2"/>
    </font>
    <font>
      <u/>
      <sz val="12"/>
      <color indexed="12"/>
      <name val="宋体"/>
      <charset val="134"/>
    </font>
    <font>
      <sz val="12"/>
      <name val="뼻뮝"/>
      <family val="2"/>
    </font>
    <font>
      <sz val="12"/>
      <name val="±¼¸²Ã¼"/>
      <family val="2"/>
    </font>
    <font>
      <b/>
      <sz val="13"/>
      <color indexed="62"/>
      <name val="宋体"/>
      <charset val="134"/>
    </font>
    <font>
      <b/>
      <i/>
      <sz val="9"/>
      <name val="Arial"/>
      <family val="2"/>
    </font>
    <font>
      <b/>
      <sz val="9"/>
      <name val="Arial"/>
      <family val="2"/>
    </font>
    <font>
      <b/>
      <sz val="11"/>
      <color indexed="8"/>
      <name val="宋体"/>
      <charset val="134"/>
    </font>
    <font>
      <sz val="14"/>
      <name val="뼻뮝"/>
      <family val="2"/>
    </font>
    <font>
      <b/>
      <sz val="11"/>
      <color indexed="9"/>
      <name val="宋体"/>
      <charset val="134"/>
    </font>
    <font>
      <b/>
      <sz val="11"/>
      <color indexed="62"/>
      <name val="宋体"/>
      <charset val="134"/>
    </font>
    <font>
      <i/>
      <sz val="11"/>
      <color indexed="23"/>
      <name val="宋体"/>
      <charset val="134"/>
    </font>
    <font>
      <sz val="10"/>
      <name val="VNI-Helve-Condense"/>
    </font>
    <font>
      <sz val="10"/>
      <name val="굴림체"/>
      <family val="2"/>
    </font>
    <font>
      <sz val="11"/>
      <color indexed="60"/>
      <name val="宋体"/>
      <charset val="134"/>
    </font>
    <font>
      <b/>
      <sz val="15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80"/>
      <name val="Times New Roman"/>
      <family val="1"/>
    </font>
    <font>
      <b/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0"/>
      <color rgb="FFFF0000"/>
      <name val="Arial"/>
      <family val="2"/>
    </font>
    <font>
      <sz val="11"/>
      <color rgb="FF000000"/>
      <name val="SVN-Avo"/>
      <family val="1"/>
    </font>
    <font>
      <b/>
      <sz val="11"/>
      <color rgb="FF0070C0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93">
    <xf numFmtId="0" fontId="0" fillId="0" borderId="0"/>
    <xf numFmtId="0" fontId="19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9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9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9" fillId="0" borderId="0" applyNumberFormat="0" applyFill="0" applyBorder="0" applyAlignment="0" applyProtection="0"/>
    <xf numFmtId="193" fontId="52" fillId="0" borderId="0" applyFont="0" applyFill="0" applyBorder="0" applyAlignment="0" applyProtection="0"/>
    <xf numFmtId="0" fontId="20" fillId="0" borderId="0" applyFont="0" applyFill="0" applyBorder="0" applyAlignment="0" applyProtection="0"/>
    <xf numFmtId="196" fontId="52" fillId="0" borderId="0" applyFont="0" applyFill="0" applyBorder="0" applyAlignment="0" applyProtection="0"/>
    <xf numFmtId="0" fontId="32" fillId="0" borderId="0"/>
    <xf numFmtId="10" fontId="52" fillId="0" borderId="0" applyFont="0" applyFill="0" applyBorder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5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99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35" fillId="0" borderId="0"/>
    <xf numFmtId="41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86" fontId="21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97" fontId="5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90" fontId="21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95" fontId="52" fillId="0" borderId="0" applyFill="0" applyBorder="0" applyAlignment="0" applyProtection="0"/>
    <xf numFmtId="44" fontId="11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4" fontId="52" fillId="0" borderId="0"/>
    <xf numFmtId="2" fontId="52" fillId="0" borderId="0" applyFont="0" applyFill="0" applyBorder="0" applyAlignment="0" applyProtection="0"/>
    <xf numFmtId="38" fontId="30" fillId="6" borderId="0" applyNumberFormat="0" applyBorder="0" applyAlignment="0" applyProtection="0"/>
    <xf numFmtId="0" fontId="25" fillId="0" borderId="3" applyNumberFormat="0" applyAlignment="0" applyProtection="0">
      <alignment horizontal="left" vertical="center"/>
    </xf>
    <xf numFmtId="0" fontId="25" fillId="0" borderId="4">
      <alignment horizontal="left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10" fontId="30" fillId="4" borderId="8" applyNumberFormat="0" applyBorder="0" applyAlignment="0" applyProtection="0"/>
    <xf numFmtId="201" fontId="37" fillId="0" borderId="9" applyFont="0" applyFill="0" applyBorder="0" applyAlignment="0" applyProtection="0">
      <alignment horizontal="center"/>
    </xf>
    <xf numFmtId="202" fontId="38" fillId="0" borderId="10" applyFont="0" applyFill="0" applyBorder="0" applyAlignment="0" applyProtection="0">
      <alignment horizontal="center"/>
    </xf>
    <xf numFmtId="192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85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1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37" fontId="8" fillId="0" borderId="0"/>
    <xf numFmtId="0" fontId="24" fillId="0" borderId="0"/>
    <xf numFmtId="0" fontId="17" fillId="0" borderId="0"/>
    <xf numFmtId="0" fontId="26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52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/>
    <xf numFmtId="0" fontId="2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2" fillId="0" borderId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22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7" fillId="0" borderId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0" fontId="52" fillId="0" borderId="0" applyFont="0" applyFill="0" applyBorder="0" applyAlignment="0" applyProtection="0"/>
    <xf numFmtId="0" fontId="34" fillId="0" borderId="0"/>
    <xf numFmtId="204" fontId="23" fillId="0" borderId="0" applyFont="0" applyFill="0" applyBorder="0" applyAlignment="0" applyProtection="0"/>
    <xf numFmtId="203" fontId="52" fillId="0" borderId="0" applyFont="0" applyFill="0" applyBorder="0" applyAlignment="0" applyProtection="0"/>
    <xf numFmtId="208" fontId="52" fillId="0" borderId="0" applyFont="0" applyFill="0" applyBorder="0" applyAlignment="0" applyProtection="0"/>
    <xf numFmtId="187" fontId="23" fillId="0" borderId="0" applyFont="0" applyFill="0" applyBorder="0" applyAlignment="0" applyProtection="0"/>
    <xf numFmtId="209" fontId="23" fillId="0" borderId="0" applyFont="0" applyFill="0" applyBorder="0" applyAlignment="0" applyProtection="0"/>
    <xf numFmtId="0" fontId="45" fillId="0" borderId="0"/>
    <xf numFmtId="0" fontId="31" fillId="0" borderId="0"/>
    <xf numFmtId="18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16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7" fillId="0" borderId="5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/>
    <xf numFmtId="0" fontId="41" fillId="15" borderId="2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1" fillId="4" borderId="1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" borderId="1" applyNumberFormat="0" applyAlignment="0" applyProtection="0">
      <alignment vertical="center"/>
    </xf>
    <xf numFmtId="200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50" fillId="3" borderId="1" applyNumberFormat="0" applyAlignment="0" applyProtection="0">
      <alignment vertical="center"/>
    </xf>
    <xf numFmtId="0" fontId="51" fillId="2" borderId="13" applyNumberFormat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</cellStyleXfs>
  <cellXfs count="63">
    <xf numFmtId="0" fontId="0" fillId="0" borderId="0" xfId="0"/>
    <xf numFmtId="0" fontId="55" fillId="0" borderId="0" xfId="0" applyFont="1"/>
    <xf numFmtId="0" fontId="56" fillId="0" borderId="0" xfId="0" applyFont="1" applyAlignment="1">
      <alignment horizontal="center"/>
    </xf>
    <xf numFmtId="43" fontId="1" fillId="0" borderId="0" xfId="112" applyFont="1"/>
    <xf numFmtId="0" fontId="57" fillId="0" borderId="0" xfId="0" applyFont="1"/>
    <xf numFmtId="3" fontId="57" fillId="0" borderId="0" xfId="0" applyNumberFormat="1" applyFont="1"/>
    <xf numFmtId="0" fontId="2" fillId="0" borderId="0" xfId="112" applyNumberFormat="1" applyFont="1" applyFill="1" applyBorder="1" applyAlignment="1">
      <alignment horizontal="right"/>
    </xf>
    <xf numFmtId="0" fontId="58" fillId="0" borderId="0" xfId="112" applyNumberFormat="1" applyFont="1"/>
    <xf numFmtId="0" fontId="2" fillId="0" borderId="0" xfId="112" applyNumberFormat="1" applyFont="1" applyAlignment="1">
      <alignment horizontal="right"/>
    </xf>
    <xf numFmtId="210" fontId="59" fillId="0" borderId="0" xfId="112" applyNumberFormat="1" applyFont="1"/>
    <xf numFmtId="43" fontId="3" fillId="0" borderId="0" xfId="112" applyFont="1"/>
    <xf numFmtId="0" fontId="3" fillId="0" borderId="0" xfId="112" applyNumberFormat="1" applyFont="1"/>
    <xf numFmtId="0" fontId="4" fillId="0" borderId="0" xfId="112" applyNumberFormat="1" applyFont="1" applyAlignment="1">
      <alignment horizontal="right"/>
    </xf>
    <xf numFmtId="0" fontId="3" fillId="0" borderId="0" xfId="112" applyNumberFormat="1" applyFont="1" applyAlignment="1">
      <alignment horizontal="left"/>
    </xf>
    <xf numFmtId="0" fontId="60" fillId="0" borderId="0" xfId="0" applyFont="1" applyAlignment="1"/>
    <xf numFmtId="43" fontId="4" fillId="0" borderId="0" xfId="112" applyFont="1" applyAlignment="1">
      <alignment horizontal="left"/>
    </xf>
    <xf numFmtId="43" fontId="4" fillId="0" borderId="0" xfId="112" applyFont="1"/>
    <xf numFmtId="43" fontId="4" fillId="0" borderId="0" xfId="112" applyFont="1" applyAlignment="1">
      <alignment horizontal="center"/>
    </xf>
    <xf numFmtId="43" fontId="1" fillId="0" borderId="0" xfId="112" applyFont="1" applyAlignment="1">
      <alignment vertical="center"/>
    </xf>
    <xf numFmtId="43" fontId="61" fillId="0" borderId="0" xfId="112" applyFont="1" applyAlignment="1">
      <alignment vertical="center"/>
    </xf>
    <xf numFmtId="184" fontId="62" fillId="0" borderId="0" xfId="0" applyNumberFormat="1" applyFont="1" applyAlignment="1">
      <alignment vertical="center"/>
    </xf>
    <xf numFmtId="43" fontId="3" fillId="0" borderId="0" xfId="112" applyFont="1" applyBorder="1" applyAlignment="1">
      <alignment vertical="center"/>
    </xf>
    <xf numFmtId="3" fontId="55" fillId="0" borderId="0" xfId="0" applyNumberFormat="1" applyFont="1"/>
    <xf numFmtId="3" fontId="56" fillId="0" borderId="0" xfId="0" applyNumberFormat="1" applyFont="1" applyAlignment="1">
      <alignment horizontal="center"/>
    </xf>
    <xf numFmtId="3" fontId="63" fillId="0" borderId="0" xfId="0" applyNumberFormat="1" applyFont="1" applyAlignment="1">
      <alignment wrapText="1"/>
    </xf>
    <xf numFmtId="0" fontId="57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41" fontId="56" fillId="0" borderId="0" xfId="105" applyFont="1" applyAlignment="1">
      <alignment horizontal="center"/>
    </xf>
    <xf numFmtId="0" fontId="64" fillId="0" borderId="15" xfId="0" applyFont="1" applyBorder="1" applyAlignment="1">
      <alignment horizontal="center" vertical="center"/>
    </xf>
    <xf numFmtId="0" fontId="64" fillId="19" borderId="16" xfId="0" applyFont="1" applyFill="1" applyBorder="1" applyAlignment="1">
      <alignment horizontal="left" vertical="center"/>
    </xf>
    <xf numFmtId="0" fontId="6" fillId="18" borderId="17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 wrapText="1"/>
    </xf>
    <xf numFmtId="41" fontId="6" fillId="18" borderId="19" xfId="105" applyFont="1" applyFill="1" applyBorder="1" applyAlignment="1">
      <alignment horizontal="center" vertical="center" wrapText="1"/>
    </xf>
    <xf numFmtId="0" fontId="64" fillId="0" borderId="20" xfId="0" applyFont="1" applyBorder="1" applyAlignment="1">
      <alignment horizontal="center" vertical="center"/>
    </xf>
    <xf numFmtId="0" fontId="64" fillId="19" borderId="8" xfId="0" applyFont="1" applyFill="1" applyBorder="1" applyAlignment="1">
      <alignment horizontal="left" vertical="center"/>
    </xf>
    <xf numFmtId="0" fontId="65" fillId="0" borderId="8" xfId="0" applyFont="1" applyBorder="1" applyAlignment="1">
      <alignment horizontal="left" vertical="center" wrapText="1"/>
    </xf>
    <xf numFmtId="0" fontId="66" fillId="0" borderId="8" xfId="0" applyFont="1" applyBorder="1" applyAlignment="1">
      <alignment horizontal="center" vertical="center"/>
    </xf>
    <xf numFmtId="0" fontId="67" fillId="19" borderId="8" xfId="0" applyFont="1" applyFill="1" applyBorder="1" applyAlignment="1">
      <alignment horizontal="center" vertical="center"/>
    </xf>
    <xf numFmtId="3" fontId="66" fillId="0" borderId="8" xfId="0" applyNumberFormat="1" applyFont="1" applyBorder="1" applyAlignment="1">
      <alignment horizontal="right" vertical="center"/>
    </xf>
    <xf numFmtId="41" fontId="66" fillId="0" borderId="21" xfId="105" applyFont="1" applyBorder="1" applyAlignment="1">
      <alignment horizontal="center" vertical="center" wrapText="1"/>
    </xf>
    <xf numFmtId="3" fontId="59" fillId="20" borderId="22" xfId="0" applyNumberFormat="1" applyFont="1" applyFill="1" applyBorder="1" applyAlignment="1">
      <alignment horizontal="right" vertical="center"/>
    </xf>
    <xf numFmtId="3" fontId="59" fillId="20" borderId="23" xfId="0" applyNumberFormat="1" applyFont="1" applyFill="1" applyBorder="1" applyAlignment="1">
      <alignment horizontal="right" vertical="center"/>
    </xf>
    <xf numFmtId="43" fontId="1" fillId="0" borderId="0" xfId="112" applyFont="1" applyBorder="1"/>
    <xf numFmtId="0" fontId="1" fillId="0" borderId="0" xfId="112" applyNumberFormat="1" applyFont="1" applyAlignment="1">
      <alignment vertical="center"/>
    </xf>
    <xf numFmtId="3" fontId="66" fillId="0" borderId="8" xfId="0" applyNumberFormat="1" applyFont="1" applyBorder="1" applyAlignment="1">
      <alignment vertical="center"/>
    </xf>
    <xf numFmtId="0" fontId="65" fillId="0" borderId="16" xfId="0" applyFont="1" applyBorder="1" applyAlignment="1">
      <alignment horizontal="left" vertical="center" wrapText="1"/>
    </xf>
    <xf numFmtId="0" fontId="66" fillId="0" borderId="16" xfId="0" applyFont="1" applyBorder="1" applyAlignment="1">
      <alignment horizontal="center" vertical="center"/>
    </xf>
    <xf numFmtId="0" fontId="67" fillId="19" borderId="16" xfId="0" applyFont="1" applyFill="1" applyBorder="1" applyAlignment="1">
      <alignment horizontal="center" vertical="center"/>
    </xf>
    <xf numFmtId="3" fontId="66" fillId="0" borderId="24" xfId="0" applyNumberFormat="1" applyFont="1" applyBorder="1" applyAlignment="1">
      <alignment vertical="center"/>
    </xf>
    <xf numFmtId="3" fontId="66" fillId="0" borderId="16" xfId="0" applyNumberFormat="1" applyFont="1" applyBorder="1" applyAlignment="1">
      <alignment horizontal="right" vertical="center"/>
    </xf>
    <xf numFmtId="41" fontId="66" fillId="0" borderId="25" xfId="105" applyFont="1" applyBorder="1" applyAlignment="1">
      <alignment horizontal="center" vertical="center" wrapText="1"/>
    </xf>
    <xf numFmtId="3" fontId="59" fillId="20" borderId="26" xfId="0" applyNumberFormat="1" applyFont="1" applyFill="1" applyBorder="1" applyAlignment="1">
      <alignment horizontal="right" vertical="center"/>
    </xf>
    <xf numFmtId="0" fontId="7" fillId="20" borderId="27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7" fillId="20" borderId="29" xfId="0" applyFont="1" applyFill="1" applyBorder="1" applyAlignment="1">
      <alignment horizontal="center" vertical="center"/>
    </xf>
    <xf numFmtId="0" fontId="7" fillId="20" borderId="30" xfId="0" applyFont="1" applyFill="1" applyBorder="1" applyAlignment="1">
      <alignment horizontal="center" vertical="center"/>
    </xf>
    <xf numFmtId="0" fontId="7" fillId="20" borderId="31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/>
    </xf>
    <xf numFmtId="43" fontId="3" fillId="0" borderId="0" xfId="112" applyFont="1" applyBorder="1" applyAlignment="1">
      <alignment horizontal="center" vertical="center"/>
    </xf>
    <xf numFmtId="43" fontId="5" fillId="0" borderId="0" xfId="112" applyFont="1" applyAlignment="1">
      <alignment horizontal="center" vertical="center"/>
    </xf>
    <xf numFmtId="43" fontId="2" fillId="0" borderId="0" xfId="112" applyFont="1" applyAlignment="1">
      <alignment horizontal="center"/>
    </xf>
    <xf numFmtId="43" fontId="2" fillId="0" borderId="33" xfId="112" applyFont="1" applyBorder="1" applyAlignment="1">
      <alignment horizontal="center"/>
    </xf>
  </cellXfs>
  <cellStyles count="1393">
    <cellStyle name="??" xfId="67" xr:uid="{B4854DA4-0A78-4B67-8428-9204930607A4}"/>
    <cellStyle name="?? [0.00]_PRODUCT DETAIL Q1" xfId="68" xr:uid="{64082BDA-5FDA-4CE6-A963-FA0FD0EA69BE}"/>
    <cellStyle name="?? [0]" xfId="69" xr:uid="{CAC0522B-E5AD-49E5-8E2E-F15E1EDD502B}"/>
    <cellStyle name="???? [0.00]_PRODUCT DETAIL Q1" xfId="72" xr:uid="{49278D59-BD39-4434-BD53-C0833B64519F}"/>
    <cellStyle name="????_PRODUCT DETAIL Q1" xfId="73" xr:uid="{5AD0EE8E-25B5-4EF4-AEF4-079FB37EB9C4}"/>
    <cellStyle name="???_HOBONG" xfId="71" xr:uid="{CC48058C-BD08-42B7-9501-DDE43EAFDAA6}"/>
    <cellStyle name="??_(????)??????" xfId="70" xr:uid="{BD0D11A8-6887-4538-B860-6E23AA690D7C}"/>
    <cellStyle name="_~6064872" xfId="1" xr:uid="{C73B6F51-80E7-47D7-9CF9-06D70D78B016}"/>
    <cellStyle name="_06.Media Plan Jun'09-option 2" xfId="2" xr:uid="{3CAD8789-1413-48EE-9708-E4ECC64E811B}"/>
    <cellStyle name="_06.Media Plan Jun'09-option 2_ADJUSTMENT BUREAU" xfId="3" xr:uid="{80532734-A5E3-410B-8E2E-F003D0A8B7A9}"/>
    <cellStyle name="_06.Media Plan Jun'09-option 2_I am Number Four MP - Master" xfId="4" xr:uid="{7664EADA-8F36-4B5C-A476-4F2B07FA6026}"/>
    <cellStyle name="_06.Media Plan Jun'09-option 2_Little Fockers MP - Master" xfId="5" xr:uid="{87F71C33-F264-4F82-A787-5336E24CA51D}"/>
    <cellStyle name="_06.Media Plan Jun'09-option 2_MARS NEEDS MOMS" xfId="6" xr:uid="{9EDE7EB3-70EA-4210-B23D-646A36B97470}"/>
    <cellStyle name="_06.Media Plan Jun'09-option 2_MEgamind updated 23.10" xfId="7" xr:uid="{D1BC09D1-43B4-4BB9-B8FA-7AB5738389A8}"/>
    <cellStyle name="_06.Media Plan Jun'09-option 2_Plan of FOH, OOH " xfId="8" xr:uid="{A56B17D3-0EE6-4A75-A39B-D8E9788CB183}"/>
    <cellStyle name="_06.Media Plan Jun'09-option 2_RANGO MP" xfId="9" xr:uid="{024127FE-A23B-4224-BA5F-9D1155D7B0EE}"/>
    <cellStyle name="_06.Media Plan Jun'09-option 2_Tangled MP - Master" xfId="10" xr:uid="{D2E00110-E7B0-46B7-A7EA-69D75FF2A2B8}"/>
    <cellStyle name="_Biore Sparkling-Booking (Apr'09) " xfId="11" xr:uid="{0013E932-A7CC-418C-9FD3-E5ACBBA3A74E}"/>
    <cellStyle name="_Danh sách thang máy tòa nhà " xfId="12" xr:uid="{F8AD2D1C-1373-409D-95DD-B12D39DC21F0}"/>
    <cellStyle name="_Kotex_media plan V8 in Jan.08" xfId="13" xr:uid="{7E7EB2B4-D714-4F68-93AA-BDA662880238}"/>
    <cellStyle name="_List Update 09-07-09" xfId="14" xr:uid="{10C4BDCA-E40C-4143-A6F9-E30082AE49D8}"/>
    <cellStyle name="_Material" xfId="15" xr:uid="{A720B38F-05C2-4A3F-8584-3A7F1442C6B8}"/>
    <cellStyle name="_Material_ADJUSTMENT BUREAU" xfId="16" xr:uid="{278F7C30-1C91-4D9D-A748-74FB0C7C0B12}"/>
    <cellStyle name="_Material_I am Number Four MP - Master" xfId="17" xr:uid="{98A7E430-0F06-481E-9564-95A0F02CFEA1}"/>
    <cellStyle name="_Material_Little Fockers MP - Master" xfId="18" xr:uid="{C48B7201-FBF7-40A3-BC0D-6EECE5A44B35}"/>
    <cellStyle name="_Material_MARS NEEDS MOMS" xfId="19" xr:uid="{6EA9AABA-EEA1-447C-BB0C-1F2527783645}"/>
    <cellStyle name="_Material_MEgamind updated 23.10" xfId="20" xr:uid="{4EEA2C6D-777F-4A29-98AA-FB282292764B}"/>
    <cellStyle name="_Material_Plan of FOH, OOH " xfId="21" xr:uid="{EEABCD6A-BC1D-48D4-90DA-A5FA79AE7FB0}"/>
    <cellStyle name="_Material_RANGO MP" xfId="22" xr:uid="{2565674C-63DB-43F1-8CAF-2B26A33A576C}"/>
    <cellStyle name="_Material_Tangled MP - Master" xfId="23" xr:uid="{C8A83A60-7404-4979-9303-E0C73AF3E45F}"/>
    <cellStyle name="_MEGASTAR-CHICILON Proposal Master2011-2012" xfId="24" xr:uid="{2F784E39-F60C-4A9D-A549-809ADDEAA8D7}"/>
    <cellStyle name="_MEGASTAR-CHICILON Proposal Nov Option2 (5)" xfId="25" xr:uid="{42A3018F-A476-4D1A-9340-9EB2416554BF}"/>
    <cellStyle name="_MEGASTAR-CHICILON.Proposal.HN4w.Jan" xfId="26" xr:uid="{5F28E4A6-E000-46CE-9D7C-3AB3E9C5BC22}"/>
    <cellStyle name="_MEGASTAR-CHICILON.Proposal.Master2011" xfId="27" xr:uid="{981D05DB-6F40-41B3-BB5F-095956C583AD}"/>
    <cellStyle name="_MKT Plan 2008 - A&amp;P expense" xfId="28" xr:uid="{ABF1AC8C-4124-400B-9E5C-82112A66EDA8}"/>
    <cellStyle name="_MKT Plan 2008 - A&amp;P expense_ADJUSTMENT BUREAU" xfId="29" xr:uid="{29E47114-2B5A-44ED-9DD2-38F3CE23CCA0}"/>
    <cellStyle name="_MKT Plan 2008 - A&amp;P expense_I am Number Four MP - Master" xfId="30" xr:uid="{8B66FB7C-5E33-40D0-8661-516B437E2071}"/>
    <cellStyle name="_MKT Plan 2008 - A&amp;P expense_Little Fockers MP - Master" xfId="31" xr:uid="{BC8DF9C0-813A-4558-A573-2398F3841B08}"/>
    <cellStyle name="_MKT Plan 2008 - A&amp;P expense_MARS NEEDS MOMS" xfId="32" xr:uid="{8674E5E1-D4A7-464A-8B9C-EE0F2F0E12C9}"/>
    <cellStyle name="_MKT Plan 2008 - A&amp;P expense_MEgamind updated 23.10" xfId="33" xr:uid="{4F12B972-9B61-404C-96B9-5B1E0A55B020}"/>
    <cellStyle name="_MKT Plan 2008 - A&amp;P expense_Plan of FOH, OOH " xfId="34" xr:uid="{E94303E6-3435-43CA-8DC5-69CE9334B652}"/>
    <cellStyle name="_MKT Plan 2008 - A&amp;P expense_RANGO MP" xfId="35" xr:uid="{2D094E66-9EE0-442D-AE76-4F892F50E6B7}"/>
    <cellStyle name="_MKT Plan 2008 - A&amp;P expense_Tangled MP - Master" xfId="36" xr:uid="{BD07AD06-A9FF-45D0-A95F-CB2950191428}"/>
    <cellStyle name="_OOH Plan for Latte 020609" xfId="37" xr:uid="{F36C6423-8128-4AA8-8B7D-0DD51C411211}"/>
    <cellStyle name="_Print plan  - Nov &amp; Dec (Revised)" xfId="38" xr:uid="{C816549A-B2D3-4B93-AEF3-BE8852254637}"/>
    <cellStyle name="_Print plan  - Nov &amp; Dec (Revised)_ADJUSTMENT BUREAU" xfId="39" xr:uid="{DC9A0B22-F2FB-4754-A3E8-919AB1149A0F}"/>
    <cellStyle name="_Print plan  - Nov &amp; Dec (Revised)_I am Number Four MP - Master" xfId="40" xr:uid="{5BCA9F4E-4B24-486F-9187-7C620132F58A}"/>
    <cellStyle name="_Print plan  - Nov &amp; Dec (Revised)_Little Fockers MP - Master" xfId="41" xr:uid="{2FEC02B3-7B9E-4D31-B352-7F9945BFE18F}"/>
    <cellStyle name="_Print plan  - Nov &amp; Dec (Revised)_MARS NEEDS MOMS" xfId="42" xr:uid="{2C1B0BDB-2720-4A4E-B637-B604ED7F4317}"/>
    <cellStyle name="_Print plan  - Nov &amp; Dec (Revised)_MEgamind updated 23.10" xfId="43" xr:uid="{C7426490-B74E-4745-9F7A-FF661BFEBD0F}"/>
    <cellStyle name="_Print plan  - Nov &amp; Dec (Revised)_Plan of FOH, OOH " xfId="44" xr:uid="{216A3D91-6553-4D2E-B0FE-FCA3C553B361}"/>
    <cellStyle name="_Print plan  - Nov &amp; Dec (Revised)_RANGO MP" xfId="45" xr:uid="{ADD6EBBA-41A6-46CC-B6AD-4F223262D173}"/>
    <cellStyle name="_Print plan  - Nov &amp; Dec (Revised)_Tangled MP - Master" xfId="46" xr:uid="{2AEA57F4-10DA-410E-9965-6107C7940487}"/>
    <cellStyle name="_Print plan - bargain'08" xfId="47" xr:uid="{8D5AC91D-8D48-425C-8AA7-7AA36AFCB147}"/>
    <cellStyle name="_Print plan - bargain'08_ADJUSTMENT BUREAU" xfId="48" xr:uid="{EDE82EA2-0615-4D37-AE67-A860C55919A2}"/>
    <cellStyle name="_Print plan - bargain'08_I am Number Four MP - Master" xfId="49" xr:uid="{D2E797FB-FB8B-477A-B069-15965C613CBA}"/>
    <cellStyle name="_Print plan - bargain'08_Little Fockers MP - Master" xfId="50" xr:uid="{4B0DDFF3-4D88-42B6-8E15-2910E7B981DB}"/>
    <cellStyle name="_Print plan - bargain'08_MARS NEEDS MOMS" xfId="51" xr:uid="{FDC4DD28-1E90-4CB2-AA26-8EEDA0C76CA9}"/>
    <cellStyle name="_Print plan - bargain'08_MEgamind updated 23.10" xfId="52" xr:uid="{5ACBE6BA-7AC4-4B14-B7D3-A4B9AB7E98AB}"/>
    <cellStyle name="_Print plan - bargain'08_Plan of FOH, OOH " xfId="53" xr:uid="{F033D6D1-AC97-460A-9D0C-4E65BB766F13}"/>
    <cellStyle name="_Print plan - bargain'08_RANGO MP" xfId="54" xr:uid="{53B232F3-7F9F-464A-A9EA-472A44EE0AC2}"/>
    <cellStyle name="_Print plan - bargain'08_Tangled MP - Master" xfId="55" xr:uid="{74DB5281-4383-4AD9-9AD9-7B050DE1811F}"/>
    <cellStyle name="_TRI PR 0806" xfId="56" xr:uid="{A402435D-971A-41F6-8836-A29268777B38}"/>
    <cellStyle name="_Triumph_Print plan" xfId="57" xr:uid="{E88B3932-9D22-4A6A-A78C-3B5C84E3A056}"/>
    <cellStyle name="_Triumph_Print plan_ADJUSTMENT BUREAU" xfId="58" xr:uid="{46D041FA-C4C5-43BE-BDE7-8A0FDDC6EA23}"/>
    <cellStyle name="_Triumph_Print plan_I am Number Four MP - Master" xfId="59" xr:uid="{5FCE5493-96EA-4EC5-B7BC-8289D34EFAD8}"/>
    <cellStyle name="_Triumph_Print plan_Little Fockers MP - Master" xfId="60" xr:uid="{4B0B89F3-3CDF-4832-A802-F38B18DC9BFA}"/>
    <cellStyle name="_Triumph_Print plan_MARS NEEDS MOMS" xfId="61" xr:uid="{E62A9BDD-526C-4E97-8AD8-B9DD2D551902}"/>
    <cellStyle name="_Triumph_Print plan_MEgamind updated 23.10" xfId="62" xr:uid="{F32061F0-1EE8-4BB4-9997-D6B4E1503D1D}"/>
    <cellStyle name="_Triumph_Print plan_Plan of FOH, OOH " xfId="63" xr:uid="{CB58D74D-0A5F-4476-A9CC-A73843E4F47E}"/>
    <cellStyle name="_Triumph_Print plan_RANGO MP" xfId="64" xr:uid="{2540770F-40A8-4303-8826-E29652AF4292}"/>
    <cellStyle name="_Triumph_Print plan_Tangled MP - Master" xfId="65" xr:uid="{0829EAAA-E06B-4415-B51B-68AEFB20B141}"/>
    <cellStyle name="_VIERA TVad 02.07" xfId="66" xr:uid="{3ABA4EE4-8B33-4602-887A-DE2383921086}"/>
    <cellStyle name="=C:\WINNT\SYSTEM32\COMMAND.COM" xfId="75" xr:uid="{8AB6E2B2-15A9-48F9-9804-DCDCCEBD5BD9}"/>
    <cellStyle name="=C:\WINNT\SYSTEM32\COMMAND.COM 2" xfId="76" xr:uid="{E0597D20-3B23-432E-A176-586D91FC1ED1}"/>
    <cellStyle name="=C:\WINNT\SYSTEM32\COMMAND.COM 2 2" xfId="77" xr:uid="{AF34018E-DE88-496E-B9F7-A9EB81DF3720}"/>
    <cellStyle name="=C:\WINNT\SYSTEM32\COMMAND.COM 2_ADJUSTMENT BUREAU" xfId="78" xr:uid="{574D0C6E-548A-41FD-85FA-98C7005DD2D1}"/>
    <cellStyle name="=C:\WINNT\SYSTEM32\COMMAND.COM 3" xfId="79" xr:uid="{40C9AB2B-35BF-46F3-9418-E301A4EF9DC4}"/>
    <cellStyle name="=C:\WINNT\SYSTEM32\COMMAND.COM_ADJUSTMENT BUREAU" xfId="80" xr:uid="{1E47CF1F-E184-4928-95D7-DBF3EA41B801}"/>
    <cellStyle name="•W_ Index" xfId="74" xr:uid="{0BE71761-DA46-42AD-8C71-EC86260E9AFD}"/>
    <cellStyle name="¹éºÐÀ²_±âÅ¸" xfId="81" xr:uid="{120B57C4-AE5E-4BC1-9CED-CCA665FA4306}"/>
    <cellStyle name="20% - 强调文字颜色 1" xfId="82" xr:uid="{BFD8FE96-9B90-4ED5-95B7-D2F97F0767EE}"/>
    <cellStyle name="20% - 强调文字颜色 2" xfId="83" xr:uid="{31139D87-B45C-41D8-B96E-A3D6478A263E}"/>
    <cellStyle name="20% - 强调文字颜色 3" xfId="84" xr:uid="{17FF0751-17C1-4EDB-9B7A-683AE8DE0D23}"/>
    <cellStyle name="20% - 强调文字颜色 4" xfId="85" xr:uid="{D5A57058-949B-4CD1-A5AA-97448AC20E50}"/>
    <cellStyle name="20% - 强调文字颜色 5" xfId="86" xr:uid="{071F469B-BA69-400C-BE41-88B4221513E0}"/>
    <cellStyle name="20% - 强调文字颜色 6" xfId="87" xr:uid="{5E2F7C6E-40FE-40FF-BC56-A2F1241D3D33}"/>
    <cellStyle name="40% - 强调文字颜色 1" xfId="88" xr:uid="{FF8E5E1C-40E5-4069-BD5A-15A8B94BCC44}"/>
    <cellStyle name="40% - 强调文字颜色 2" xfId="89" xr:uid="{09A30CA4-B8F6-4A84-A300-B30103C86B1D}"/>
    <cellStyle name="40% - 强调文字颜色 3" xfId="90" xr:uid="{0451C7BF-866A-4B79-AA6B-2FB7DA87FB9F}"/>
    <cellStyle name="40% - 强调文字颜色 4" xfId="91" xr:uid="{18EB1E90-D2CD-4FB1-BF85-32C29EA45E7A}"/>
    <cellStyle name="40% - 强调文字颜色 5" xfId="92" xr:uid="{CAA33721-567B-473E-93A8-6B500C27E767}"/>
    <cellStyle name="40% - 强调文字颜色 6" xfId="93" xr:uid="{5506D2E9-2D07-4ABF-9F45-395F3C9E883D}"/>
    <cellStyle name="60% - 强调文字颜色 1" xfId="94" xr:uid="{8DAD481B-4738-4CAC-9A11-A2A9BA06C8CA}"/>
    <cellStyle name="60% - 强调文字颜色 2" xfId="95" xr:uid="{C65FEF82-0DF8-45CA-AD8D-B5547474C7CC}"/>
    <cellStyle name="60% - 强调文字颜色 3" xfId="96" xr:uid="{CEE972BB-13BD-49B9-B264-62FDB36D8119}"/>
    <cellStyle name="60% - 强调文字颜色 4" xfId="97" xr:uid="{F0D9B202-4C7C-418B-A302-C6B54BAB49E9}"/>
    <cellStyle name="60% - 强调文字颜色 5" xfId="98" xr:uid="{865AB657-A9C3-43CA-8283-B408D68A7AB8}"/>
    <cellStyle name="60% - 强调文字颜色 6" xfId="99" xr:uid="{6326633A-BA27-4D28-96A9-AB78549911B7}"/>
    <cellStyle name="ÅëÈ­ [0]_±âÅ¸" xfId="100" xr:uid="{4296AAFD-F022-42FB-B395-C977CA457445}"/>
    <cellStyle name="ÅëÈ­_±âÅ¸" xfId="101" xr:uid="{C0B53151-4FBC-4C97-BE2B-76CD35422834}"/>
    <cellStyle name="ÄÞ¸¶ [0]_±âÅ¸" xfId="102" xr:uid="{C9912CE8-19ED-4A98-9945-12AEEB0CA9CA}"/>
    <cellStyle name="ÄÞ¸¶_±âÅ¸" xfId="103" xr:uid="{0C5F3DB2-FB3D-49B4-8914-9DB670E8A9C2}"/>
    <cellStyle name="Ç¥ÁØ_¿ù°£¿ä¾àº¸°í" xfId="104" xr:uid="{FDFE234A-317D-40FD-BBD5-3D920627F851}"/>
    <cellStyle name="Comma [0]" xfId="105" builtinId="6"/>
    <cellStyle name="Comma 10" xfId="106" xr:uid="{E8BFB86E-42CB-44C8-90C9-13F5DCCC67B6}"/>
    <cellStyle name="Comma 10 2" xfId="107" xr:uid="{44FAA20F-1524-4B61-8598-EB609D2B6151}"/>
    <cellStyle name="Comma 10 2 2" xfId="108" xr:uid="{DBA109BA-B12F-496B-8750-E5DC99390C42}"/>
    <cellStyle name="Comma 10 2 2 2" xfId="109" xr:uid="{5DA05980-DF7A-4679-927B-4C8AC784E391}"/>
    <cellStyle name="Comma 10 2 3" xfId="110" xr:uid="{E75A80FE-9AC3-447A-8B0A-390912554B2E}"/>
    <cellStyle name="Comma 10 2 4" xfId="111" xr:uid="{460BDF74-F088-45DF-B032-FB07FA9A6C04}"/>
    <cellStyle name="Comma 10 2 5" xfId="112" xr:uid="{4A459C0F-0C62-428A-A1E3-9BB4B9140D03}"/>
    <cellStyle name="Comma 10 2 5 2 2" xfId="113" xr:uid="{48E1CBDE-1F91-458A-A98C-CFA02B327A4E}"/>
    <cellStyle name="Comma 11" xfId="114" xr:uid="{B915ADEE-625B-4F26-9F41-382AEBDE9D08}"/>
    <cellStyle name="Comma 11 2" xfId="115" xr:uid="{B2D6414C-9FFE-495A-AA2A-7C16BDD2B8E3}"/>
    <cellStyle name="Comma 11 2 2" xfId="116" xr:uid="{9E7379E8-DB96-4EA9-989C-C51CF376E86F}"/>
    <cellStyle name="Comma 11 2 3" xfId="117" xr:uid="{33F27A6F-7757-4A45-90D8-414E1FB454A9}"/>
    <cellStyle name="Comma 11 2 4" xfId="118" xr:uid="{7B523ACF-5CA7-4DCC-8CBB-1A9E0577C2E0}"/>
    <cellStyle name="Comma 11 3" xfId="119" xr:uid="{60459ECF-9D19-4570-8654-D43D980E2393}"/>
    <cellStyle name="Comma 11 4" xfId="120" xr:uid="{CAA7D27F-873E-422A-8FBD-91357A8506CA}"/>
    <cellStyle name="Comma 11 5" xfId="121" xr:uid="{19650F65-016A-4726-A778-54B363A9A076}"/>
    <cellStyle name="Comma 12" xfId="122" xr:uid="{7FA7D62E-D859-4A7F-9E41-5D387DE0BC5D}"/>
    <cellStyle name="Comma 12 2" xfId="123" xr:uid="{45D437E4-C4AA-4B2B-BAA1-DA2AF89F9D16}"/>
    <cellStyle name="Comma 12 2 2" xfId="124" xr:uid="{805FF36F-3ECE-4093-AF09-FA402814F9FF}"/>
    <cellStyle name="Comma 12 2 3" xfId="125" xr:uid="{7DDFBCDC-26F9-46B0-AF37-BB9598D86839}"/>
    <cellStyle name="Comma 12 2 4" xfId="126" xr:uid="{B5FA98BA-7DBA-4A73-9677-FCE75FA03F1D}"/>
    <cellStyle name="Comma 12 3" xfId="127" xr:uid="{54A86978-9AC4-4F8B-8773-D83331FA82E6}"/>
    <cellStyle name="Comma 12 4" xfId="128" xr:uid="{0E991A30-2713-425A-8F2C-6B5FC02972AD}"/>
    <cellStyle name="Comma 12 5" xfId="129" xr:uid="{E6482390-B990-4281-8CEA-5A63AC530C6E}"/>
    <cellStyle name="Comma 12 6" xfId="130" xr:uid="{70431CCB-4BF9-45E1-A0AF-6F9F50FC403C}"/>
    <cellStyle name="Comma 13" xfId="131" xr:uid="{36CD779E-0760-45DC-9408-F2EBC2DED6A5}"/>
    <cellStyle name="Comma 13 2" xfId="132" xr:uid="{936A280A-822E-4731-B26D-571628BDB972}"/>
    <cellStyle name="Comma 13 2 2" xfId="133" xr:uid="{93BFC53E-A641-482A-B092-4DCEC249BF63}"/>
    <cellStyle name="Comma 13 2 3" xfId="134" xr:uid="{4A38214C-E662-495B-9F85-0B00AFDD720B}"/>
    <cellStyle name="Comma 13 2 4" xfId="135" xr:uid="{822C6768-72C7-4B8F-A14E-BD85C438A4A9}"/>
    <cellStyle name="Comma 14" xfId="136" xr:uid="{7883B77D-6466-4514-A85D-3D6A4D5A2B4E}"/>
    <cellStyle name="Comma 14 2" xfId="137" xr:uid="{4AC282D5-57D1-4CC8-B38C-16F142F719B2}"/>
    <cellStyle name="Comma 14 3" xfId="138" xr:uid="{38AA1F27-63D0-4A38-A23E-556844321950}"/>
    <cellStyle name="Comma 14 4" xfId="139" xr:uid="{E0B0EE8C-C2D5-40D0-A968-55CA8DF61B59}"/>
    <cellStyle name="Comma 15" xfId="140" xr:uid="{64432297-A272-4D9B-9795-64EA57FCB6C8}"/>
    <cellStyle name="Comma 15 2" xfId="141" xr:uid="{801F735E-64F0-43E1-96BF-B639DC98C686}"/>
    <cellStyle name="Comma 15 3" xfId="142" xr:uid="{09018A5B-D9CB-425D-AE3D-C398A9970E6B}"/>
    <cellStyle name="Comma 15 4" xfId="143" xr:uid="{41AB4DDE-2F66-45F2-BF3E-FA0A3314A061}"/>
    <cellStyle name="Comma 16" xfId="144" xr:uid="{38A5C48C-C0C0-495D-A0C3-E464BE94B232}"/>
    <cellStyle name="Comma 16 2" xfId="145" xr:uid="{C1E91DF4-E29B-45BA-925D-FA6BA7FE2550}"/>
    <cellStyle name="Comma 16 3" xfId="146" xr:uid="{42AF2CA7-D7B6-4F22-A066-48E1C346AB1D}"/>
    <cellStyle name="Comma 16 4" xfId="147" xr:uid="{648CB99E-6C8E-40CB-9FED-FE9F12376FCC}"/>
    <cellStyle name="Comma 17" xfId="148" xr:uid="{6B2F3C18-D45C-44CE-A4BE-933298FA4F14}"/>
    <cellStyle name="Comma 17 2" xfId="149" xr:uid="{C4AC2A90-1A82-4E62-AEF9-67D315B15916}"/>
    <cellStyle name="Comma 17 3" xfId="150" xr:uid="{08C977F9-18A1-4FD4-9116-C1A504738B85}"/>
    <cellStyle name="Comma 17 4" xfId="151" xr:uid="{068B02BC-2961-4F72-8EB8-74D86316E0DA}"/>
    <cellStyle name="Comma 18" xfId="152" xr:uid="{1EB3F94A-825D-4BE2-AE7C-D3648A642764}"/>
    <cellStyle name="Comma 18 2" xfId="153" xr:uid="{C1CCB7FA-8C07-4888-8ED4-4A420B856CEE}"/>
    <cellStyle name="Comma 18 3" xfId="154" xr:uid="{23A95F1D-7676-408F-83FB-C1EED63C74E5}"/>
    <cellStyle name="Comma 18 4" xfId="155" xr:uid="{7E3656B8-2CBE-4AE6-AE20-04E4A9F391D7}"/>
    <cellStyle name="Comma 19" xfId="156" xr:uid="{60B5BF02-9821-4635-9732-E981EECBB8D0}"/>
    <cellStyle name="Comma 19 2" xfId="157" xr:uid="{83ADA87A-4E4C-4FE7-B9EB-7877277BE2B8}"/>
    <cellStyle name="Comma 19 3" xfId="158" xr:uid="{575F9A79-E6D9-4475-A99A-872F0781F43B}"/>
    <cellStyle name="Comma 19 4" xfId="159" xr:uid="{A7235B5C-D6E5-457D-B9AA-885F87256D8C}"/>
    <cellStyle name="Comma 2" xfId="160" xr:uid="{252AF545-5059-4231-B3EB-6451B544608F}"/>
    <cellStyle name="Comma 2 10" xfId="161" xr:uid="{638CE32A-7100-49F1-8087-1426414834B8}"/>
    <cellStyle name="Comma 2 10 2" xfId="162" xr:uid="{AA24D79D-841F-4BF7-94E2-D9F3F0FB8B11}"/>
    <cellStyle name="Comma 2 10 3" xfId="163" xr:uid="{209C5ED6-3D3A-436B-92A3-7822D0648DD6}"/>
    <cellStyle name="Comma 2 10 4" xfId="164" xr:uid="{47DE8377-1EB5-48C4-A972-4C54CF392924}"/>
    <cellStyle name="Comma 2 11" xfId="165" xr:uid="{9D2B4CA5-7245-4B07-936F-A8A68BD578CB}"/>
    <cellStyle name="Comma 2 11 2" xfId="166" xr:uid="{1C680ED9-CC97-4445-9EDE-B0F15D19C4BF}"/>
    <cellStyle name="Comma 2 11 3" xfId="167" xr:uid="{D0DA8845-7193-4568-A570-F027638D8CAF}"/>
    <cellStyle name="Comma 2 11 4" xfId="168" xr:uid="{D1EA81E0-C20E-4366-A938-6063099C1510}"/>
    <cellStyle name="Comma 2 12" xfId="169" xr:uid="{CD390FBA-00B5-4EB3-B172-27B23A0A1627}"/>
    <cellStyle name="Comma 2 12 2" xfId="170" xr:uid="{3C403C2A-196A-44CE-B25B-21D9966884D4}"/>
    <cellStyle name="Comma 2 12 3" xfId="171" xr:uid="{3E35CFB8-AE6C-4474-84E9-6259E0DD6975}"/>
    <cellStyle name="Comma 2 12 4" xfId="172" xr:uid="{B209D5C6-F3D0-4933-A520-F769E79044D0}"/>
    <cellStyle name="Comma 2 13" xfId="173" xr:uid="{BBC62A3A-3DD9-4612-927B-179C60B3C948}"/>
    <cellStyle name="Comma 2 13 2" xfId="174" xr:uid="{32F0A5BF-478D-48D7-8CAA-52491A48AE70}"/>
    <cellStyle name="Comma 2 13 3" xfId="175" xr:uid="{F5DE29F7-C171-4075-B91B-552400D3D5D6}"/>
    <cellStyle name="Comma 2 13 4" xfId="176" xr:uid="{F411E301-8AB6-4C7D-B154-CB2431BAA5EA}"/>
    <cellStyle name="Comma 2 14" xfId="177" xr:uid="{C9300783-BD01-4A6B-AE11-AC94A6447E00}"/>
    <cellStyle name="Comma 2 14 2" xfId="178" xr:uid="{C0FF423C-42E7-4ACF-9D09-8DF0EA42DD06}"/>
    <cellStyle name="Comma 2 14 3" xfId="179" xr:uid="{B6A7A3C5-F8C3-4122-A148-8814B32692BB}"/>
    <cellStyle name="Comma 2 14 4" xfId="180" xr:uid="{112A588F-703E-4DE1-AA69-62B76EDBA56D}"/>
    <cellStyle name="Comma 2 15" xfId="181" xr:uid="{BED25D0D-AD27-43A6-8E9A-F6EB90706822}"/>
    <cellStyle name="Comma 2 15 2" xfId="182" xr:uid="{36AD5F93-39CA-4E9A-842D-12A5704A7696}"/>
    <cellStyle name="Comma 2 15 3" xfId="183" xr:uid="{637719DC-798D-4335-B010-39426C8088FD}"/>
    <cellStyle name="Comma 2 15 4" xfId="184" xr:uid="{EAD18322-6A75-4DBB-9C70-562664ACFC88}"/>
    <cellStyle name="Comma 2 16" xfId="185" xr:uid="{B07B273E-E568-45E9-8471-7594B72F06C2}"/>
    <cellStyle name="Comma 2 16 2" xfId="186" xr:uid="{58463B57-B26E-4C1F-B4C1-492C3048E368}"/>
    <cellStyle name="Comma 2 16 3" xfId="187" xr:uid="{E4615E79-B096-466C-81E4-8980B0D76958}"/>
    <cellStyle name="Comma 2 16 4" xfId="188" xr:uid="{EACB247D-59DC-429D-90D3-9DD11A9BDDCB}"/>
    <cellStyle name="Comma 2 17" xfId="189" xr:uid="{5B9825CD-7D22-4384-B761-5388B7FBD6AB}"/>
    <cellStyle name="Comma 2 18" xfId="190" xr:uid="{3994AF59-7B93-478A-ADC5-4C851E757860}"/>
    <cellStyle name="Comma 2 19" xfId="191" xr:uid="{EB3CEE5F-ABC5-488D-A9A1-C477E8F2860E}"/>
    <cellStyle name="Comma 2 2" xfId="192" xr:uid="{488C377A-3809-4918-8388-9EF5B981BDB6}"/>
    <cellStyle name="Comma 2 2 2" xfId="193" xr:uid="{92AC1F45-439D-4604-9308-A106EF5A179B}"/>
    <cellStyle name="Comma 2 2 2 2" xfId="194" xr:uid="{903BB5B1-0CBF-4116-AD78-7D228C70DBCF}"/>
    <cellStyle name="Comma 2 2 2 3" xfId="195" xr:uid="{75165C7E-573E-478E-9560-5B685E1D7220}"/>
    <cellStyle name="Comma 2 2 2 4" xfId="196" xr:uid="{F0A9A8E1-F39B-4629-B739-9C7F1FEB5CB7}"/>
    <cellStyle name="Comma 2 2 3" xfId="197" xr:uid="{24CC999B-E29A-479C-B98D-BFA728C44F0B}"/>
    <cellStyle name="Comma 2 20" xfId="198" xr:uid="{33E29169-477E-48BE-9C4F-27999E99A8AC}"/>
    <cellStyle name="Comma 2 21" xfId="199" xr:uid="{A383982B-5242-421D-885A-5DC4FFF4A011}"/>
    <cellStyle name="Comma 2 22" xfId="200" xr:uid="{84205CA2-E627-4BAD-B852-932BE62DED41}"/>
    <cellStyle name="Comma 2 23" xfId="201" xr:uid="{217193BA-3DEC-4F97-8622-5D23F4C9ED8C}"/>
    <cellStyle name="Comma 2 24" xfId="202" xr:uid="{3863B66D-64B3-4A6E-9D4B-07071573F029}"/>
    <cellStyle name="Comma 2 25" xfId="203" xr:uid="{77854D63-A195-4DC3-A594-CC7FBC550E00}"/>
    <cellStyle name="Comma 2 26" xfId="204" xr:uid="{6F89A532-E557-49E8-823D-E28992909E53}"/>
    <cellStyle name="Comma 2 27" xfId="205" xr:uid="{73B5D8A7-1696-4FA1-B7B5-0F796DBBC1BB}"/>
    <cellStyle name="Comma 2 3" xfId="206" xr:uid="{470F60FD-8DDD-4B99-876D-056D8701C894}"/>
    <cellStyle name="Comma 2 3 2" xfId="207" xr:uid="{67B4F81F-D9F4-419A-81E0-7F231854D725}"/>
    <cellStyle name="Comma 2 3 2 2" xfId="208" xr:uid="{B4546322-FCB8-4BF4-BA6E-4977151E18C1}"/>
    <cellStyle name="Comma 2 3 2 3" xfId="209" xr:uid="{8FA5A9E5-4369-401B-98DF-032424648D41}"/>
    <cellStyle name="Comma 2 3 2 4" xfId="210" xr:uid="{6C797004-BFCA-4262-B97B-5F563D26919A}"/>
    <cellStyle name="Comma 2 3 3" xfId="211" xr:uid="{B5B88B42-12C7-4E51-9F7E-BD8BBF384C82}"/>
    <cellStyle name="Comma 2 3 3 2" xfId="212" xr:uid="{06D23420-B2FA-4E59-BDA5-85B23CDAC6E7}"/>
    <cellStyle name="Comma 2 3 3 2 2" xfId="213" xr:uid="{3CD3D95C-8AF7-451F-8F29-E69E41C1175B}"/>
    <cellStyle name="Comma 2 3 3 3" xfId="214" xr:uid="{242D71AF-81B3-4C84-93C7-841131C787AE}"/>
    <cellStyle name="Comma 2 4" xfId="215" xr:uid="{4E9FE7D2-89AA-4E8F-954D-B0B99D70B494}"/>
    <cellStyle name="Comma 2 4 2" xfId="216" xr:uid="{1168F900-7F58-415C-932D-828C4AF59E21}"/>
    <cellStyle name="Comma 2 4 2 2" xfId="217" xr:uid="{D9760F61-280F-476D-9B79-16AA825AC3F8}"/>
    <cellStyle name="Comma 2 4 2 3" xfId="218" xr:uid="{3FEFA757-83E8-4898-B615-3CE1040DE7B4}"/>
    <cellStyle name="Comma 2 4 2 4" xfId="219" xr:uid="{89CF9F87-A834-4954-864A-5CA0C62BA9E0}"/>
    <cellStyle name="Comma 2 4 3" xfId="220" xr:uid="{2CCB3A81-2E4C-4760-ABA0-09C2F7D49FC7}"/>
    <cellStyle name="Comma 2 5" xfId="221" xr:uid="{4CD3D27F-DAB8-4D07-8D68-FD314A08CF72}"/>
    <cellStyle name="Comma 2 5 2" xfId="222" xr:uid="{C555839A-62AB-4FDE-945E-03C7B18484DC}"/>
    <cellStyle name="Comma 2 5 2 2" xfId="223" xr:uid="{E40D3AA7-8DB3-4E2E-80D3-F312C3C733C4}"/>
    <cellStyle name="Comma 2 5 2 3" xfId="224" xr:uid="{17BA25CC-A211-454F-A667-15B5438377CD}"/>
    <cellStyle name="Comma 2 5 2 4" xfId="225" xr:uid="{CC83B0C5-0978-4651-ABBB-6F81B8AD6A44}"/>
    <cellStyle name="Comma 2 6" xfId="226" xr:uid="{ABC9040E-A441-4F68-9E2F-9D6178563E5B}"/>
    <cellStyle name="Comma 2 6 2" xfId="227" xr:uid="{F9EADF48-583D-4C76-80B9-D16449026F10}"/>
    <cellStyle name="Comma 2 6 2 2" xfId="228" xr:uid="{BC808CE3-7F95-42FE-A216-C724BC509740}"/>
    <cellStyle name="Comma 2 6 2 3" xfId="229" xr:uid="{D70C7E64-6DDB-417F-BB25-18717188FE0C}"/>
    <cellStyle name="Comma 2 6 2 4" xfId="230" xr:uid="{4BBB21C6-97CA-4D15-B7EA-5D855E7D8BFC}"/>
    <cellStyle name="Comma 2 7" xfId="231" xr:uid="{1CC91799-C8C8-4F52-BB96-BD77EB1B3499}"/>
    <cellStyle name="Comma 2 7 2" xfId="232" xr:uid="{D0A4A565-C108-4BB1-ACEC-286B50D8B106}"/>
    <cellStyle name="Comma 2 7 2 2" xfId="233" xr:uid="{14B056A4-EA39-45E1-82A1-B3A279149D8C}"/>
    <cellStyle name="Comma 2 7 2 3" xfId="234" xr:uid="{745480BB-3EF1-4E3A-B96A-5E1E18A46983}"/>
    <cellStyle name="Comma 2 7 2 4" xfId="235" xr:uid="{38BA771E-2ED9-4241-A209-486AC85F0CD2}"/>
    <cellStyle name="Comma 2 8" xfId="236" xr:uid="{A59BE54F-AA00-4290-A3CD-50F63026CED3}"/>
    <cellStyle name="Comma 2 8 2" xfId="237" xr:uid="{8E8D1379-A5AB-443F-BE10-01A80BB1803F}"/>
    <cellStyle name="Comma 2 8 3" xfId="238" xr:uid="{D0C26B4B-D35D-43E2-AE85-13F3A7A2C90F}"/>
    <cellStyle name="Comma 2 8 4" xfId="239" xr:uid="{D1E11F7B-DF0E-4249-9ECA-E1AF3F25F1BE}"/>
    <cellStyle name="Comma 2 9" xfId="240" xr:uid="{2C85C9F9-6CCE-4701-A894-97DDB1CF17C3}"/>
    <cellStyle name="Comma 2 9 2" xfId="241" xr:uid="{5D21D7D3-C44F-405C-A958-0D2276C570BF}"/>
    <cellStyle name="Comma 2 9 3" xfId="242" xr:uid="{E4D90F04-541D-49A4-ABC2-3BAF918F52AB}"/>
    <cellStyle name="Comma 2 9 4" xfId="243" xr:uid="{563E5171-D840-44C7-B14A-03E8DA54469E}"/>
    <cellStyle name="Comma 2_MEGASTAR-CHICILON Proposal Master2011-2012" xfId="244" xr:uid="{7BF0CB68-0014-411A-A621-2E525F57B136}"/>
    <cellStyle name="Comma 20" xfId="245" xr:uid="{37B162B0-458B-4C2D-8664-8FE0CD07C7F3}"/>
    <cellStyle name="Comma 20 2" xfId="246" xr:uid="{BD39EBC7-52D5-4059-AC8D-5436550C1B35}"/>
    <cellStyle name="Comma 20 3" xfId="247" xr:uid="{1D1FA361-7F4C-49C3-8D05-980F5A05AA5B}"/>
    <cellStyle name="Comma 20 4" xfId="248" xr:uid="{18A3BBFE-7797-45A0-BD13-2F5B5012E222}"/>
    <cellStyle name="Comma 21" xfId="249" xr:uid="{F3AB791F-AF8F-4629-8CE1-5A3562B01AA8}"/>
    <cellStyle name="Comma 22" xfId="250" xr:uid="{44ACB746-2C2A-4C77-965E-B54A6DD26633}"/>
    <cellStyle name="Comma 23" xfId="251" xr:uid="{FBF96946-E469-4944-BC44-2B720B3BD37E}"/>
    <cellStyle name="Comma 24" xfId="252" xr:uid="{43BBF6E9-1657-49FC-B7AE-0AD2F74FB919}"/>
    <cellStyle name="Comma 25 2" xfId="253" xr:uid="{BD9E6488-B27E-4DA0-A97C-A3976B7C9C29}"/>
    <cellStyle name="Comma 26" xfId="254" xr:uid="{ACEF8AED-E6EF-46A8-9718-3C0964F5EE73}"/>
    <cellStyle name="Comma 27" xfId="255" xr:uid="{C8E4D1A4-6C93-44EC-9B23-0DAF0D41F636}"/>
    <cellStyle name="Comma 28" xfId="256" xr:uid="{403847BD-3C45-4A59-BE6B-DC8D50103C16}"/>
    <cellStyle name="Comma 3" xfId="257" xr:uid="{99DD89E8-951A-4F75-831D-BACD088F2991}"/>
    <cellStyle name="Comma 3 2" xfId="258" xr:uid="{9D14C218-875D-422B-9462-B326C1935E1B}"/>
    <cellStyle name="Comma 3 3" xfId="259" xr:uid="{65D0DB65-0324-42AA-B210-EFCEB341124B}"/>
    <cellStyle name="Comma 3 4" xfId="260" xr:uid="{D026D1AE-F175-48A8-ABD2-C134EC313BD5}"/>
    <cellStyle name="Comma 3 5" xfId="261" xr:uid="{C7010F8D-1698-4C42-905B-B9D60723B3AA}"/>
    <cellStyle name="Comma 3_MEGASTAR-CHICILON Proposal Master2011-2012" xfId="262" xr:uid="{0D28FB36-6E20-424B-B2BC-F643FD401141}"/>
    <cellStyle name="Comma 32" xfId="263" xr:uid="{916F10F3-962A-4EA5-BA70-39478E8C25E6}"/>
    <cellStyle name="Comma 4" xfId="264" xr:uid="{78F0C926-0E34-4067-BF61-833295ED96AD}"/>
    <cellStyle name="Comma 4 2" xfId="265" xr:uid="{BC78E090-3B13-41FF-A89F-9092DDC34F2D}"/>
    <cellStyle name="Comma 4 3" xfId="266" xr:uid="{0B28883F-EFBD-41AC-8BFF-55F17A86DF80}"/>
    <cellStyle name="Comma 4 4" xfId="267" xr:uid="{A939FADF-D6C1-43EB-93A2-F407809558BB}"/>
    <cellStyle name="Comma 4 5" xfId="268" xr:uid="{132E5058-FBD4-437D-A3CF-E6ADB3A376D6}"/>
    <cellStyle name="Comma 5" xfId="269" xr:uid="{08E8101B-F683-42CD-B16B-DE6A032D69BC}"/>
    <cellStyle name="Comma 5 2" xfId="270" xr:uid="{BF367C3A-D2EF-41E6-B9F1-1437EB3A5136}"/>
    <cellStyle name="Comma 6" xfId="271" xr:uid="{27BBA225-9D4F-49D5-B741-627DA497034E}"/>
    <cellStyle name="Comma 6 2" xfId="272" xr:uid="{7F979D23-8F96-4C72-A917-7B6012D3513A}"/>
    <cellStyle name="Comma 6 3" xfId="273" xr:uid="{C08A7F29-F465-4877-BC76-DC39B7B93512}"/>
    <cellStyle name="Comma 6 4" xfId="274" xr:uid="{EC05AC46-3F40-4003-8107-9E85EFB37660}"/>
    <cellStyle name="Comma 6 5" xfId="275" xr:uid="{E29D7BEB-22BE-42EA-BBFE-1E21BE79955A}"/>
    <cellStyle name="Comma 6 6" xfId="276" xr:uid="{0128F7D6-0803-4ED4-972F-178A8AD5F7B1}"/>
    <cellStyle name="Comma 6 7" xfId="277" xr:uid="{8C3CB081-591E-40D0-A163-F65473254AAB}"/>
    <cellStyle name="Comma 7" xfId="278" xr:uid="{EDC9DCC3-98DD-4193-B2F2-CC761BDAABAC}"/>
    <cellStyle name="Comma 7 10" xfId="279" xr:uid="{95F10770-6DC1-4716-B20C-976B2AEDA5A3}"/>
    <cellStyle name="Comma 7 11" xfId="280" xr:uid="{8FD605D6-83B3-4986-ACB6-93AF56EF229F}"/>
    <cellStyle name="Comma 7 2" xfId="281" xr:uid="{3C4A4F9D-5BAD-4BB0-B2F0-0444FF262F9C}"/>
    <cellStyle name="Comma 7 2 10" xfId="282" xr:uid="{7ABA3233-3112-4816-8623-6AEB33F420C8}"/>
    <cellStyle name="Comma 7 3" xfId="283" xr:uid="{D7285625-80C0-4CB6-B083-BE95CF5D72D2}"/>
    <cellStyle name="Comma 7 3 2" xfId="284" xr:uid="{48BE8B0D-DA2D-4E0A-BEE2-43D7055DD216}"/>
    <cellStyle name="Comma 7 3 3" xfId="285" xr:uid="{7951BD21-1A07-48BE-9446-120863F8A123}"/>
    <cellStyle name="Comma 7 3 4" xfId="286" xr:uid="{2038C478-DF38-4998-BF21-AFEF364769F7}"/>
    <cellStyle name="Comma 7 4" xfId="287" xr:uid="{FF9A815D-BD5D-4A23-929D-2576C801FA77}"/>
    <cellStyle name="Comma 7 5" xfId="288" xr:uid="{A9EACE8B-5059-4F4C-BE72-6FC1AEF0439B}"/>
    <cellStyle name="Comma 7 6" xfId="289" xr:uid="{11052EAB-E08C-40BA-B775-8FD6B912E1E7}"/>
    <cellStyle name="Comma 7 7" xfId="290" xr:uid="{814E8431-D51E-4DB2-A8B2-6C1CE9FA7AD1}"/>
    <cellStyle name="Comma 7 8" xfId="291" xr:uid="{7D34E2E5-849F-4128-B7F0-A4C3782FE6B5}"/>
    <cellStyle name="Comma 7 9" xfId="292" xr:uid="{5635ED18-1485-499B-8436-4C758EDEB096}"/>
    <cellStyle name="Comma 8" xfId="293" xr:uid="{7912CCDA-9083-4EA3-8832-5F0A75CDDAB0}"/>
    <cellStyle name="Comma 8 11" xfId="294" xr:uid="{AC2FF8D0-07F0-450C-AC01-65142BA05C38}"/>
    <cellStyle name="Comma 8 2" xfId="295" xr:uid="{040CCDFC-AA47-4526-9192-E257CC7C367B}"/>
    <cellStyle name="Comma 8 3" xfId="296" xr:uid="{933A9BA0-1893-4393-B533-EC0B24752019}"/>
    <cellStyle name="Comma 8 4" xfId="297" xr:uid="{41A3D67C-52FD-4F9C-B547-E35D73F5049C}"/>
    <cellStyle name="Comma 8 5" xfId="298" xr:uid="{1BF6E89D-6CD8-42A1-9AFA-C2603927EF6D}"/>
    <cellStyle name="Comma 8 6" xfId="299" xr:uid="{44189B6B-4110-45C3-B40C-EBF5A14DACB9}"/>
    <cellStyle name="Comma 8 7" xfId="300" xr:uid="{29DA98CF-FD09-46BB-96F4-8302F21499DB}"/>
    <cellStyle name="Comma 9" xfId="301" xr:uid="{AB41A4FC-B659-498F-9551-74F3E641719A}"/>
    <cellStyle name="Comma 9 2" xfId="302" xr:uid="{FFBB0F45-932D-4A9D-A449-5CCCD0C9EDC3}"/>
    <cellStyle name="Comma 9 2 2" xfId="303" xr:uid="{E7B0BC41-F6FA-414F-B53E-CA934883AD56}"/>
    <cellStyle name="Comma 9 2 3" xfId="304" xr:uid="{CB91BE73-ABFF-47E5-B449-9E0D9BB31FF0}"/>
    <cellStyle name="Comma 9 2 4" xfId="305" xr:uid="{D1C9E183-D4C5-4DC5-A916-084349E9A6F2}"/>
    <cellStyle name="Comma 9 3" xfId="306" xr:uid="{29296AA3-625D-477E-9944-16D33CE49B13}"/>
    <cellStyle name="Comma 9 4" xfId="307" xr:uid="{3CAB1F41-230B-4486-956B-B4C6B805FD74}"/>
    <cellStyle name="Comma 9 5" xfId="308" xr:uid="{FED364FB-0041-4C69-BAE6-F64711C8C2C5}"/>
    <cellStyle name="Comma0" xfId="309" xr:uid="{C3C6902D-45F3-4D13-9380-02F2845408CE}"/>
    <cellStyle name="Currency 2" xfId="310" xr:uid="{030F3130-4692-4052-A0C2-8DDF428E4670}"/>
    <cellStyle name="Currency 2 2" xfId="311" xr:uid="{6A0CF319-A3D0-48CB-97AD-F146FEA09134}"/>
    <cellStyle name="Currency 2 2 2" xfId="312" xr:uid="{B3931A17-3019-42E3-91B6-38B25681B8FD}"/>
    <cellStyle name="Currency 2 2 2 2" xfId="313" xr:uid="{8C01B6BC-2409-4BA9-92E6-BE84A880CA6F}"/>
    <cellStyle name="Currency 2 2 3" xfId="314" xr:uid="{2BCF8D3F-DD1F-47A7-8204-F152EBDC8578}"/>
    <cellStyle name="Currency 2 3" xfId="315" xr:uid="{788727FA-CBF4-481F-A6AA-CF9737339632}"/>
    <cellStyle name="Currency 2 3 2" xfId="316" xr:uid="{341357DE-F1B9-4C4E-B2A1-1B0A7B73332D}"/>
    <cellStyle name="Currency 2 4" xfId="317" xr:uid="{62CE3ED7-33F8-46EC-9FBF-857F227C4F7C}"/>
    <cellStyle name="Currency 2_Booking LCD  POSTER MEGA 2010" xfId="318" xr:uid="{E3AE638E-B26D-4FC8-8F31-53FC72B61E42}"/>
    <cellStyle name="Currency 3" xfId="319" xr:uid="{7E9544BB-6750-4081-8420-65502E0378E1}"/>
    <cellStyle name="Currency 3 2" xfId="320" xr:uid="{802C36DE-C543-4557-B1D7-A77B93A258A7}"/>
    <cellStyle name="Currency 3 2 2" xfId="321" xr:uid="{53747731-BBC9-4DD9-98CF-0B16B306EADF}"/>
    <cellStyle name="Currency 3 3" xfId="322" xr:uid="{01D96F02-626E-4FA7-A0EA-9B211DE8553B}"/>
    <cellStyle name="Currency 4" xfId="323" xr:uid="{2B506D0B-7941-4299-9483-54BB83306657}"/>
    <cellStyle name="Currency 5" xfId="324" xr:uid="{9486D78B-37F1-4596-B82C-B010AAA67933}"/>
    <cellStyle name="Currency0" xfId="325" xr:uid="{EA90662B-8D9A-4556-9BD1-48C7E4EC282C}"/>
    <cellStyle name="Date" xfId="326" xr:uid="{49E2EE40-5562-45E1-A67B-2925C88C9BDE}"/>
    <cellStyle name="Dấu phẩy 2" xfId="327" xr:uid="{8DF47E8C-03EE-4B93-8617-12C2541CD6C3}"/>
    <cellStyle name="DD/MM/YY" xfId="328" xr:uid="{7FDF7FE9-73D0-4EC2-A9DC-A95986ABCA9A}"/>
    <cellStyle name="Fixed" xfId="329" xr:uid="{BCF3E132-9665-4FFD-8A23-D2B56ABE9901}"/>
    <cellStyle name="Grey" xfId="330" xr:uid="{C587FC7D-B46E-4D69-A949-83B26C9853C1}"/>
    <cellStyle name="Header1" xfId="331" xr:uid="{19E07FDE-FB9E-4B2A-A387-D311757F60F6}"/>
    <cellStyle name="Header2" xfId="332" xr:uid="{D1184D95-0823-4D2F-8587-F146256471E8}"/>
    <cellStyle name="Hyperlink 2" xfId="333" xr:uid="{F621D4C0-7AE3-4D8A-8B4B-67A444609BC6}"/>
    <cellStyle name="Hyperlink 3" xfId="334" xr:uid="{AF24006B-29B0-4B36-8A46-CD7D544ABEBA}"/>
    <cellStyle name="Hyperlink 4" xfId="335" xr:uid="{7497F426-4EFD-4364-B454-E1C628E9A2C3}"/>
    <cellStyle name="Input [yellow]" xfId="336" xr:uid="{08DB3B9C-08A0-40FD-8741-FBBED68A4EC6}"/>
    <cellStyle name="LeverCurrency" xfId="337" xr:uid="{5A3D97A0-33FA-48B8-B102-1B5ABE295DA7}"/>
    <cellStyle name="LeverGRP" xfId="338" xr:uid="{C0012024-5BFD-4E9F-A132-B37D59BFB062}"/>
    <cellStyle name="Milliers [0]_CREATIVE" xfId="339" xr:uid="{5DA4D6B2-AC16-4C3B-A86C-017493DCF12E}"/>
    <cellStyle name="Milliers_CREATIVE" xfId="340" xr:uid="{41B4FE8B-1E18-429F-8B9D-70B48B2D3427}"/>
    <cellStyle name="Moeda [0]_Geral" xfId="341" xr:uid="{08FCA657-B407-482F-A11D-D59675D3B939}"/>
    <cellStyle name="Moeda_Geral" xfId="342" xr:uid="{52863AFE-67CE-4C14-A93D-B3F11ADB989B}"/>
    <cellStyle name="Monétaire [0]_CREATIVE" xfId="343" xr:uid="{4F56F04F-AEF7-4A12-8173-930672510310}"/>
    <cellStyle name="Monétaire_CREATIVE" xfId="344" xr:uid="{F7B709B1-6753-4A16-A559-519654DB4831}"/>
    <cellStyle name="no dec" xfId="345" xr:uid="{F49C17EE-26C6-4157-8D93-056150B82853}"/>
    <cellStyle name="no dec 10" xfId="346" xr:uid="{2E079D1D-46B4-4B83-80BD-FDD7F6E9556A}"/>
    <cellStyle name="no dec 10 2" xfId="347" xr:uid="{9AA16524-B62F-4E0B-8F00-832D07D8832D}"/>
    <cellStyle name="no dec 10 3" xfId="348" xr:uid="{4EFB3684-00CC-4B02-B6E0-91037BC757D1}"/>
    <cellStyle name="no dec 10 4" xfId="349" xr:uid="{AEDBB70A-494B-4EA3-83A0-CE596F2CF7D3}"/>
    <cellStyle name="no dec 11" xfId="350" xr:uid="{0A43BD94-DA01-4C69-AF12-713EFFE94012}"/>
    <cellStyle name="no dec 11 2" xfId="351" xr:uid="{6272B994-6AF2-4F58-94B2-EE1FA59D7332}"/>
    <cellStyle name="no dec 11 3" xfId="352" xr:uid="{BACEEFFF-A721-4F76-B4F0-912FE84CEB6D}"/>
    <cellStyle name="no dec 11 4" xfId="353" xr:uid="{FFD0B1CB-E763-4D18-AAB8-D37205322591}"/>
    <cellStyle name="no dec 12" xfId="354" xr:uid="{2FB2F145-D8B4-4D71-86E7-30F1E288449B}"/>
    <cellStyle name="no dec 12 2" xfId="355" xr:uid="{8739FF65-B6B0-486E-8E70-B392811C189D}"/>
    <cellStyle name="no dec 12 3" xfId="356" xr:uid="{343242C5-7FD8-45EE-9821-C420150143A8}"/>
    <cellStyle name="no dec 12 4" xfId="357" xr:uid="{4B5F9F20-5449-4C7D-923F-DE417A4E0CCA}"/>
    <cellStyle name="no dec 13" xfId="358" xr:uid="{BBA52438-E449-4CAF-85A3-23E0BBE2ED95}"/>
    <cellStyle name="no dec 13 2" xfId="359" xr:uid="{4DC01497-ADF4-4822-A2D0-86ED9DCDA89B}"/>
    <cellStyle name="no dec 13 3" xfId="360" xr:uid="{C41A3507-9F8C-4FEC-AE62-57712C6485DE}"/>
    <cellStyle name="no dec 13 4" xfId="361" xr:uid="{4824FF05-2846-452F-AFD9-1785184FCDEC}"/>
    <cellStyle name="no dec 14" xfId="362" xr:uid="{D0A625BB-254A-48DF-B3B1-E440B506363B}"/>
    <cellStyle name="no dec 14 2" xfId="363" xr:uid="{8C3D1E83-E4C4-428C-ACD7-3150A3B1902D}"/>
    <cellStyle name="no dec 14 3" xfId="364" xr:uid="{EEB45D1F-2D4A-49B2-8442-AFAB19CDB264}"/>
    <cellStyle name="no dec 14 4" xfId="365" xr:uid="{AD2365FE-F531-4D2F-B990-8FE96513AB6E}"/>
    <cellStyle name="no dec 15" xfId="366" xr:uid="{F76735C4-FBEB-4295-90DE-372E01985D55}"/>
    <cellStyle name="no dec 15 2" xfId="367" xr:uid="{11C3862A-9451-4DB2-BE30-221E76D89651}"/>
    <cellStyle name="no dec 15 3" xfId="368" xr:uid="{055FE451-33A3-4EFB-834E-7B80CCA4BB6B}"/>
    <cellStyle name="no dec 15 4" xfId="369" xr:uid="{F84167E7-4494-4449-8415-F070E3D39145}"/>
    <cellStyle name="no dec 16" xfId="370" xr:uid="{9E755A85-CACA-44DF-83EA-E212208BEB84}"/>
    <cellStyle name="no dec 16 2" xfId="371" xr:uid="{39DAE5FC-3582-4526-9162-F74B36B3785A}"/>
    <cellStyle name="no dec 16 3" xfId="372" xr:uid="{E6A0A87F-491B-4AB5-8FD4-10D5F11D91B2}"/>
    <cellStyle name="no dec 16 4" xfId="373" xr:uid="{AA4F5534-0B95-4281-8533-122D9AE55E4C}"/>
    <cellStyle name="no dec 2" xfId="374" xr:uid="{29764AFE-6966-4B57-ACD5-BC7A24B15C77}"/>
    <cellStyle name="no dec 2 2" xfId="375" xr:uid="{DE7CE545-E596-4F58-868D-6487A50D0A8C}"/>
    <cellStyle name="no dec 2 2 2" xfId="376" xr:uid="{28C695E0-33BD-4826-B550-B554DF552623}"/>
    <cellStyle name="no dec 2 2 3" xfId="377" xr:uid="{ECC1DBF3-11EC-45C8-8749-63C639812EC1}"/>
    <cellStyle name="no dec 2 2 4" xfId="378" xr:uid="{7444703C-85FF-47CD-BEE1-AAA20ED4D810}"/>
    <cellStyle name="no dec 3" xfId="379" xr:uid="{170A95DA-E1A1-4B73-A124-23C7156054E8}"/>
    <cellStyle name="no dec 3 2" xfId="380" xr:uid="{0E020F37-6CA3-4B07-B540-977707FD7472}"/>
    <cellStyle name="no dec 3 2 2" xfId="381" xr:uid="{651224A1-992C-4EA7-8517-EDF983021A7D}"/>
    <cellStyle name="no dec 3 2 3" xfId="382" xr:uid="{3E899599-FEC7-4E22-AEC8-D19268384ECB}"/>
    <cellStyle name="no dec 3 2 4" xfId="383" xr:uid="{B3DA28DB-9E48-41B6-8E2D-77F68BB5C436}"/>
    <cellStyle name="no dec 4" xfId="384" xr:uid="{8C2414DB-717F-4ED2-B08B-4C525F650CEF}"/>
    <cellStyle name="no dec 4 2" xfId="385" xr:uid="{4EFE2573-B415-4514-BDDB-232EB83F7113}"/>
    <cellStyle name="no dec 4 2 2" xfId="386" xr:uid="{371693B2-C4C7-42FC-A5F4-98DFF78AA1B9}"/>
    <cellStyle name="no dec 4 2 3" xfId="387" xr:uid="{501C0CB3-53B1-4587-9A77-5EC7880ED704}"/>
    <cellStyle name="no dec 4 2 4" xfId="388" xr:uid="{222E3AC0-5655-4F4D-A997-F8C555026BE9}"/>
    <cellStyle name="no dec 5" xfId="389" xr:uid="{F860FB75-9A6B-4347-AB1A-443E3E433D81}"/>
    <cellStyle name="no dec 5 2" xfId="390" xr:uid="{7083CBCC-BF33-465E-A74A-266384B10DAA}"/>
    <cellStyle name="no dec 5 3" xfId="391" xr:uid="{DC9D90C1-6C70-48C5-9E95-C29680921CD5}"/>
    <cellStyle name="no dec 5 4" xfId="392" xr:uid="{ECF67865-8649-4744-9E3D-748C937BA17C}"/>
    <cellStyle name="no dec 5 5" xfId="393" xr:uid="{46D27888-C972-4D86-AF7A-A149FF6B1DBA}"/>
    <cellStyle name="no dec 5 6" xfId="394" xr:uid="{E736CBDD-B1EE-434A-96FD-559AB3D410EE}"/>
    <cellStyle name="no dec 5 7" xfId="395" xr:uid="{161E8551-80DC-4F34-A3C4-689527B679A5}"/>
    <cellStyle name="no dec 5 8" xfId="396" xr:uid="{5F27655C-BBBD-4887-A0BA-34BD94DCD86B}"/>
    <cellStyle name="no dec 5 9" xfId="397" xr:uid="{66D78E07-9500-4E60-A0FB-13BE95AA2EAF}"/>
    <cellStyle name="no dec 6" xfId="398" xr:uid="{05A08658-EAB8-4EA5-BFC1-2606B9201FCC}"/>
    <cellStyle name="no dec 6 2" xfId="399" xr:uid="{99E50EE7-8AF3-48F0-AE6C-D5C238EBEA0B}"/>
    <cellStyle name="no dec 6 3" xfId="400" xr:uid="{6EF9F798-BF5D-46C6-A81D-E7C9B4FD518C}"/>
    <cellStyle name="no dec 6 4" xfId="401" xr:uid="{37427A5E-3BF3-48F8-A1D1-07599FBA47EE}"/>
    <cellStyle name="no dec 7" xfId="402" xr:uid="{B94E25AB-B609-4A09-80C4-A9BDC18099D0}"/>
    <cellStyle name="no dec 7 2" xfId="403" xr:uid="{23CC05D6-5605-4BC7-B9F5-F911C7BBAD62}"/>
    <cellStyle name="no dec 7 3" xfId="404" xr:uid="{E41C0D8F-A70D-4C2C-B41D-89BEC2E2F240}"/>
    <cellStyle name="no dec 7 4" xfId="405" xr:uid="{03F44FED-8B68-4105-8048-C335559D2665}"/>
    <cellStyle name="no dec 8" xfId="406" xr:uid="{01986133-A290-492C-9339-F0ABECFC4CCD}"/>
    <cellStyle name="no dec 8 2" xfId="407" xr:uid="{09867C86-4052-4829-A41C-41FD5A72E38C}"/>
    <cellStyle name="no dec 8 3" xfId="408" xr:uid="{FB44B0B0-6444-432F-B074-567A864548DC}"/>
    <cellStyle name="no dec 8 4" xfId="409" xr:uid="{0209950D-9CFC-4F51-964A-0255CBEC6E02}"/>
    <cellStyle name="no dec 9" xfId="410" xr:uid="{081DCFB1-E50C-4B8A-B8A4-FC71F479ADF2}"/>
    <cellStyle name="no dec 9 2" xfId="411" xr:uid="{BE682A78-9F51-4E1F-AA8A-004685B2176C}"/>
    <cellStyle name="no dec 9 3" xfId="412" xr:uid="{518473F9-2937-4D04-AFA1-F035E589A7B4}"/>
    <cellStyle name="no dec 9 4" xfId="413" xr:uid="{2267AA93-443B-4532-AC33-6AAD923AE122}"/>
    <cellStyle name="Normal" xfId="0" builtinId="0"/>
    <cellStyle name="Normal - Style1" xfId="414" xr:uid="{4BF9E0D5-DE6D-4245-8C4B-D91F5C3DEF43}"/>
    <cellStyle name="Normal 1" xfId="415" xr:uid="{D456499B-A95B-41B5-9078-07626276BE60}"/>
    <cellStyle name="Normal 10" xfId="416" xr:uid="{6F337291-2B01-4F65-8C78-73580F3D6A0C}"/>
    <cellStyle name="Normal 11" xfId="417" xr:uid="{38182F1C-9B7F-40D5-8D4F-DD1B5009222C}"/>
    <cellStyle name="Normal 12" xfId="418" xr:uid="{4F498E72-BD01-4F7D-94D2-4C07C078783A}"/>
    <cellStyle name="Normal 12 2" xfId="419" xr:uid="{9B5F0400-4BCE-4DBD-941C-4729D6A10A43}"/>
    <cellStyle name="Normal 13" xfId="420" xr:uid="{04C2BB3F-47B2-447A-BB37-DF6366177F93}"/>
    <cellStyle name="Normal 14" xfId="421" xr:uid="{AD90922B-B61F-4D0F-BB4F-414B5FBAC544}"/>
    <cellStyle name="Normal 15" xfId="422" xr:uid="{E73D7F9D-DB71-499B-B747-8AB0CB23AD55}"/>
    <cellStyle name="Normal 2" xfId="423" xr:uid="{1A00D543-57FE-4112-ADAE-908A742FCDBA}"/>
    <cellStyle name="Normal 2 2" xfId="424" xr:uid="{0D0F7D2C-B650-4F6B-9115-87FAE1F3C072}"/>
    <cellStyle name="Normal 2 2 2" xfId="425" xr:uid="{66923CD2-AB71-40A0-8390-8734E7CCE082}"/>
    <cellStyle name="Normal 2 3" xfId="426" xr:uid="{EDBCD60C-879C-47D6-957C-D9811588D8D9}"/>
    <cellStyle name="Normal 2 4" xfId="427" xr:uid="{7A59EF3A-E235-42F0-B71D-15BA02E7CA84}"/>
    <cellStyle name="Normal 2 5" xfId="428" xr:uid="{C53A0407-FC70-44F2-BF68-03DFE776732F}"/>
    <cellStyle name="Normal 2 6" xfId="429" xr:uid="{664756E2-8993-4B7B-9963-905CC29A44D5}"/>
    <cellStyle name="Normal 2 7" xfId="430" xr:uid="{62B27B61-E5E5-4284-8455-6F5543D48980}"/>
    <cellStyle name="Normal 2_Adjustment Bureau (2)" xfId="431" xr:uid="{D1F0FCB3-3133-419A-A678-9AF1F146D515}"/>
    <cellStyle name="Normal 3" xfId="432" xr:uid="{A7F8CA3E-8545-4853-A6E8-6C999E449FA7}"/>
    <cellStyle name="Normal 3 2" xfId="433" xr:uid="{9705EC1C-8249-4976-B3C4-B872F479545C}"/>
    <cellStyle name="Normal 3 2 2" xfId="434" xr:uid="{EB2A3F22-953D-4208-ADF2-144D89469CA2}"/>
    <cellStyle name="Normal 3 3" xfId="435" xr:uid="{00539D44-7B59-4CF0-A792-19EF772E2794}"/>
    <cellStyle name="Normal 3_ADJUSTMENT BUREAU" xfId="436" xr:uid="{155FA2A5-6417-465A-8140-095A518CD486}"/>
    <cellStyle name="Normal 4" xfId="437" xr:uid="{1480755D-B456-469B-B99D-C0AD86C6641C}"/>
    <cellStyle name="Normal 4 2" xfId="438" xr:uid="{2E5303D5-5AB5-4C13-85D4-A499435BF638}"/>
    <cellStyle name="Normal 5" xfId="439" xr:uid="{82BECA07-F386-4F32-9D75-1610193257F7}"/>
    <cellStyle name="Normal 5 2" xfId="440" xr:uid="{DC91CB6E-F9D9-46DC-B375-B38476A6359F}"/>
    <cellStyle name="Normal 6" xfId="441" xr:uid="{53DC817D-E2AE-4B81-A548-32F97D396975}"/>
    <cellStyle name="Normal 6 2" xfId="442" xr:uid="{755B43DD-8B45-4290-8CD2-CF534B5671EF}"/>
    <cellStyle name="Normal 6 2 2" xfId="443" xr:uid="{32643DF6-D7B9-44CF-BEF3-5FE3EBB4994C}"/>
    <cellStyle name="Normal 6 3" xfId="444" xr:uid="{DA239E45-B690-4032-A5C3-79E148824525}"/>
    <cellStyle name="Normal 6_Xl0000068" xfId="445" xr:uid="{5274085C-3D78-4555-8AB2-2988A64AA4B4}"/>
    <cellStyle name="Normal 7" xfId="446" xr:uid="{360FAA61-F51C-4378-B146-CD3315A01CD8}"/>
    <cellStyle name="Normal 8" xfId="447" xr:uid="{A049EACB-E501-4687-AADE-8A7B759F4A54}"/>
    <cellStyle name="Normal 9" xfId="448" xr:uid="{6563A164-F167-419C-A0D4-5760F869FA41}"/>
    <cellStyle name="Percent [2]" xfId="449" xr:uid="{140DB921-574F-4052-9BFF-30CF0EC253EE}"/>
    <cellStyle name="Percent [2] 10" xfId="450" xr:uid="{85E4EDDC-5BBB-4885-8906-AB31E78C09A1}"/>
    <cellStyle name="Percent [2] 10 2" xfId="451" xr:uid="{E4BB514D-BC68-4613-8303-1CE5AC04F746}"/>
    <cellStyle name="Percent [2] 10 2 2" xfId="452" xr:uid="{2A2AF8E2-115A-4596-A002-09DDCAC70617}"/>
    <cellStyle name="Percent [2] 10 2 3" xfId="453" xr:uid="{5F8F9C6D-436C-42E3-B344-482E1AA2ED0F}"/>
    <cellStyle name="Percent [2] 10 2 4" xfId="454" xr:uid="{B912E7CE-A5EE-4960-B228-ACBC96BD9F84}"/>
    <cellStyle name="Percent [2] 11" xfId="455" xr:uid="{979D3A4E-956A-4876-AAEB-DE5686996E68}"/>
    <cellStyle name="Percent [2] 11 2" xfId="456" xr:uid="{F32887B0-41F5-4F67-8009-1C9A4FF3DABC}"/>
    <cellStyle name="Percent [2] 11 3" xfId="457" xr:uid="{1A1388CA-D31C-47DE-B684-4D7ECFD6F679}"/>
    <cellStyle name="Percent [2] 11 4" xfId="458" xr:uid="{3A0F9BBE-D3CF-414B-B664-2248C6B9BC2D}"/>
    <cellStyle name="Percent [2] 12" xfId="459" xr:uid="{E7937E8F-BD0E-4821-80BF-2ABB917B9112}"/>
    <cellStyle name="Percent [2] 12 2" xfId="460" xr:uid="{7B0F511C-DD3B-4989-937F-18EDD4F03207}"/>
    <cellStyle name="Percent [2] 12 3" xfId="461" xr:uid="{2624C798-3CD0-4F56-8FE8-257346E3B4A5}"/>
    <cellStyle name="Percent [2] 12 4" xfId="462" xr:uid="{85543569-0F8F-4DAC-80ED-6FC1B3C6434F}"/>
    <cellStyle name="Percent [2] 13" xfId="463" xr:uid="{5312B004-CDA7-4E09-A813-B4F0FF83D73D}"/>
    <cellStyle name="Percent [2] 13 2" xfId="464" xr:uid="{22C187B9-C00B-40E8-B639-3366C9ABCDDE}"/>
    <cellStyle name="Percent [2] 13 3" xfId="465" xr:uid="{978FF72D-6EBC-4123-AEB8-2E4AF4E47A2B}"/>
    <cellStyle name="Percent [2] 13 4" xfId="466" xr:uid="{F13431CA-F491-4D81-8F17-FE408AAA384E}"/>
    <cellStyle name="Percent [2] 14" xfId="467" xr:uid="{9E654968-A771-4F4E-B851-25B30210ED0B}"/>
    <cellStyle name="Percent [2] 14 2" xfId="468" xr:uid="{12F9C375-573D-4F0A-8E0D-CBD705C537D0}"/>
    <cellStyle name="Percent [2] 14 3" xfId="469" xr:uid="{4941CAF3-071F-4D33-9734-BF20AB8B3CC8}"/>
    <cellStyle name="Percent [2] 14 4" xfId="470" xr:uid="{0E0F6D47-646B-4A0E-A6B1-F9161EC80A7E}"/>
    <cellStyle name="Percent [2] 15" xfId="471" xr:uid="{6AA5D70D-8471-43A3-A959-8F16B708DEEF}"/>
    <cellStyle name="Percent [2] 15 2" xfId="472" xr:uid="{79AAB072-0714-461F-8955-16E3FBF8A5E5}"/>
    <cellStyle name="Percent [2] 15 3" xfId="473" xr:uid="{DD14AA50-F83E-4438-89CA-051F2E43728C}"/>
    <cellStyle name="Percent [2] 15 4" xfId="474" xr:uid="{A7449446-CBAA-4AB8-BC94-A23E2D75BA50}"/>
    <cellStyle name="Percent [2] 16" xfId="475" xr:uid="{D002D462-062B-4D1D-8DBF-80A169F29AAE}"/>
    <cellStyle name="Percent [2] 16 2" xfId="476" xr:uid="{0C5CEF5F-5F23-47AE-AD01-3E017B044CA1}"/>
    <cellStyle name="Percent [2] 16 3" xfId="477" xr:uid="{07BCBF7F-D310-4731-A8DB-21A920DE52D2}"/>
    <cellStyle name="Percent [2] 16 4" xfId="478" xr:uid="{A813E437-4A2E-41F5-97BA-0E9E6A701140}"/>
    <cellStyle name="Percent [2] 17" xfId="479" xr:uid="{BD90C42C-1397-4B39-A2F3-CCAE5366AA15}"/>
    <cellStyle name="Percent [2] 17 2" xfId="480" xr:uid="{EEF6BB1B-9D46-43B1-B181-93DF5385C088}"/>
    <cellStyle name="Percent [2] 17 3" xfId="481" xr:uid="{A564EA3E-26DD-4333-BBDC-EBA7A1755060}"/>
    <cellStyle name="Percent [2] 17 4" xfId="482" xr:uid="{4FFC249B-B13D-40BD-80A5-E94A63681A82}"/>
    <cellStyle name="Percent [2] 18" xfId="483" xr:uid="{079C140B-4456-467B-88E3-0ED14A7171E5}"/>
    <cellStyle name="Percent [2] 18 2" xfId="484" xr:uid="{8341CE9A-0DF9-4FC9-9825-584C5B6AE7B8}"/>
    <cellStyle name="Percent [2] 18 3" xfId="485" xr:uid="{5AD912D6-1EAD-43DF-BC81-59F5460BF0B4}"/>
    <cellStyle name="Percent [2] 18 4" xfId="486" xr:uid="{97F9715F-CBC5-4B81-A563-156C6338ACB9}"/>
    <cellStyle name="Percent [2] 19" xfId="487" xr:uid="{3E72BA99-4C2E-4560-9904-E973A52AAA4D}"/>
    <cellStyle name="Percent [2] 19 2" xfId="488" xr:uid="{A0018AC7-356A-4079-B05E-7179364840F8}"/>
    <cellStyle name="Percent [2] 19 3" xfId="489" xr:uid="{12E60A9B-0CC0-410A-B4BB-4523915B0FCD}"/>
    <cellStyle name="Percent [2] 19 4" xfId="490" xr:uid="{7DE8B44D-2006-44CC-B995-439A277FCCFE}"/>
    <cellStyle name="Percent [2] 2" xfId="491" xr:uid="{CC395EE0-934A-4D53-B9E7-18E262F22D50}"/>
    <cellStyle name="Percent [2] 2 10" xfId="492" xr:uid="{49ED32D6-DE7D-41F1-8F7D-39D5F5C8CC1E}"/>
    <cellStyle name="Percent [2] 2 10 2" xfId="493" xr:uid="{63ED1854-C4B6-4974-A87E-3D2E8FCF99B8}"/>
    <cellStyle name="Percent [2] 2 10 3" xfId="494" xr:uid="{95C784EF-9962-49CD-8B53-BBA52B7AEA40}"/>
    <cellStyle name="Percent [2] 2 10 4" xfId="495" xr:uid="{5EBEF6FE-C8E1-4150-8315-D068B206E9E6}"/>
    <cellStyle name="Percent [2] 2 11" xfId="496" xr:uid="{832F6517-3599-4009-91B8-62434D7FEA92}"/>
    <cellStyle name="Percent [2] 2 11 2" xfId="497" xr:uid="{0C808B8E-30F9-46AA-ABDF-934BC56B48D5}"/>
    <cellStyle name="Percent [2] 2 11 3" xfId="498" xr:uid="{58B535F1-3C7D-42FC-A221-593F7238C8F7}"/>
    <cellStyle name="Percent [2] 2 11 4" xfId="499" xr:uid="{62E2FF18-9DE8-4C85-9BEB-86247BDE1BA6}"/>
    <cellStyle name="Percent [2] 2 12" xfId="500" xr:uid="{37936030-66FC-4F00-9E70-A38DB5B56556}"/>
    <cellStyle name="Percent [2] 2 12 2" xfId="501" xr:uid="{742ABAF6-5186-4F84-B29C-EB1DA119AE8F}"/>
    <cellStyle name="Percent [2] 2 12 3" xfId="502" xr:uid="{5E056CDF-74F8-45F5-BB24-D061E16656B9}"/>
    <cellStyle name="Percent [2] 2 12 4" xfId="503" xr:uid="{630887AC-A864-48B1-8238-A66501CB8DAC}"/>
    <cellStyle name="Percent [2] 2 13" xfId="504" xr:uid="{031796A4-D265-4C35-9233-DDF99C205AE7}"/>
    <cellStyle name="Percent [2] 2 13 2" xfId="505" xr:uid="{41D2A7BB-A2BC-44C7-88D4-CCF3DE3E28C1}"/>
    <cellStyle name="Percent [2] 2 13 3" xfId="506" xr:uid="{DFC35921-2956-415F-A807-D719F7B328F4}"/>
    <cellStyle name="Percent [2] 2 13 4" xfId="507" xr:uid="{037BA6AB-8B74-48B4-B7A8-2DBED9B54E8B}"/>
    <cellStyle name="Percent [2] 2 14" xfId="508" xr:uid="{9E61130F-29E4-49E3-99DB-31C34A464425}"/>
    <cellStyle name="Percent [2] 2 14 2" xfId="509" xr:uid="{3C4CA720-33A0-4B70-AFC3-4B759CF3E4AC}"/>
    <cellStyle name="Percent [2] 2 14 3" xfId="510" xr:uid="{BD51DB69-FAE3-4BF6-B675-44344193C951}"/>
    <cellStyle name="Percent [2] 2 14 4" xfId="511" xr:uid="{E3A762B8-5921-4349-9474-F31561C2F3F2}"/>
    <cellStyle name="Percent [2] 2 15" xfId="512" xr:uid="{C7235722-9BB3-4AB6-B55C-B4B3C2882B01}"/>
    <cellStyle name="Percent [2] 2 15 2" xfId="513" xr:uid="{2AB92B77-7681-4ACE-A6B5-F95254F1BC29}"/>
    <cellStyle name="Percent [2] 2 15 3" xfId="514" xr:uid="{CA4B661D-88F0-48EE-BDC6-3FA064E764F0}"/>
    <cellStyle name="Percent [2] 2 15 4" xfId="515" xr:uid="{AFE067A0-835D-49AF-A1A9-3059769877C2}"/>
    <cellStyle name="Percent [2] 2 16" xfId="516" xr:uid="{37C9F696-FD77-4F6F-8DAD-EF1DE2962D28}"/>
    <cellStyle name="Percent [2] 2 16 2" xfId="517" xr:uid="{18608C1F-43F8-4A88-9D74-A6ED21CC2F4E}"/>
    <cellStyle name="Percent [2] 2 16 3" xfId="518" xr:uid="{BBB18889-9860-47A6-BF15-0C59489EE40B}"/>
    <cellStyle name="Percent [2] 2 16 4" xfId="519" xr:uid="{48931025-4FBE-4172-AC28-23A307FBEF84}"/>
    <cellStyle name="Percent [2] 2 2" xfId="520" xr:uid="{E603D07D-4BE2-4EC4-8954-8F44C03FE119}"/>
    <cellStyle name="Percent [2] 2 2 2" xfId="521" xr:uid="{BE5F6758-512A-427E-BD3A-0C52263298CC}"/>
    <cellStyle name="Percent [2] 2 2 3" xfId="522" xr:uid="{1BC3B8E1-4748-4D0A-9ECC-B520AEBD88E2}"/>
    <cellStyle name="Percent [2] 2 2 4" xfId="523" xr:uid="{E88611F9-2750-4C60-9711-BA0AB2F7AC58}"/>
    <cellStyle name="Percent [2] 2 3" xfId="524" xr:uid="{2BFE878D-31A9-42FC-9B7F-6C4EEF541361}"/>
    <cellStyle name="Percent [2] 2 3 2" xfId="525" xr:uid="{99277B69-C2A2-4B80-9701-FEEC6EFB7DF8}"/>
    <cellStyle name="Percent [2] 2 3 3" xfId="526" xr:uid="{59C94574-E88C-41F4-A09F-9C8C9CED18C1}"/>
    <cellStyle name="Percent [2] 2 3 4" xfId="527" xr:uid="{6AF76AE9-9320-4171-A526-F5D87012C0F3}"/>
    <cellStyle name="Percent [2] 2 4" xfId="528" xr:uid="{3CEF08A8-B4F4-4641-A979-9CB1C6DEA936}"/>
    <cellStyle name="Percent [2] 2 4 2" xfId="529" xr:uid="{1EE50B65-C503-4B8A-9FB9-89CE0618B7F0}"/>
    <cellStyle name="Percent [2] 2 4 3" xfId="530" xr:uid="{835781AB-5C39-477F-8D68-29B48D2859B6}"/>
    <cellStyle name="Percent [2] 2 4 4" xfId="531" xr:uid="{899A6AA8-B810-4C42-92FF-2382AE0D5178}"/>
    <cellStyle name="Percent [2] 2 5" xfId="532" xr:uid="{C7EFF0D6-2808-4EFA-92DA-FACF0D90B8CF}"/>
    <cellStyle name="Percent [2] 2 5 2" xfId="533" xr:uid="{5C2759F1-750B-45D4-B7BF-AE4B96FD2AC4}"/>
    <cellStyle name="Percent [2] 2 5 3" xfId="534" xr:uid="{A4624D8B-8039-4756-B894-8E63301BB66C}"/>
    <cellStyle name="Percent [2] 2 5 4" xfId="535" xr:uid="{A69F5FB8-DA97-4237-B9C7-6F5FB5D87A70}"/>
    <cellStyle name="Percent [2] 2 6" xfId="536" xr:uid="{DB05CA86-247E-4B00-A672-1C57BF5E0685}"/>
    <cellStyle name="Percent [2] 2 6 2" xfId="537" xr:uid="{AB115D89-5C59-4B44-B746-916BD1657CA8}"/>
    <cellStyle name="Percent [2] 2 6 3" xfId="538" xr:uid="{6456A2BC-0276-472E-82A4-8823BC3F4FA3}"/>
    <cellStyle name="Percent [2] 2 6 4" xfId="539" xr:uid="{E8171135-66F2-4ACC-B899-9E27BDA6EA81}"/>
    <cellStyle name="Percent [2] 2 7" xfId="540" xr:uid="{CA4531A2-83CF-4F2A-8921-5E1BCFB8CABA}"/>
    <cellStyle name="Percent [2] 2 7 2" xfId="541" xr:uid="{9A181B0F-9756-4E2C-8A2B-E6A59A31D6CF}"/>
    <cellStyle name="Percent [2] 2 7 3" xfId="542" xr:uid="{D0520817-D81F-45D1-9C4C-2722E20A65C9}"/>
    <cellStyle name="Percent [2] 2 7 4" xfId="543" xr:uid="{8D6B3006-62D4-42A1-9280-EE9F6280761C}"/>
    <cellStyle name="Percent [2] 2 8" xfId="544" xr:uid="{9E118E3B-2F57-411F-952A-A2707426DCAE}"/>
    <cellStyle name="Percent [2] 2 8 2" xfId="545" xr:uid="{E6D6035A-EC8B-45D7-9894-F5A483E4EE52}"/>
    <cellStyle name="Percent [2] 2 8 3" xfId="546" xr:uid="{3C73763D-3C05-42FC-9D0C-55D1E2701A70}"/>
    <cellStyle name="Percent [2] 2 8 4" xfId="547" xr:uid="{B059D5DD-7105-489B-8916-3649B6846363}"/>
    <cellStyle name="Percent [2] 2 9" xfId="548" xr:uid="{34A3EFD3-CB70-431B-8296-8CEA4962E833}"/>
    <cellStyle name="Percent [2] 2 9 2" xfId="549" xr:uid="{C1516E28-3B32-4DD4-AA4C-287F6FF66396}"/>
    <cellStyle name="Percent [2] 2 9 3" xfId="550" xr:uid="{37CB20DB-BF6F-4852-9A63-6739F57C8A06}"/>
    <cellStyle name="Percent [2] 2 9 4" xfId="551" xr:uid="{6DEFC350-8664-42F9-AD5F-96077E6D13EE}"/>
    <cellStyle name="Percent [2] 20" xfId="552" xr:uid="{79C0716A-1667-4B2C-95C9-D4D18DE0DE08}"/>
    <cellStyle name="Percent [2] 20 2" xfId="553" xr:uid="{3FC9F62B-BE1C-4285-9207-2907AE9BFC6F}"/>
    <cellStyle name="Percent [2] 20 3" xfId="554" xr:uid="{AC661B79-5B91-4FF7-ABD2-8E8CD2932654}"/>
    <cellStyle name="Percent [2] 20 4" xfId="555" xr:uid="{3FF60030-88B5-4F5E-AC11-9AD3E61184F0}"/>
    <cellStyle name="Percent [2] 21" xfId="556" xr:uid="{AC391A84-8967-4835-B875-476F6B8985C9}"/>
    <cellStyle name="Percent [2] 22" xfId="557" xr:uid="{D7E113E4-2434-4321-A280-BAB8C67A14C7}"/>
    <cellStyle name="Percent [2] 23" xfId="558" xr:uid="{FCA00742-E3EF-4A30-AA4F-040BE9613C7A}"/>
    <cellStyle name="Percent [2] 24" xfId="559" xr:uid="{114C4BB1-2131-4627-9B27-02B7973C9907}"/>
    <cellStyle name="Percent [2] 25" xfId="560" xr:uid="{06D931D1-8128-4EC1-8BE4-DEFB8A406986}"/>
    <cellStyle name="Percent [2] 26" xfId="561" xr:uid="{9DF0F0A8-80C2-4A3B-ACBD-BE6FE6DA996B}"/>
    <cellStyle name="Percent [2] 27" xfId="562" xr:uid="{31FFC95E-2A08-4683-B2AC-937E60AE1B92}"/>
    <cellStyle name="Percent [2] 28" xfId="563" xr:uid="{BD39C06F-2184-44E6-9E9E-6E5FBAC0B257}"/>
    <cellStyle name="Percent [2] 29" xfId="564" xr:uid="{F0D00380-CD0E-406C-BB97-02F805515ABD}"/>
    <cellStyle name="Percent [2] 3" xfId="565" xr:uid="{5E8C1CC1-C26E-42F7-9153-F59EB6613802}"/>
    <cellStyle name="Percent [2] 3 10" xfId="566" xr:uid="{0790E076-5BAC-446C-A8CB-9102DD5E1FB7}"/>
    <cellStyle name="Percent [2] 3 10 2" xfId="567" xr:uid="{BB30BD1E-D0A9-49C1-8546-397FA7C84917}"/>
    <cellStyle name="Percent [2] 3 10 3" xfId="568" xr:uid="{0278E868-EDB5-409A-8EE6-169807E741AA}"/>
    <cellStyle name="Percent [2] 3 10 4" xfId="569" xr:uid="{6C68686B-58BD-4B95-AEFA-774CC97A116B}"/>
    <cellStyle name="Percent [2] 3 11" xfId="570" xr:uid="{DDF3E953-D3C3-4AF0-89D0-9131D2A50E1B}"/>
    <cellStyle name="Percent [2] 3 11 2" xfId="571" xr:uid="{FA701351-27D0-4951-B3BC-A94DDB5FBAA3}"/>
    <cellStyle name="Percent [2] 3 11 3" xfId="572" xr:uid="{641C9EA2-24B3-47A3-AA2A-7C81E1B2D850}"/>
    <cellStyle name="Percent [2] 3 11 4" xfId="573" xr:uid="{FB3F8044-BAC7-473C-9FCB-9CAA499F4375}"/>
    <cellStyle name="Percent [2] 3 12" xfId="574" xr:uid="{70927D25-BB7D-40EA-8E3D-63882BE0B9F2}"/>
    <cellStyle name="Percent [2] 3 12 2" xfId="575" xr:uid="{80EB8263-DE61-4DAA-9974-75215B1777C9}"/>
    <cellStyle name="Percent [2] 3 12 3" xfId="576" xr:uid="{31A63A93-006B-46B1-80B3-F73F74614EEF}"/>
    <cellStyle name="Percent [2] 3 12 4" xfId="577" xr:uid="{28AD1476-720F-4371-A25A-62769984CA00}"/>
    <cellStyle name="Percent [2] 3 13" xfId="578" xr:uid="{D5FDC8DC-9044-4C02-9E3E-F931EB75C475}"/>
    <cellStyle name="Percent [2] 3 13 2" xfId="579" xr:uid="{EE534845-5CFE-438C-AE6D-99B03CFFA7C7}"/>
    <cellStyle name="Percent [2] 3 13 3" xfId="580" xr:uid="{F2E4474C-65AE-4CE7-AAA4-4AD7BA8E5E25}"/>
    <cellStyle name="Percent [2] 3 13 4" xfId="581" xr:uid="{44CA719D-556B-41F1-A117-F537291B94AA}"/>
    <cellStyle name="Percent [2] 3 14" xfId="582" xr:uid="{48955A89-ECBB-49DD-8B22-ADDA6AD692A7}"/>
    <cellStyle name="Percent [2] 3 14 2" xfId="583" xr:uid="{4B3E3DF6-D59A-4A13-A643-33B045C67BF5}"/>
    <cellStyle name="Percent [2] 3 14 3" xfId="584" xr:uid="{772DCE1B-C336-4BDF-9EBF-C87606046D75}"/>
    <cellStyle name="Percent [2] 3 14 4" xfId="585" xr:uid="{2F4B34A5-665D-4253-BE46-E452EAB26784}"/>
    <cellStyle name="Percent [2] 3 15" xfId="586" xr:uid="{3BE0C9E2-CAD0-4035-ACDA-B775F855E4C7}"/>
    <cellStyle name="Percent [2] 3 15 2" xfId="587" xr:uid="{3E252D6F-F9D7-4FDE-BF91-FD68E7FDA1B3}"/>
    <cellStyle name="Percent [2] 3 15 3" xfId="588" xr:uid="{5D900299-2957-46EE-86C3-5FF0A67EFC1A}"/>
    <cellStyle name="Percent [2] 3 15 4" xfId="589" xr:uid="{5F61542C-CE01-485F-BDDC-8DB05C86B5E5}"/>
    <cellStyle name="Percent [2] 3 16" xfId="590" xr:uid="{CFC3F2A8-15A0-47CB-9E1F-C5E0D5CBE085}"/>
    <cellStyle name="Percent [2] 3 16 2" xfId="591" xr:uid="{1AA35668-7BE5-42A9-963F-52F55413D0DE}"/>
    <cellStyle name="Percent [2] 3 16 3" xfId="592" xr:uid="{687188EA-6810-48E2-BBE3-0DE1FAD26D70}"/>
    <cellStyle name="Percent [2] 3 16 4" xfId="593" xr:uid="{3182CF59-9EAE-4647-8D88-3D8A2AD46BC4}"/>
    <cellStyle name="Percent [2] 3 2" xfId="594" xr:uid="{60284F0C-3295-47E2-BD76-0C9CAB6BAA31}"/>
    <cellStyle name="Percent [2] 3 2 2" xfId="595" xr:uid="{ABEF3EB7-D7F4-46FB-BDCC-4CCC66077778}"/>
    <cellStyle name="Percent [2] 3 2 3" xfId="596" xr:uid="{CCD2297B-6B5D-45B3-B6FD-BAB4B2EB8538}"/>
    <cellStyle name="Percent [2] 3 2 4" xfId="597" xr:uid="{11C26979-3F6F-4D90-83DB-2847D1E84AB6}"/>
    <cellStyle name="Percent [2] 3 3" xfId="598" xr:uid="{EB0BE7F1-A146-4ECF-9AD0-EF906076201A}"/>
    <cellStyle name="Percent [2] 3 3 2" xfId="599" xr:uid="{D7531148-80B4-43AC-B75D-9B8E56D8E0D0}"/>
    <cellStyle name="Percent [2] 3 3 3" xfId="600" xr:uid="{AE124147-513E-4658-9502-4E524E65A67A}"/>
    <cellStyle name="Percent [2] 3 3 4" xfId="601" xr:uid="{FAE0F55A-C80D-4F43-A719-80442FD596C7}"/>
    <cellStyle name="Percent [2] 3 4" xfId="602" xr:uid="{957965A4-2E86-426F-999E-C7BC6EFA938C}"/>
    <cellStyle name="Percent [2] 3 4 2" xfId="603" xr:uid="{BFBDDC4F-2A77-42F9-9332-FBA5621D9649}"/>
    <cellStyle name="Percent [2] 3 4 3" xfId="604" xr:uid="{A6F360FC-B1E8-45FD-B452-C1F91C7FCE54}"/>
    <cellStyle name="Percent [2] 3 4 4" xfId="605" xr:uid="{B1B4DFEC-60B9-4831-B8AF-0ABEA3C8F621}"/>
    <cellStyle name="Percent [2] 3 5" xfId="606" xr:uid="{881417E5-40D2-4F26-991A-D5784EB23243}"/>
    <cellStyle name="Percent [2] 3 5 2" xfId="607" xr:uid="{AFCD7508-14B8-4F86-8C4A-B6E7407AF698}"/>
    <cellStyle name="Percent [2] 3 5 3" xfId="608" xr:uid="{4AB1BFFD-C474-456B-BA08-3FD13CEC0348}"/>
    <cellStyle name="Percent [2] 3 5 4" xfId="609" xr:uid="{778857DC-C0C0-41AB-BBC4-A1C045754063}"/>
    <cellStyle name="Percent [2] 3 6" xfId="610" xr:uid="{1F13EDA4-5720-41EA-AD6C-8C71E0FAB6A6}"/>
    <cellStyle name="Percent [2] 3 6 2" xfId="611" xr:uid="{2297F24D-D772-4F97-AB19-168BF51CA7A6}"/>
    <cellStyle name="Percent [2] 3 6 3" xfId="612" xr:uid="{A44FCC5E-8925-4239-8226-361118BBE331}"/>
    <cellStyle name="Percent [2] 3 6 4" xfId="613" xr:uid="{526F4360-222E-46EC-90FD-3F79BA958322}"/>
    <cellStyle name="Percent [2] 3 7" xfId="614" xr:uid="{A6BC2787-EC95-431B-8833-073D628702E3}"/>
    <cellStyle name="Percent [2] 3 7 2" xfId="615" xr:uid="{584668BE-C792-415B-A097-E84A64DDCE6A}"/>
    <cellStyle name="Percent [2] 3 7 3" xfId="616" xr:uid="{9B2713E2-1A86-4881-80EC-91F266BD740C}"/>
    <cellStyle name="Percent [2] 3 7 4" xfId="617" xr:uid="{0D40B8D1-17C7-49BE-B52E-F9CA3BB95DED}"/>
    <cellStyle name="Percent [2] 3 8" xfId="618" xr:uid="{484A79A7-16BC-482E-B04F-E42259677344}"/>
    <cellStyle name="Percent [2] 3 8 2" xfId="619" xr:uid="{6E670B39-203E-4ED3-8322-A39628134EF2}"/>
    <cellStyle name="Percent [2] 3 8 3" xfId="620" xr:uid="{9BEE395B-E522-46D5-8241-AF713D0C4882}"/>
    <cellStyle name="Percent [2] 3 8 4" xfId="621" xr:uid="{13C4E625-3865-42B6-B086-F55224691BC4}"/>
    <cellStyle name="Percent [2] 3 9" xfId="622" xr:uid="{7FF48C00-02C6-4C69-A1C4-E42C7DEFA34D}"/>
    <cellStyle name="Percent [2] 3 9 2" xfId="623" xr:uid="{4DCBC944-C503-4977-9F66-9B86E110D9E0}"/>
    <cellStyle name="Percent [2] 3 9 3" xfId="624" xr:uid="{7BD2FDAF-0501-4E73-B9F0-325F3F705E71}"/>
    <cellStyle name="Percent [2] 3 9 4" xfId="625" xr:uid="{F2560178-431A-42C2-BFEC-8FF8E0FE87B5}"/>
    <cellStyle name="Percent [2] 30" xfId="626" xr:uid="{D388E19D-0218-48C8-BC28-6133BCEA637F}"/>
    <cellStyle name="Percent [2] 31" xfId="627" xr:uid="{30CA3A35-C36D-4A01-953D-134054235A8C}"/>
    <cellStyle name="Percent [2] 32" xfId="628" xr:uid="{A67609C9-6BDE-4FE8-97B2-73A18E0835CA}"/>
    <cellStyle name="Percent [2] 4" xfId="629" xr:uid="{FF859C39-C64C-4972-95A1-30569B747F39}"/>
    <cellStyle name="Percent [2] 4 10" xfId="630" xr:uid="{C792EB46-8788-425C-A923-02137BE22EC9}"/>
    <cellStyle name="Percent [2] 4 10 2" xfId="631" xr:uid="{6740E727-A8D3-4C04-9EEB-1F5C389A5BB5}"/>
    <cellStyle name="Percent [2] 4 10 3" xfId="632" xr:uid="{535756B6-EFB7-4A27-8AB4-F03B3F84B816}"/>
    <cellStyle name="Percent [2] 4 10 4" xfId="633" xr:uid="{8C1C4D86-3E20-4E85-8D99-8FA3336D9D14}"/>
    <cellStyle name="Percent [2] 4 11" xfId="634" xr:uid="{878528C3-6461-4CFE-B89F-EAA5357DA178}"/>
    <cellStyle name="Percent [2] 4 11 2" xfId="635" xr:uid="{EECC924D-78B9-4675-929C-BADBC583966F}"/>
    <cellStyle name="Percent [2] 4 11 3" xfId="636" xr:uid="{B7072498-E009-42E6-B608-F9D498640435}"/>
    <cellStyle name="Percent [2] 4 11 4" xfId="637" xr:uid="{E7B8ED7B-CD7C-405C-B323-F5D8203D1E2D}"/>
    <cellStyle name="Percent [2] 4 12" xfId="638" xr:uid="{E2EA058D-F4EB-4A2D-BCAB-604F7A7CB3B8}"/>
    <cellStyle name="Percent [2] 4 12 2" xfId="639" xr:uid="{6685F283-039E-467D-B13F-F06B901CDAAB}"/>
    <cellStyle name="Percent [2] 4 12 3" xfId="640" xr:uid="{92E15B28-B1E4-49DF-88B0-87128922C221}"/>
    <cellStyle name="Percent [2] 4 12 4" xfId="641" xr:uid="{7071EFCF-2178-4C93-9FB7-C2E7FDE07DA7}"/>
    <cellStyle name="Percent [2] 4 13" xfId="642" xr:uid="{EBFDC10F-2425-4865-AB54-4DF326E0675E}"/>
    <cellStyle name="Percent [2] 4 13 2" xfId="643" xr:uid="{9AFAD1DA-97C7-4060-9C5C-5443FA372298}"/>
    <cellStyle name="Percent [2] 4 13 3" xfId="644" xr:uid="{E9E0D02C-F522-4134-8C08-843AF0347B3D}"/>
    <cellStyle name="Percent [2] 4 13 4" xfId="645" xr:uid="{D9B998F6-944C-473F-9DE9-799A5E485029}"/>
    <cellStyle name="Percent [2] 4 14" xfId="646" xr:uid="{60F5AF34-915B-4093-BD4A-EDB1262A6EAA}"/>
    <cellStyle name="Percent [2] 4 14 2" xfId="647" xr:uid="{C6624252-85F1-45B9-8538-A60A87A73B9B}"/>
    <cellStyle name="Percent [2] 4 14 3" xfId="648" xr:uid="{35B8398E-C835-468D-B638-AFE7518E7BBD}"/>
    <cellStyle name="Percent [2] 4 14 4" xfId="649" xr:uid="{EC8699F5-6160-4F0D-82F7-B5842A0A53A6}"/>
    <cellStyle name="Percent [2] 4 15" xfId="650" xr:uid="{875470D8-7DD0-4861-9E51-649084E75DCE}"/>
    <cellStyle name="Percent [2] 4 15 2" xfId="651" xr:uid="{C8E53763-2977-4A90-9FCE-0641DB8B9A90}"/>
    <cellStyle name="Percent [2] 4 15 3" xfId="652" xr:uid="{38E8399C-CF19-41DA-A18D-9A03DBD63867}"/>
    <cellStyle name="Percent [2] 4 15 4" xfId="653" xr:uid="{F76E0792-C61F-491D-A01A-81E579CFD49D}"/>
    <cellStyle name="Percent [2] 4 16" xfId="654" xr:uid="{BC3729D1-570A-4C2E-AD9F-116F059547AB}"/>
    <cellStyle name="Percent [2] 4 16 2" xfId="655" xr:uid="{BBBB91B7-EF80-49F6-BF64-AA6E05C1B593}"/>
    <cellStyle name="Percent [2] 4 16 3" xfId="656" xr:uid="{CEDE2DCC-3333-440A-AE8A-5C47480D2FFD}"/>
    <cellStyle name="Percent [2] 4 16 4" xfId="657" xr:uid="{06DA1B3E-F585-4AFC-8BE0-AAD1C9F6F94F}"/>
    <cellStyle name="Percent [2] 4 2" xfId="658" xr:uid="{1163B539-92D8-49FB-AD74-CD9B429C8940}"/>
    <cellStyle name="Percent [2] 4 2 2" xfId="659" xr:uid="{DDF3E647-C99F-4681-8740-DA365BF6F20B}"/>
    <cellStyle name="Percent [2] 4 2 3" xfId="660" xr:uid="{29D3E807-5DD1-4671-AB0F-6C3CCC415B87}"/>
    <cellStyle name="Percent [2] 4 2 4" xfId="661" xr:uid="{A6ADDB1B-5F04-4A8E-8AAC-7559C8F03EFD}"/>
    <cellStyle name="Percent [2] 4 3" xfId="662" xr:uid="{BF715371-9AEC-4AE3-8B37-1BA230A1A4D7}"/>
    <cellStyle name="Percent [2] 4 3 2" xfId="663" xr:uid="{885616D7-79BA-4B42-9E27-A85332FD39E6}"/>
    <cellStyle name="Percent [2] 4 3 3" xfId="664" xr:uid="{404C1F12-7B39-4FD0-966D-392B74484F19}"/>
    <cellStyle name="Percent [2] 4 3 4" xfId="665" xr:uid="{5156BBE9-6DE9-4A6A-98C8-1BA803AEEA96}"/>
    <cellStyle name="Percent [2] 4 4" xfId="666" xr:uid="{171C0F45-6CFB-4207-9C2C-FC668BDE7F68}"/>
    <cellStyle name="Percent [2] 4 4 2" xfId="667" xr:uid="{67419A58-8D45-413D-A2BC-E29AE8E1FB9D}"/>
    <cellStyle name="Percent [2] 4 4 3" xfId="668" xr:uid="{78223240-6FD5-414E-9FF9-B90B45F77B2D}"/>
    <cellStyle name="Percent [2] 4 4 4" xfId="669" xr:uid="{37B13BB2-2790-4226-9268-277E404A63C6}"/>
    <cellStyle name="Percent [2] 4 5" xfId="670" xr:uid="{BEE23950-A79C-4CA8-8C80-F192B06F48BA}"/>
    <cellStyle name="Percent [2] 4 5 2" xfId="671" xr:uid="{C127CC5D-9B52-4A37-9A5C-B685003ECE4C}"/>
    <cellStyle name="Percent [2] 4 5 3" xfId="672" xr:uid="{026BF778-5257-461F-A5B0-FE5F9591FED4}"/>
    <cellStyle name="Percent [2] 4 5 4" xfId="673" xr:uid="{AEAD6D09-686F-441D-B0B2-0BEB7A180C96}"/>
    <cellStyle name="Percent [2] 4 6" xfId="674" xr:uid="{B92AD576-B5D4-4D35-87B1-7A9D1662E77C}"/>
    <cellStyle name="Percent [2] 4 6 2" xfId="675" xr:uid="{2185A4B1-B1A6-4E24-946E-5B1977AC72C0}"/>
    <cellStyle name="Percent [2] 4 6 3" xfId="676" xr:uid="{FD7320B8-02F9-4C30-88FA-D8AFD08FADAE}"/>
    <cellStyle name="Percent [2] 4 6 4" xfId="677" xr:uid="{DB235311-86DE-4393-AEE6-896E2B2C3E1B}"/>
    <cellStyle name="Percent [2] 4 7" xfId="678" xr:uid="{0709D294-F735-41F0-ABB3-E0275AB7AA4B}"/>
    <cellStyle name="Percent [2] 4 7 2" xfId="679" xr:uid="{9D4E8804-9B2D-4A59-AC0D-9ADBAF01FC13}"/>
    <cellStyle name="Percent [2] 4 7 3" xfId="680" xr:uid="{9773D1D1-1FB0-40A2-8180-D75FCC39B4EA}"/>
    <cellStyle name="Percent [2] 4 7 4" xfId="681" xr:uid="{B6F8B5E4-6DE6-41EA-AAD9-0C718E683A6A}"/>
    <cellStyle name="Percent [2] 4 8" xfId="682" xr:uid="{FB36B57A-62A6-4C9D-92AC-2470AE91DD54}"/>
    <cellStyle name="Percent [2] 4 8 2" xfId="683" xr:uid="{8AE71E3A-8B49-4DCA-A1D2-21F9E135A70C}"/>
    <cellStyle name="Percent [2] 4 8 3" xfId="684" xr:uid="{37BD0BFE-604F-4C42-A6F4-D7C41CF2ADE0}"/>
    <cellStyle name="Percent [2] 4 8 4" xfId="685" xr:uid="{034608A6-2115-40EA-83A1-E7C73F63BD78}"/>
    <cellStyle name="Percent [2] 4 9" xfId="686" xr:uid="{0C43EE26-1A36-4E87-A7E9-D28A4627B1EE}"/>
    <cellStyle name="Percent [2] 4 9 2" xfId="687" xr:uid="{CA160772-C9F9-4C43-AF86-D737605DF127}"/>
    <cellStyle name="Percent [2] 4 9 3" xfId="688" xr:uid="{6400D582-6F56-4246-99CF-3D8CCE9D443C}"/>
    <cellStyle name="Percent [2] 4 9 4" xfId="689" xr:uid="{F6349D2D-926F-4432-9BDA-1761C5683557}"/>
    <cellStyle name="Percent [2] 5" xfId="690" xr:uid="{36FE0106-080B-4151-879B-60F924FB3D30}"/>
    <cellStyle name="Percent [2] 5 10" xfId="691" xr:uid="{985B4D31-EB58-4FB8-8A6E-297262117A41}"/>
    <cellStyle name="Percent [2] 5 10 2" xfId="692" xr:uid="{46866D32-8E2D-433B-9045-1E728256AF5E}"/>
    <cellStyle name="Percent [2] 5 10 3" xfId="693" xr:uid="{E5121804-04FA-417D-AEDB-62C0030CD2B7}"/>
    <cellStyle name="Percent [2] 5 10 4" xfId="694" xr:uid="{3F0EA7F2-949F-40A9-9F46-7063F0EBFEBD}"/>
    <cellStyle name="Percent [2] 5 11" xfId="695" xr:uid="{113925DA-BDF9-4605-A76F-73B8F1ACD1CA}"/>
    <cellStyle name="Percent [2] 5 11 2" xfId="696" xr:uid="{FD5C6032-886B-497C-A388-CE5A0867479D}"/>
    <cellStyle name="Percent [2] 5 11 3" xfId="697" xr:uid="{3052D228-4BF1-4BFB-9D80-039CEF140796}"/>
    <cellStyle name="Percent [2] 5 11 4" xfId="698" xr:uid="{0D75A89E-98A0-431E-A5D8-406FC6991E27}"/>
    <cellStyle name="Percent [2] 5 12" xfId="699" xr:uid="{FABC74E9-B162-436E-9D50-DF41F3BB5527}"/>
    <cellStyle name="Percent [2] 5 12 2" xfId="700" xr:uid="{84A6352F-E589-4CD4-A03A-308910E2597E}"/>
    <cellStyle name="Percent [2] 5 12 3" xfId="701" xr:uid="{22F37D86-6970-41E0-AD67-EC9049DBBBF7}"/>
    <cellStyle name="Percent [2] 5 12 4" xfId="702" xr:uid="{896DFE24-A6C7-48AD-8807-34F3E4D1DF7A}"/>
    <cellStyle name="Percent [2] 5 13" xfId="703" xr:uid="{1D609EB5-3144-4B1F-A08F-9CCB88A8A6FD}"/>
    <cellStyle name="Percent [2] 5 13 2" xfId="704" xr:uid="{21FCEF21-AFEE-4227-B07A-E64AE007BF05}"/>
    <cellStyle name="Percent [2] 5 13 3" xfId="705" xr:uid="{CE5E7CFE-F01D-4EE4-9AD3-3CD3228B01DC}"/>
    <cellStyle name="Percent [2] 5 13 4" xfId="706" xr:uid="{A31D6FA7-07C3-4DAA-920E-28CE0F48105B}"/>
    <cellStyle name="Percent [2] 5 14" xfId="707" xr:uid="{987395CB-D4C3-4498-8667-80F481D7CFD3}"/>
    <cellStyle name="Percent [2] 5 14 2" xfId="708" xr:uid="{08FF3E14-312D-4380-9352-A088018923BA}"/>
    <cellStyle name="Percent [2] 5 14 3" xfId="709" xr:uid="{35FFC0CC-69C4-4F45-9024-CAF667DD01DF}"/>
    <cellStyle name="Percent [2] 5 14 4" xfId="710" xr:uid="{92944470-52CC-43A0-969D-E524C67DB0BC}"/>
    <cellStyle name="Percent [2] 5 15" xfId="711" xr:uid="{39F4B8DA-E975-4D2A-827F-0CE27CC71FE2}"/>
    <cellStyle name="Percent [2] 5 15 2" xfId="712" xr:uid="{4A9FCAAC-7FE1-47AE-8147-8B27BD22E051}"/>
    <cellStyle name="Percent [2] 5 15 3" xfId="713" xr:uid="{B4E1999B-1CFD-4DAD-94D9-2605774962FF}"/>
    <cellStyle name="Percent [2] 5 15 4" xfId="714" xr:uid="{0D204DDE-28C0-4612-A9B7-64F4A10B9146}"/>
    <cellStyle name="Percent [2] 5 16" xfId="715" xr:uid="{B0696953-8618-49AB-9322-61227F7ED4AE}"/>
    <cellStyle name="Percent [2] 5 16 2" xfId="716" xr:uid="{B19AE6B0-6B80-4D30-9B7E-A9ADF54FE946}"/>
    <cellStyle name="Percent [2] 5 16 3" xfId="717" xr:uid="{38489167-9622-49D2-98F1-ED6EFA1E3C37}"/>
    <cellStyle name="Percent [2] 5 16 4" xfId="718" xr:uid="{D77C2F59-610E-4690-8F62-34EB6A154438}"/>
    <cellStyle name="Percent [2] 5 2" xfId="719" xr:uid="{77C06B04-F375-4AA2-98C2-D693A04CD349}"/>
    <cellStyle name="Percent [2] 5 2 2" xfId="720" xr:uid="{FD2F61A2-895E-48CB-888F-C4AD6872D03B}"/>
    <cellStyle name="Percent [2] 5 2 3" xfId="721" xr:uid="{8E1618CA-550D-489B-B788-19EE0E5605AC}"/>
    <cellStyle name="Percent [2] 5 2 4" xfId="722" xr:uid="{A019FE5D-F05D-4544-81A0-D2A452D30400}"/>
    <cellStyle name="Percent [2] 5 3" xfId="723" xr:uid="{9267B199-3991-4AFA-B552-DEC38684BA6B}"/>
    <cellStyle name="Percent [2] 5 3 2" xfId="724" xr:uid="{B3476555-92FC-4A0A-A229-5DBF98FBAFCA}"/>
    <cellStyle name="Percent [2] 5 3 3" xfId="725" xr:uid="{2F68F15E-930C-4386-AFE4-DC6AD543883F}"/>
    <cellStyle name="Percent [2] 5 3 4" xfId="726" xr:uid="{5D247A16-EE6E-4ED1-83DA-4C50324F8C5F}"/>
    <cellStyle name="Percent [2] 5 4" xfId="727" xr:uid="{37B3BFBA-A464-450B-B7BA-A6A1A593A550}"/>
    <cellStyle name="Percent [2] 5 4 2" xfId="728" xr:uid="{A4189A4D-2E3D-44DA-B299-A347502D41C7}"/>
    <cellStyle name="Percent [2] 5 4 3" xfId="729" xr:uid="{0820DBC7-61A3-41BC-9084-30670A9561A7}"/>
    <cellStyle name="Percent [2] 5 4 4" xfId="730" xr:uid="{95302C16-BFEF-4221-91CE-D0C6BF58C3BF}"/>
    <cellStyle name="Percent [2] 5 5" xfId="731" xr:uid="{F180EFC5-19B2-4821-954C-C46BA793D563}"/>
    <cellStyle name="Percent [2] 5 5 2" xfId="732" xr:uid="{DE562B8D-3BA9-44E4-927B-419DA4B52F9A}"/>
    <cellStyle name="Percent [2] 5 5 3" xfId="733" xr:uid="{9F39B4CB-892F-49E9-B74A-2F134E9BF5B1}"/>
    <cellStyle name="Percent [2] 5 5 4" xfId="734" xr:uid="{F79A16B4-EE1B-4680-9765-A64409D8C155}"/>
    <cellStyle name="Percent [2] 5 6" xfId="735" xr:uid="{B33248D0-1001-46AF-A00D-CB19DA814149}"/>
    <cellStyle name="Percent [2] 5 6 2" xfId="736" xr:uid="{0BFA463C-3422-4D57-9AA5-E64E073ECB14}"/>
    <cellStyle name="Percent [2] 5 6 3" xfId="737" xr:uid="{1F2D2D5F-9C43-4756-8E25-C48B5D1425B5}"/>
    <cellStyle name="Percent [2] 5 6 4" xfId="738" xr:uid="{16B00B40-BD78-4849-AFBC-9ABAB1C1307D}"/>
    <cellStyle name="Percent [2] 5 7" xfId="739" xr:uid="{B43FFF8F-EE60-4B62-8A38-2941317C20D8}"/>
    <cellStyle name="Percent [2] 5 7 2" xfId="740" xr:uid="{3B69BEA6-FB4F-4ADB-B202-097466C1F048}"/>
    <cellStyle name="Percent [2] 5 7 3" xfId="741" xr:uid="{4444B0AF-D99A-48D0-8254-13476133AFDA}"/>
    <cellStyle name="Percent [2] 5 7 4" xfId="742" xr:uid="{5C63CF6A-A1B0-4846-858F-C2BAAD16A750}"/>
    <cellStyle name="Percent [2] 5 8" xfId="743" xr:uid="{BBC6DEE6-5A03-4712-A7CD-4D512C00FE94}"/>
    <cellStyle name="Percent [2] 5 8 2" xfId="744" xr:uid="{8FED33CD-E947-42DA-BF34-65D22E17A3EB}"/>
    <cellStyle name="Percent [2] 5 8 3" xfId="745" xr:uid="{FAA265E6-E151-4E02-9574-6EC8AF12DC9C}"/>
    <cellStyle name="Percent [2] 5 8 4" xfId="746" xr:uid="{900BEA77-A2B7-4603-829C-CC50CA60C245}"/>
    <cellStyle name="Percent [2] 5 9" xfId="747" xr:uid="{6DAA8C7A-9478-4948-B0EB-41DA971B7228}"/>
    <cellStyle name="Percent [2] 5 9 2" xfId="748" xr:uid="{C326BA23-BA7E-425F-9EBC-1DD68B25DEB1}"/>
    <cellStyle name="Percent [2] 5 9 3" xfId="749" xr:uid="{1B39BFA1-6E95-4B8A-B1FC-2EFF7F37AF94}"/>
    <cellStyle name="Percent [2] 5 9 4" xfId="750" xr:uid="{A367CBD7-A624-45DA-8A78-22256D9FE85D}"/>
    <cellStyle name="Percent [2] 6" xfId="751" xr:uid="{704B5AD7-9B28-45E9-B4B5-E8522BDF7C71}"/>
    <cellStyle name="Percent [2] 6 2" xfId="752" xr:uid="{CD33B8AD-553E-4D52-A3B4-9809E51E7DEF}"/>
    <cellStyle name="Percent [2] 6 2 2" xfId="753" xr:uid="{6C240673-B822-40C8-818E-BC1BFD06CEFD}"/>
    <cellStyle name="Percent [2] 6 2 3" xfId="754" xr:uid="{F0A6BE5C-DB24-401C-A881-595C6970092A}"/>
    <cellStyle name="Percent [2] 6 2 4" xfId="755" xr:uid="{C1BADA8D-0A6C-4549-8F65-E84C0029C8A4}"/>
    <cellStyle name="Percent [2] 7" xfId="756" xr:uid="{BCB136EC-AC62-40E7-ACC5-AB76FB06F301}"/>
    <cellStyle name="Percent [2] 7 2" xfId="757" xr:uid="{7A0954ED-FF84-44DB-B327-26527A2F6E5A}"/>
    <cellStyle name="Percent [2] 7 2 2" xfId="758" xr:uid="{20DF635A-B7DB-4E91-A445-C8D3E7C1AF32}"/>
    <cellStyle name="Percent [2] 7 2 3" xfId="759" xr:uid="{CAE11795-2B07-4154-9559-4F8830D67F4C}"/>
    <cellStyle name="Percent [2] 7 2 4" xfId="760" xr:uid="{971B1F7B-9FAF-4539-A516-6277F0947C10}"/>
    <cellStyle name="Percent [2] 8" xfId="761" xr:uid="{4D421212-E5C3-4467-A42F-C5C7DB85B730}"/>
    <cellStyle name="Percent [2] 8 2" xfId="762" xr:uid="{3C0ADF1F-F185-44AA-AD0C-74C399444E85}"/>
    <cellStyle name="Percent [2] 8 2 2" xfId="763" xr:uid="{20953E18-C56C-4ABC-AF39-748F3775E3AB}"/>
    <cellStyle name="Percent [2] 8 2 3" xfId="764" xr:uid="{CC522731-3B4A-4851-BEAB-CEC681FF5215}"/>
    <cellStyle name="Percent [2] 8 2 4" xfId="765" xr:uid="{BA7D30DD-2978-48CA-BC65-5AFA22F9FEF9}"/>
    <cellStyle name="Percent [2] 9" xfId="766" xr:uid="{E0E5B981-7FBC-4833-800D-05CF88C2B392}"/>
    <cellStyle name="Percent [2] 9 2" xfId="767" xr:uid="{8010F55D-AF58-4107-9ECD-B200806ECD13}"/>
    <cellStyle name="Percent [2] 9 2 2" xfId="768" xr:uid="{7C55CA64-99B1-4394-ADBB-745335A66885}"/>
    <cellStyle name="Percent [2] 9 2 3" xfId="769" xr:uid="{C1FA37B0-2296-4A34-B137-AA5B43FD87F6}"/>
    <cellStyle name="Percent [2] 9 2 4" xfId="770" xr:uid="{D674F432-A98D-45A5-805A-88A1C6BD3532}"/>
    <cellStyle name="Percent 10" xfId="771" xr:uid="{20FD3F1C-C1EE-4571-A29F-BC03E3AC2404}"/>
    <cellStyle name="Percent 10 2" xfId="772" xr:uid="{19FAF16A-E724-471B-8D05-234C2E632AF7}"/>
    <cellStyle name="Percent 10 2 2" xfId="773" xr:uid="{C76AF50C-10A3-488F-8A48-3B0F65A27C50}"/>
    <cellStyle name="Percent 10 2 3" xfId="774" xr:uid="{D83DBDC0-8990-4611-97A2-37B3A6A46A49}"/>
    <cellStyle name="Percent 10 2 4" xfId="775" xr:uid="{68CD50BF-BB22-4CD1-94E7-62D522EEA314}"/>
    <cellStyle name="Percent 10 3" xfId="776" xr:uid="{12922AF7-4842-43F5-B4E3-26C2914FB8D1}"/>
    <cellStyle name="Percent 10 4" xfId="777" xr:uid="{EB500311-F334-458E-A0D0-00EEB94EA9B2}"/>
    <cellStyle name="Percent 10 5" xfId="778" xr:uid="{EE03C4FC-8092-4863-B9C8-87D5AB7345BD}"/>
    <cellStyle name="Percent 11 2" xfId="779" xr:uid="{E063C55D-39EF-4D97-990A-B1CA5803A9F4}"/>
    <cellStyle name="Percent 11 2 2" xfId="780" xr:uid="{A4FBB2CC-E8FE-4C4E-866A-61CDC33A2C67}"/>
    <cellStyle name="Percent 11 2 3" xfId="781" xr:uid="{5C483FF3-9EE6-4EAE-8CE2-B3F143DFBE33}"/>
    <cellStyle name="Percent 11 2 4" xfId="782" xr:uid="{5B999980-7D48-404A-920E-2504287243F3}"/>
    <cellStyle name="Percent 12" xfId="783" xr:uid="{04180F7A-62F4-4185-8A85-8DA9A8CD01F7}"/>
    <cellStyle name="Percent 12 2" xfId="784" xr:uid="{2DED5E86-4143-4B38-8E44-5B3014CFDD01}"/>
    <cellStyle name="Percent 12 3" xfId="785" xr:uid="{DED10EEB-BD1E-4B4D-B476-12F463933EA8}"/>
    <cellStyle name="Percent 12 4" xfId="786" xr:uid="{010B76F3-72F5-45C3-A8A6-B5BA9E52240B}"/>
    <cellStyle name="Percent 13" xfId="787" xr:uid="{4ED24A01-6B1E-4097-BE0A-C7827A7D4872}"/>
    <cellStyle name="Percent 13 2" xfId="788" xr:uid="{A1E126EA-69B9-4C1B-AA05-28BFD5320ECA}"/>
    <cellStyle name="Percent 13 3" xfId="789" xr:uid="{2808BBFB-1ABE-48DB-93C2-D14BACB18931}"/>
    <cellStyle name="Percent 13 4" xfId="790" xr:uid="{95A6A7A3-27F9-41C8-9569-4D3521CA6CBB}"/>
    <cellStyle name="Percent 14" xfId="791" xr:uid="{47261D22-13DE-4D23-8E80-62A78A855BF1}"/>
    <cellStyle name="Percent 14 2" xfId="792" xr:uid="{8AED955F-E8FD-404A-99EA-3340D4750BA0}"/>
    <cellStyle name="Percent 14 3" xfId="793" xr:uid="{F65806EE-7D79-409F-8C5C-5835FC7D9D3C}"/>
    <cellStyle name="Percent 14 4" xfId="794" xr:uid="{6A275536-06CC-41B2-B33B-DC5FE3B0EC4D}"/>
    <cellStyle name="Percent 15" xfId="795" xr:uid="{BFD3229F-7339-48DC-8DA5-F23FF359272A}"/>
    <cellStyle name="Percent 15 2" xfId="796" xr:uid="{80F6AD39-3F02-41FD-A50D-1848D6E1ECA6}"/>
    <cellStyle name="Percent 15 3" xfId="797" xr:uid="{B05BBA9E-B8F4-4E89-BF70-34179891C2DA}"/>
    <cellStyle name="Percent 15 4" xfId="798" xr:uid="{7BA2DA27-77D5-4BFD-B120-0337419CAB0E}"/>
    <cellStyle name="Percent 16" xfId="799" xr:uid="{6B83CB61-6012-4670-8D18-65C57EFD0A35}"/>
    <cellStyle name="Percent 16 2" xfId="800" xr:uid="{B3247984-50B6-47B5-A9B9-D2200C4C8759}"/>
    <cellStyle name="Percent 16 3" xfId="801" xr:uid="{EA70787B-DC49-4F97-9A5B-26CF585CAF54}"/>
    <cellStyle name="Percent 16 4" xfId="802" xr:uid="{7EF1D7B7-D078-4F77-BED4-D8AF36A31EA5}"/>
    <cellStyle name="Percent 17" xfId="803" xr:uid="{72614D9F-2430-4E80-8F96-7AE798D04708}"/>
    <cellStyle name="Percent 17 2" xfId="804" xr:uid="{AFD9D959-87E4-453E-AE38-3051E401BE6E}"/>
    <cellStyle name="Percent 17 3" xfId="805" xr:uid="{53299AF8-D057-4670-A19C-4D92FBDEEBAC}"/>
    <cellStyle name="Percent 17 4" xfId="806" xr:uid="{DF37BEF2-0192-4461-86A7-EDFCF14CC986}"/>
    <cellStyle name="Percent 18" xfId="807" xr:uid="{473CFB92-8D98-44FE-AAC5-00628465E2E7}"/>
    <cellStyle name="Percent 18 2" xfId="808" xr:uid="{A6BADA65-93B4-4C21-BA07-B34C5893E39A}"/>
    <cellStyle name="Percent 18 3" xfId="809" xr:uid="{E986A311-0E1C-481E-B86D-232B5D5DC633}"/>
    <cellStyle name="Percent 18 4" xfId="810" xr:uid="{056F691B-D8A8-47FC-A5EC-1999A14D621B}"/>
    <cellStyle name="Percent 19" xfId="811" xr:uid="{6E86A83A-7E7C-4E43-8FAB-6C2BC36D018D}"/>
    <cellStyle name="Percent 19 2" xfId="812" xr:uid="{5965CF6D-1807-4CAA-A14D-0E581DE5626E}"/>
    <cellStyle name="Percent 19 3" xfId="813" xr:uid="{5422C605-0A6E-4F21-85ED-573432B92DC5}"/>
    <cellStyle name="Percent 19 4" xfId="814" xr:uid="{C032A857-ED3C-4664-B8CD-4FC8E5F941B0}"/>
    <cellStyle name="Percent 2" xfId="815" xr:uid="{8DA55405-0CA0-42FE-8323-D465CFE28CF2}"/>
    <cellStyle name="Percent 2 10" xfId="816" xr:uid="{C79D4730-66C6-4B88-8D0B-0FE746DD0D05}"/>
    <cellStyle name="Percent 2 10 2" xfId="817" xr:uid="{7AB6AEE4-BE95-4D09-A282-5318EA6CA4DA}"/>
    <cellStyle name="Percent 2 10 3" xfId="818" xr:uid="{28405C16-B922-469A-B896-F651C42C2A4F}"/>
    <cellStyle name="Percent 2 10 4" xfId="819" xr:uid="{D12A22E0-5EFC-4A6E-9DC0-92E0BF54D5CA}"/>
    <cellStyle name="Percent 2 11" xfId="820" xr:uid="{1ED9680D-FB81-49B1-A3EE-4C93D59817C7}"/>
    <cellStyle name="Percent 2 11 2" xfId="821" xr:uid="{70D16E8D-0573-4D28-9CB5-4CD460B7DBDD}"/>
    <cellStyle name="Percent 2 11 3" xfId="822" xr:uid="{7087BF9C-4510-4D6C-ADE1-D6AC57D25AD4}"/>
    <cellStyle name="Percent 2 11 4" xfId="823" xr:uid="{C70E2654-C2DF-4319-8EEE-90B88F3F28EE}"/>
    <cellStyle name="Percent 2 12" xfId="824" xr:uid="{CE3EDD8A-6677-4E83-A8E3-EFA4DFC5FDE8}"/>
    <cellStyle name="Percent 2 12 2" xfId="825" xr:uid="{9432EBA2-A7A8-4385-8AAF-1BCF5A979502}"/>
    <cellStyle name="Percent 2 12 3" xfId="826" xr:uid="{EE54B644-53F5-48C1-8058-E116E87B5A84}"/>
    <cellStyle name="Percent 2 12 4" xfId="827" xr:uid="{28A52536-2AD7-426E-98E8-44D0E4FDA896}"/>
    <cellStyle name="Percent 2 13" xfId="828" xr:uid="{A1B49586-C399-4AB1-A97D-665CF97FEE75}"/>
    <cellStyle name="Percent 2 13 2" xfId="829" xr:uid="{55B11B79-1EEC-4754-89AC-28DDA248C37F}"/>
    <cellStyle name="Percent 2 13 3" xfId="830" xr:uid="{798A4548-6F1E-4BC4-B480-DE8A8FC84F31}"/>
    <cellStyle name="Percent 2 13 4" xfId="831" xr:uid="{DF63692E-8092-4A3C-BB2E-95E282F2912C}"/>
    <cellStyle name="Percent 2 14" xfId="832" xr:uid="{1B25CE77-16B5-49ED-9977-EDDFF7307C50}"/>
    <cellStyle name="Percent 2 14 2" xfId="833" xr:uid="{C9CA1824-8EB9-4DB1-A45D-F8E75FE300A2}"/>
    <cellStyle name="Percent 2 14 3" xfId="834" xr:uid="{88264F09-EB2B-4163-B743-92CAFDCF4B63}"/>
    <cellStyle name="Percent 2 14 4" xfId="835" xr:uid="{67BCFFDC-904C-42E1-A749-46A4272A94D3}"/>
    <cellStyle name="Percent 2 15" xfId="836" xr:uid="{AD9CEAE5-D721-408B-8AD4-44729AC0695C}"/>
    <cellStyle name="Percent 2 15 2" xfId="837" xr:uid="{A75B4BED-6FA3-4EE3-ABBC-7F23448686C1}"/>
    <cellStyle name="Percent 2 15 3" xfId="838" xr:uid="{79780C4F-D1D2-4155-8B3D-F382C73D8BC5}"/>
    <cellStyle name="Percent 2 15 4" xfId="839" xr:uid="{EB1E25B5-B74D-493F-A9B4-90D66993B344}"/>
    <cellStyle name="Percent 2 16" xfId="840" xr:uid="{698DD7E7-8FB1-4347-84E4-879855654FA9}"/>
    <cellStyle name="Percent 2 16 2" xfId="841" xr:uid="{B6744C89-595E-4DCD-97B2-AE8C4734F754}"/>
    <cellStyle name="Percent 2 16 3" xfId="842" xr:uid="{204AB168-A388-48F0-BA2E-F26BB09CAD94}"/>
    <cellStyle name="Percent 2 16 4" xfId="843" xr:uid="{E27F40AC-A770-4EB8-8A33-0B18FEF5FB3F}"/>
    <cellStyle name="Percent 2 17" xfId="844" xr:uid="{E6E2A406-1DE8-461A-BABD-D7A52109B25C}"/>
    <cellStyle name="Percent 2 18" xfId="845" xr:uid="{7962B85D-32DC-4773-A61F-D82C508C543B}"/>
    <cellStyle name="Percent 2 19" xfId="846" xr:uid="{8D89E183-89A1-4967-B97D-FFE33D82C1AE}"/>
    <cellStyle name="Percent 2 2" xfId="847" xr:uid="{702C7BAB-2DC4-4346-A014-FAD84F343ED9}"/>
    <cellStyle name="Percent 2 2 2" xfId="848" xr:uid="{3B511F13-EFC8-4CFB-9490-6B8AC76A5CEC}"/>
    <cellStyle name="Percent 2 2 2 2" xfId="849" xr:uid="{F903F777-2DBC-4EBD-AE04-20224330B503}"/>
    <cellStyle name="Percent 2 2 2 3" xfId="850" xr:uid="{853B6905-71C4-4E52-966E-2B8CA4609377}"/>
    <cellStyle name="Percent 2 2 2 4" xfId="851" xr:uid="{026507DA-C673-47FF-9713-9BEC48BF3A77}"/>
    <cellStyle name="Percent 2 2 2 5" xfId="852" xr:uid="{0683922D-596E-4CCD-B176-A9BBFDCBAAF2}"/>
    <cellStyle name="Percent 2 2 3" xfId="853" xr:uid="{343698E7-55C9-4A9F-BDF5-337425FC4E61}"/>
    <cellStyle name="Percent 2 20" xfId="854" xr:uid="{343AAF33-52C9-448D-A889-C33A9B3DCFFB}"/>
    <cellStyle name="Percent 2 3" xfId="855" xr:uid="{631DB2C5-73B2-46FA-B9E6-81012150EFEE}"/>
    <cellStyle name="Percent 2 3 2" xfId="856" xr:uid="{2F95E771-5274-4335-B554-9D54172DD5E8}"/>
    <cellStyle name="Percent 2 3 2 2" xfId="857" xr:uid="{B98942FD-E81E-4BBF-9ADA-A8230B291971}"/>
    <cellStyle name="Percent 2 3 2 3" xfId="858" xr:uid="{0FC6DA9A-2534-455A-97D1-A62908E49936}"/>
    <cellStyle name="Percent 2 3 2 4" xfId="859" xr:uid="{7782069C-F6B0-45E1-91A8-996D52C46163}"/>
    <cellStyle name="Percent 2 3 3" xfId="860" xr:uid="{2E4A98AC-3F60-484C-AAB1-236779B5A656}"/>
    <cellStyle name="Percent 2 4" xfId="861" xr:uid="{13216185-37DB-4DB6-BA0B-F76C74A8A507}"/>
    <cellStyle name="Percent 2 4 2" xfId="862" xr:uid="{9C3F6E72-8AE0-46E8-BB23-E7AC06F0AE60}"/>
    <cellStyle name="Percent 2 4 2 2" xfId="863" xr:uid="{36BA0415-3FDC-4D43-B4E5-A3FD0617B7F9}"/>
    <cellStyle name="Percent 2 4 2 3" xfId="864" xr:uid="{47EF39AA-F15F-48B6-BD0D-7FE8D05BA159}"/>
    <cellStyle name="Percent 2 4 2 4" xfId="865" xr:uid="{6EAEDF00-0A64-44EB-A290-DAF86575E584}"/>
    <cellStyle name="Percent 2 5" xfId="866" xr:uid="{9044D950-5139-4924-8F10-190F5ED6E8EE}"/>
    <cellStyle name="Percent 2 5 2" xfId="867" xr:uid="{61A13D6C-52BF-4826-B3D8-DD0E983D3CF6}"/>
    <cellStyle name="Percent 2 5 2 2" xfId="868" xr:uid="{0357C461-E2FD-4371-88FD-B240C318422B}"/>
    <cellStyle name="Percent 2 5 2 3" xfId="869" xr:uid="{42F38653-3954-4A98-A7EC-572A20BA8288}"/>
    <cellStyle name="Percent 2 5 2 4" xfId="870" xr:uid="{9C7C6A18-8047-42A2-BE9A-54D9300A952B}"/>
    <cellStyle name="Percent 2 6" xfId="871" xr:uid="{162A246C-598E-4BBD-97C4-8585218F83AD}"/>
    <cellStyle name="Percent 2 6 2" xfId="872" xr:uid="{21D4AE1D-346A-412C-84AB-BB24F4B2C525}"/>
    <cellStyle name="Percent 2 6 2 2" xfId="873" xr:uid="{964D5653-1A3A-437F-8968-66A7E9AD8C26}"/>
    <cellStyle name="Percent 2 6 2 3" xfId="874" xr:uid="{83EEE145-3342-400C-9830-69D4C570BD01}"/>
    <cellStyle name="Percent 2 6 2 4" xfId="875" xr:uid="{3391814C-8BFC-4986-853D-5D77F9E42D0D}"/>
    <cellStyle name="Percent 2 7" xfId="876" xr:uid="{FB692BAF-6D86-4829-B65E-E01CD9B1AE13}"/>
    <cellStyle name="Percent 2 7 2" xfId="877" xr:uid="{CB7FC739-BE0E-4E9F-A589-660F8D8CA2E1}"/>
    <cellStyle name="Percent 2 7 3" xfId="878" xr:uid="{2B0A24E9-19FC-4401-A9DF-98DA5C61224E}"/>
    <cellStyle name="Percent 2 7 4" xfId="879" xr:uid="{3DA28FF1-01FD-41A6-8D59-3AEC3ADEB7DA}"/>
    <cellStyle name="Percent 2 8" xfId="880" xr:uid="{AEC06CAA-9ADC-416A-B028-01E19793E607}"/>
    <cellStyle name="Percent 2 8 2" xfId="881" xr:uid="{EBD49948-87E3-462F-ABCD-133B70BC12D1}"/>
    <cellStyle name="Percent 2 8 3" xfId="882" xr:uid="{905AA7EB-960B-4ADF-ABE6-E89C8F936BFB}"/>
    <cellStyle name="Percent 2 8 4" xfId="883" xr:uid="{A40A14CA-D12C-4F9C-A56D-3E32968DD49F}"/>
    <cellStyle name="Percent 2 9" xfId="884" xr:uid="{31748748-3B25-46DA-9BCB-651C0CA7A132}"/>
    <cellStyle name="Percent 2 9 2" xfId="885" xr:uid="{48AE33AB-BBF6-43B1-B92F-FD220D2F884A}"/>
    <cellStyle name="Percent 2 9 3" xfId="886" xr:uid="{A8EEBDF6-0F02-46CF-8EB9-C22C96D4FACC}"/>
    <cellStyle name="Percent 2 9 4" xfId="887" xr:uid="{72ABB5BF-FFBF-4CEA-97CF-556F2D201B95}"/>
    <cellStyle name="Percent 2_06 Approval Media Plan Jun'09" xfId="888" xr:uid="{321B22A5-CA56-4F70-961A-A08F53F55D94}"/>
    <cellStyle name="Percent 22" xfId="889" xr:uid="{FCB4EB8A-ACF0-423A-91DC-224E8A374945}"/>
    <cellStyle name="Percent 23" xfId="890" xr:uid="{A167DDAE-5F92-47AB-B00C-8F8F9D9FB79D}"/>
    <cellStyle name="Percent 24" xfId="891" xr:uid="{96C28593-3D83-45C0-A698-6A53E63B387F}"/>
    <cellStyle name="Percent 25" xfId="892" xr:uid="{882F6805-55F6-495D-B019-FF6AA4FE01D5}"/>
    <cellStyle name="Percent 29" xfId="893" xr:uid="{5CB2C1AE-91BE-412E-86F8-0AAB65440662}"/>
    <cellStyle name="Percent 3" xfId="894" xr:uid="{C0E7CD40-CD54-49D1-89E8-C70AC8514714}"/>
    <cellStyle name="Percent 4" xfId="895" xr:uid="{6259C33A-2E59-4129-BE03-81E0030B7753}"/>
    <cellStyle name="Percent 4 2" xfId="896" xr:uid="{345A9D57-52CB-4BD8-A1BB-471178F29038}"/>
    <cellStyle name="Percent 4 3" xfId="897" xr:uid="{ECC0D96C-D81E-485A-8C04-665A1827DAAE}"/>
    <cellStyle name="Percent 5" xfId="898" xr:uid="{9E8C85E6-45FD-4114-A88B-3267FF9F5165}"/>
    <cellStyle name="Percent 5 2" xfId="899" xr:uid="{1A84EAD9-AAE1-4500-B309-710C5E6D257D}"/>
    <cellStyle name="Percent 6" xfId="900" xr:uid="{635B6194-19B6-4E38-BA35-72BC1B5ABFA6}"/>
    <cellStyle name="Percent 6 2" xfId="901" xr:uid="{409E7F5C-C259-4336-9B0E-7FD602BAD58F}"/>
    <cellStyle name="Percent 6 3" xfId="902" xr:uid="{578A0390-3779-4A8A-BC6D-B8030F11466B}"/>
    <cellStyle name="Percent 6 4" xfId="903" xr:uid="{5B8D938B-89E1-43A9-BA40-4277AA16DF89}"/>
    <cellStyle name="Percent 6 5" xfId="904" xr:uid="{5B5CF5D5-295C-4518-B699-0AC972D17310}"/>
    <cellStyle name="Percent 6 6" xfId="905" xr:uid="{90685404-20ED-40CD-AC68-BD99DCF2176F}"/>
    <cellStyle name="Percent 7" xfId="906" xr:uid="{AE94BB6D-FFDE-4A15-B47D-010B3A0EB1B4}"/>
    <cellStyle name="Percent 7 2" xfId="907" xr:uid="{B719FDA0-7149-4E8A-A943-A0F747D4208C}"/>
    <cellStyle name="Percent 7 3" xfId="908" xr:uid="{89D9F2FE-885F-474D-A843-2179CBDDD74D}"/>
    <cellStyle name="Percent 7 3 2" xfId="909" xr:uid="{95E79322-FFC7-47DE-9132-364D73A2F94E}"/>
    <cellStyle name="Percent 7 3 3" xfId="910" xr:uid="{5FA4267C-C871-473D-8CAF-232CB9CE0EC0}"/>
    <cellStyle name="Percent 7 3 4" xfId="911" xr:uid="{69B517FA-68FD-44A1-9679-20C935913E4E}"/>
    <cellStyle name="Percent 7 4" xfId="912" xr:uid="{433B7181-D92F-4530-8745-A2A48785287F}"/>
    <cellStyle name="Percent 7 5" xfId="913" xr:uid="{392444B9-4A53-4E58-8BA8-EA44FBE644A1}"/>
    <cellStyle name="Percent 7 6" xfId="914" xr:uid="{E33F1331-F4BD-4B34-844A-216E30C37CC4}"/>
    <cellStyle name="Percent 8" xfId="915" xr:uid="{D400BB7B-EAF2-4DD7-A5AE-C8D65027A4F0}"/>
    <cellStyle name="Percent 8 2" xfId="916" xr:uid="{44BA1218-6145-4439-BC45-822C96D8F46B}"/>
    <cellStyle name="Percent 8 2 2" xfId="917" xr:uid="{15F1087B-0200-4288-BCEF-03F385B680A9}"/>
    <cellStyle name="Percent 8 2 3" xfId="918" xr:uid="{D1117170-F39E-4A27-85A3-1289E66CCFC5}"/>
    <cellStyle name="Percent 8 2 4" xfId="919" xr:uid="{0A1B63C2-74F2-47EC-8B73-8263DAB6B5D5}"/>
    <cellStyle name="Percent 9" xfId="920" xr:uid="{07C6D730-4D9A-415F-AC74-F5DA3AC448C2}"/>
    <cellStyle name="Percent 9 2" xfId="921" xr:uid="{B554C713-C020-4BF9-B48D-0BCB1B69A99A}"/>
    <cellStyle name="Percent 9 2 2" xfId="922" xr:uid="{BC9D4CC5-7839-486B-AFA0-35F80A5B3304}"/>
    <cellStyle name="Percent 9 2 3" xfId="923" xr:uid="{9592E5FE-34ED-4C85-99EB-BF5194EE0462}"/>
    <cellStyle name="Percent 9 2 4" xfId="924" xr:uid="{B0242E9E-517A-49D6-AC45-23294A0CEFAC}"/>
    <cellStyle name="Separador de milhares [0]_kinslayer" xfId="925" xr:uid="{6251942F-2754-4FDB-BE77-D5B6D873C0D4}"/>
    <cellStyle name="Separador de milhares_kinslayer" xfId="926" xr:uid="{2EAA08E2-66F5-4B74-88DB-47447BF7AA51}"/>
    <cellStyle name="Standard_Germany_SAP 2003 template" xfId="927" xr:uid="{4FF443A3-5741-42F5-BC5E-DEE0F1AC42D9}"/>
    <cellStyle name="Style 1" xfId="928" xr:uid="{F3D5C40B-7D66-47D2-AE68-9C812F69C4E5}"/>
    <cellStyle name="Style 1 10" xfId="929" xr:uid="{CE35A630-3E23-409D-B48F-8C9704FA170D}"/>
    <cellStyle name="Style 1 10 2" xfId="930" xr:uid="{BA6D0CA6-CAD5-4263-9B06-A940EC1E5066}"/>
    <cellStyle name="Style 1 10 3" xfId="931" xr:uid="{B312C568-7395-4EAF-9080-4E04CB080E96}"/>
    <cellStyle name="Style 1 10 4" xfId="932" xr:uid="{5CE39E47-6AEB-466E-8B4C-1A6999ED7FDF}"/>
    <cellStyle name="Style 1 11" xfId="933" xr:uid="{2BDB02DD-F503-417F-9524-4AC59B215888}"/>
    <cellStyle name="Style 1 11 2" xfId="934" xr:uid="{E1E04C5C-3948-4BF9-B11D-5C1B749E4E98}"/>
    <cellStyle name="Style 1 11 3" xfId="935" xr:uid="{80BB9351-8606-41F0-A5B5-5E6F61A3CE2B}"/>
    <cellStyle name="Style 1 11 4" xfId="936" xr:uid="{E4BF29A3-5040-4F19-A7D8-C06AB756BFB6}"/>
    <cellStyle name="Style 1 12" xfId="937" xr:uid="{06369C39-5C05-4CBE-897A-C1A025DD2ADA}"/>
    <cellStyle name="Style 1 12 2" xfId="938" xr:uid="{87138186-CBC1-47D1-B6A2-1177B14AADFD}"/>
    <cellStyle name="Style 1 12 3" xfId="939" xr:uid="{2752B8F3-1E7C-4DE8-A461-17EDB4DD96A2}"/>
    <cellStyle name="Style 1 12 4" xfId="940" xr:uid="{CCB6B620-8E74-44E1-820B-1A5F13054DD7}"/>
    <cellStyle name="Style 1 13" xfId="941" xr:uid="{3FE49EBB-E25C-434F-99BA-9E13473D6B6A}"/>
    <cellStyle name="Style 1 13 2" xfId="942" xr:uid="{B17690C4-5D93-4DB2-8703-182ACA5F5D83}"/>
    <cellStyle name="Style 1 13 3" xfId="943" xr:uid="{166232F7-F1E2-4E65-96EA-38E724698073}"/>
    <cellStyle name="Style 1 13 4" xfId="944" xr:uid="{AEB4B2B8-E90F-4D14-BD5D-358B16DEBD1B}"/>
    <cellStyle name="Style 1 14" xfId="945" xr:uid="{7E46BF96-9951-4008-90F1-0929515A76B7}"/>
    <cellStyle name="Style 1 14 2" xfId="946" xr:uid="{A8523357-871C-441D-8131-030B0A7A2CA8}"/>
    <cellStyle name="Style 1 14 3" xfId="947" xr:uid="{7975B3E3-12DB-412E-808E-B5F2D87D905A}"/>
    <cellStyle name="Style 1 14 4" xfId="948" xr:uid="{D99BE291-B258-431C-91DE-63DE4FB40BB0}"/>
    <cellStyle name="Style 1 15" xfId="949" xr:uid="{2587B83A-8E99-455A-AE96-B0DAA763462B}"/>
    <cellStyle name="Style 1 15 2" xfId="950" xr:uid="{C079694C-B00B-4763-9CF3-20B843AA162D}"/>
    <cellStyle name="Style 1 15 3" xfId="951" xr:uid="{74DDCEC4-CAAE-4AC4-B8E9-D5F0E63E570A}"/>
    <cellStyle name="Style 1 15 4" xfId="952" xr:uid="{BD1B346C-B9F2-4028-AAF4-ECF182F5E0E2}"/>
    <cellStyle name="Style 1 16" xfId="953" xr:uid="{F1FC0542-A561-4FB8-8A88-86E17438B2BC}"/>
    <cellStyle name="Style 1 16 2" xfId="954" xr:uid="{C509E8F7-0841-4245-B471-F641335ADBBA}"/>
    <cellStyle name="Style 1 16 3" xfId="955" xr:uid="{0FCC1C5A-E212-4C78-9380-71B633B7995D}"/>
    <cellStyle name="Style 1 16 4" xfId="956" xr:uid="{4F2D2734-DA13-448F-98B2-5714AAD6650F}"/>
    <cellStyle name="Style 1 2" xfId="957" xr:uid="{23851B15-CA94-4732-828C-47500E3EB48B}"/>
    <cellStyle name="Style 1 2 2" xfId="958" xr:uid="{1D8B1468-638A-45D7-BB93-B1A0980A2523}"/>
    <cellStyle name="Style 1 2 2 2" xfId="959" xr:uid="{8E671B3F-8B90-4D8A-B6B6-4E1A88562796}"/>
    <cellStyle name="Style 1 2 2 3" xfId="960" xr:uid="{C97A048D-67DF-43E2-8061-A3CB46D7D2BF}"/>
    <cellStyle name="Style 1 2 2 4" xfId="961" xr:uid="{23BD75A3-E660-4DC1-AC92-1EB040AED6C1}"/>
    <cellStyle name="Style 1 3" xfId="962" xr:uid="{062DA5A3-7206-46C5-AE61-81996B0E3353}"/>
    <cellStyle name="Style 1 3 2" xfId="963" xr:uid="{98E298C7-0D18-478F-8FD4-7760563425A3}"/>
    <cellStyle name="Style 1 3 2 2" xfId="964" xr:uid="{4205C753-72F3-4121-99C7-CDA8BE59870B}"/>
    <cellStyle name="Style 1 3 2 3" xfId="965" xr:uid="{D7030C64-E1D8-49EB-A00C-B97E2C23897B}"/>
    <cellStyle name="Style 1 3 2 4" xfId="966" xr:uid="{D98A6DB1-E44D-4DCD-B3E0-644DA6B501C3}"/>
    <cellStyle name="Style 1 4" xfId="967" xr:uid="{8DADC767-37E8-45F4-96EA-94947F5F6E33}"/>
    <cellStyle name="Style 1 4 2" xfId="968" xr:uid="{B5FB12FF-FF24-469A-829A-E6DCD92DBA20}"/>
    <cellStyle name="Style 1 4 2 2" xfId="969" xr:uid="{B235C66D-6A1E-43F6-A1C8-B20B208F3290}"/>
    <cellStyle name="Style 1 4 2 3" xfId="970" xr:uid="{9BCBC0B4-DA25-4746-8AEA-6DE754B6117C}"/>
    <cellStyle name="Style 1 4 2 4" xfId="971" xr:uid="{8EF2413F-7BC7-4F42-9506-6FBC76C99274}"/>
    <cellStyle name="Style 1 5" xfId="972" xr:uid="{7D0028E5-CBBD-4DF1-9FE7-F80A5F689E90}"/>
    <cellStyle name="Style 1 5 2" xfId="973" xr:uid="{C3E78F86-C9DA-43E0-8EF0-7D10107B843F}"/>
    <cellStyle name="Style 1 5 3" xfId="974" xr:uid="{13AA1A08-EB93-4237-BB48-C9F6EE71815D}"/>
    <cellStyle name="Style 1 5 4" xfId="975" xr:uid="{37B4AE62-A2F2-4BFD-B2B0-4EC5C1A15897}"/>
    <cellStyle name="Style 1 5 5" xfId="976" xr:uid="{87162ED5-12D3-456E-B200-EF9E839D97B5}"/>
    <cellStyle name="Style 1 5 6" xfId="977" xr:uid="{B2D4268C-E98D-4C27-8307-7BEFB5FA7AF6}"/>
    <cellStyle name="Style 1 5 7" xfId="978" xr:uid="{78408F2B-8FBF-4056-B917-AFE99D1DB51C}"/>
    <cellStyle name="Style 1 5 8" xfId="979" xr:uid="{F12E764E-6737-46DA-84E7-B369C497DFA0}"/>
    <cellStyle name="Style 1 5 9" xfId="980" xr:uid="{00AD5628-BF90-44D1-B399-DB14052F01B3}"/>
    <cellStyle name="Style 1 6" xfId="981" xr:uid="{DE73CF19-10BC-4DB2-B2EE-62EFB18E4048}"/>
    <cellStyle name="Style 1 6 2" xfId="982" xr:uid="{B5C17873-7374-46DE-8C4C-A01986721764}"/>
    <cellStyle name="Style 1 6 3" xfId="983" xr:uid="{98895908-7793-4822-B6BC-53448B44013E}"/>
    <cellStyle name="Style 1 6 4" xfId="984" xr:uid="{754A6227-E78A-4B42-AA1E-ECFF4E556470}"/>
    <cellStyle name="Style 1 7" xfId="985" xr:uid="{7103ACCA-9A70-47B5-B18C-533E0D487BBA}"/>
    <cellStyle name="Style 1 7 2" xfId="986" xr:uid="{ACCD3D54-6E56-4C5C-B501-DFB9601020E5}"/>
    <cellStyle name="Style 1 7 3" xfId="987" xr:uid="{A63CA4E4-1437-4E9E-BBAA-D01C4CA54355}"/>
    <cellStyle name="Style 1 7 4" xfId="988" xr:uid="{3B233D8B-369C-45B0-A7F1-460891B9E978}"/>
    <cellStyle name="Style 1 8" xfId="989" xr:uid="{EC3744D4-1C5E-4141-8395-8A74C7AD8B44}"/>
    <cellStyle name="Style 1 8 2" xfId="990" xr:uid="{491761DB-9DFD-44E6-BB5D-9E0C611D0D0E}"/>
    <cellStyle name="Style 1 8 3" xfId="991" xr:uid="{E0CC258D-3192-4BD4-A600-D32DE4E89DEB}"/>
    <cellStyle name="Style 1 8 4" xfId="992" xr:uid="{85006C95-44A3-4AD2-A090-248C70F07FCD}"/>
    <cellStyle name="Style 1 9" xfId="993" xr:uid="{0BB769C8-D1AF-4E72-944E-26F05AE53B93}"/>
    <cellStyle name="Style 1 9 2" xfId="994" xr:uid="{6496D463-79A4-459A-AD21-71474226E477}"/>
    <cellStyle name="Style 1 9 3" xfId="995" xr:uid="{8EC16D33-ADD4-4C23-8009-E2F79303AEB0}"/>
    <cellStyle name="Style 1 9 4" xfId="996" xr:uid="{A2D4E176-3156-4BAF-B07C-D6221C1D4E32}"/>
    <cellStyle name="Style 1_MEGASTAR-CHICILON Proposal Master2011-2012" xfId="997" xr:uid="{E159F635-B7CE-478E-A08F-BBFD156A445F}"/>
    <cellStyle name="똿뗦먛귟 [0.00]_PRODUCT DETAIL Q1" xfId="998" xr:uid="{A9062185-0168-47E2-BF8D-531DADD5D1D1}"/>
    <cellStyle name="똿뗦먛귟_PRODUCT DETAIL Q1" xfId="999" xr:uid="{4A3CA320-1C0A-4932-AE59-7278D35624A0}"/>
    <cellStyle name="믅됞 [0.00]_PRODUCT DETAIL Q1" xfId="1000" xr:uid="{B3630E6D-F8BC-401A-9D4A-080E3C54F3BC}"/>
    <cellStyle name="믅됞_PRODUCT DETAIL Q1" xfId="1001" xr:uid="{94ED03D6-4266-4F3C-B725-53E59497D0FC}"/>
    <cellStyle name="백분율_HOBONG" xfId="1002" xr:uid="{03A8751D-3613-4E41-B2AE-329F11FEE7C7}"/>
    <cellStyle name="뷭?_BOOKSHIP" xfId="1003" xr:uid="{12EE537F-3BD3-4D6A-BE57-DB17D65B6DF3}"/>
    <cellStyle name="쉼표 [0]_ffbom" xfId="1004" xr:uid="{C26B2273-78A2-4CE0-BE45-0E1E5793C7A5}"/>
    <cellStyle name="콤마 [0]_1202" xfId="1005" xr:uid="{C1C376C7-D7A1-495D-AC54-CB5BDBC42752}"/>
    <cellStyle name="콤마_1202" xfId="1006" xr:uid="{F9531E12-B4F8-4B64-96BE-E9F00B163962}"/>
    <cellStyle name="통화 [0]_1202" xfId="1007" xr:uid="{A08BF412-4E62-4977-9307-070969EAC397}"/>
    <cellStyle name="통화_1202" xfId="1008" xr:uid="{DE68982B-C1ED-4E78-944F-4997712EADA1}"/>
    <cellStyle name="표준_(정보부문)월별인원계획" xfId="1009" xr:uid="{F6AB6FA0-B273-456D-ABB9-2D588D59E7D5}"/>
    <cellStyle name="一般_Book1" xfId="1010" xr:uid="{5EB004C2-1366-4791-9ED7-2EBCC70FBA45}"/>
    <cellStyle name="千分位[0]_Book1" xfId="1012" xr:uid="{3A5DDF52-66C6-4F4A-8FC0-9142B05AA136}"/>
    <cellStyle name="千分位_Book1" xfId="1011" xr:uid="{EFC9C1A1-E21F-4C3D-9675-A688AEAF138C}"/>
    <cellStyle name="好" xfId="1013" xr:uid="{9F79B838-8923-497E-AB2A-A635647F5438}"/>
    <cellStyle name="好_CHICILON FullRateCard 2011" xfId="1014" xr:uid="{36AE023C-50C2-4DCD-9671-51ACF52BFFBA}"/>
    <cellStyle name="好_CHICILON FullRateCard 2011 2" xfId="1015" xr:uid="{8139DCD2-29A0-44E8-919D-024C17F32D24}"/>
    <cellStyle name="好_CHICILON FullRateCard 2011_Kungfu PAnda" xfId="1016" xr:uid="{3C7EDE31-F353-4DED-BFC2-D27553108926}"/>
    <cellStyle name="好_CHICILON FullRateCard 2011_Kungfu Panda (updated 19MAy)" xfId="1017" xr:uid="{A6F7FD96-C937-421E-9C44-B2D66DFA76D0}"/>
    <cellStyle name="好_CHICILON FullRateCard 2011_Kungfu Panda (updated)" xfId="1018" xr:uid="{7A4DB8D7-D165-4D6B-B4D6-F7CBE2DB7C24}"/>
    <cellStyle name="好_CHICILON FullRateCard 2011_Kungfu PAnda_Kungfu Panda (updated 19MAy)" xfId="1019" xr:uid="{281D2641-96F6-4C77-9A74-68E74FAB6D8A}"/>
    <cellStyle name="好_CHICILON FullRateCard 2011_Kungfu PAnda_Kungfu Panda (updated)" xfId="1020" xr:uid="{77E1A2A9-FB6B-40ED-BC0D-E298F04C2FF4}"/>
    <cellStyle name="好_CHICILON FullRateCard 2011_Kungfu PAnda_MAster Plan of FOH, OOH " xfId="1021" xr:uid="{5B3056B8-603F-4215-83BA-9572215D2F97}"/>
    <cellStyle name="好_CHICILON FullRateCard 2011_Kungfu PAnda_Pirate 4 updated" xfId="1022" xr:uid="{965E4798-3E90-41A9-9686-902148585C82}"/>
    <cellStyle name="好_CHICILON FullRateCard 2011_Kungfu PAnda_Transformer" xfId="1023" xr:uid="{BE4D0906-4831-43DF-BFBD-DC3751F156AD}"/>
    <cellStyle name="好_CHICILON FullRateCard 2011_MAster Plan of FOH, OOH " xfId="1024" xr:uid="{7531514C-11AF-4EC5-8D79-E8EB13B50863}"/>
    <cellStyle name="好_CHICILON FullRateCard 2011_MAster Plan of FOH, OOH  2" xfId="1025" xr:uid="{42C32213-E7FC-4E9F-B59A-283F8B40A84B}"/>
    <cellStyle name="好_CHICILON FullRateCard 2011_MEGASTAR-CHICILON Proposal Master2011-2012" xfId="1026" xr:uid="{71DB1E29-1950-45DF-9129-CCE0ECA49643}"/>
    <cellStyle name="好_CHICILON FullRateCard 2011_MEGASTAR-CHICILON Proposal Master2011-2012_1" xfId="1027" xr:uid="{9002879D-CF74-4975-B696-5D233F15CA5D}"/>
    <cellStyle name="好_CHICILON FullRateCard 2011_MEGASTAR-CHICILON Proposal Master2011-2012_1 2" xfId="1028" xr:uid="{17AA6D14-D31B-4DF4-B360-B7ACD2530FA5}"/>
    <cellStyle name="好_CHICILON FullRateCard 2011_MEGASTAR-CHICILON Proposal Master2011-2012_Kungfu Panda (updated 19MAy)" xfId="1029" xr:uid="{FF1A962B-4CEB-43F4-A2A8-799DC5069967}"/>
    <cellStyle name="好_CHICILON FullRateCard 2011_MEGASTAR-CHICILON Proposal Master2011-2012_Kungfu Panda (updated)" xfId="1030" xr:uid="{860C36E0-B752-4D2F-8D6A-728821DA55CF}"/>
    <cellStyle name="好_CHICILON FullRateCard 2011_MEGASTAR-CHICILON Proposal Master2011-2012_MAster Plan of FOH, OOH " xfId="1031" xr:uid="{F7BCB8E5-CCB6-4E52-BDCD-5481C53F6D70}"/>
    <cellStyle name="好_CHICILON FullRateCard 2011_MEGASTAR-CHICILON Proposal Master2011-2012_Pirate 4 updated" xfId="1032" xr:uid="{57E588F5-801A-467C-B553-C73EC5E90113}"/>
    <cellStyle name="好_CHICILON FullRateCard 2011_MEGASTAR-CHICILON Proposal Master2011-2012_Transformer" xfId="1033" xr:uid="{AEE33117-760C-4519-B708-C57F25E92742}"/>
    <cellStyle name="好_CHICILON FullRateCard 2011_MEGASTAR-CHICILON.Proposal.Master2011" xfId="1034" xr:uid="{F658397D-315C-481B-B0EA-324EC6A78E22}"/>
    <cellStyle name="好_CHICILON FullRateCard 2011_MEGASTAR-CHICILON.Proposal.Master2011_Kungfu Panda (updated 19MAy)" xfId="1035" xr:uid="{CA8B4AB9-85D3-4E73-B5BB-EDD8ABA1BC40}"/>
    <cellStyle name="好_CHICILON FullRateCard 2011_MEGASTAR-CHICILON.Proposal.Master2011_Kungfu Panda (updated)" xfId="1036" xr:uid="{B70AF025-BBE1-44BB-9809-A8157E6E4159}"/>
    <cellStyle name="好_CHICILON FullRateCard 2011_MEGASTAR-CHICILON.Proposal.Master2011_MAster Plan of FOH, OOH " xfId="1037" xr:uid="{91436C6C-4630-411D-8EAC-E8C17514B91B}"/>
    <cellStyle name="好_CHICILON FullRateCard 2011_MEGASTAR-CHICILON.Proposal.Master2011_Pirate 4 updated" xfId="1038" xr:uid="{782E8FCF-62A9-49E2-8B58-85C37600E1B3}"/>
    <cellStyle name="好_CHICILON FullRateCard 2011_MEGASTAR-CHICILON.Proposal.Master2011_Transformer" xfId="1039" xr:uid="{D09A687E-4CC1-4524-BE65-EE05F04BCB93}"/>
    <cellStyle name="好_CHICILON FullRateCard 2011_Pirate 4 updated" xfId="1040" xr:uid="{65081479-E5CE-4626-B2B2-10EDFB6FF7A3}"/>
    <cellStyle name="好_CHICILON FullRateCard 2011_Pirate 4 updated 19 May" xfId="1041" xr:uid="{0C0D2BB1-1B84-4A4C-B550-653BC2F10275}"/>
    <cellStyle name="好_CHICILON FullRateCard 2011_RANGO MP" xfId="1042" xr:uid="{3CE8DA95-5362-4948-B25B-D621FAEEB57B}"/>
    <cellStyle name="好_CHICILON FullRateCard 2011_RANGO MP 2" xfId="1043" xr:uid="{D6EA5110-9B84-4351-800E-4F3BABFB5DAC}"/>
    <cellStyle name="好_CHICILON FullRateCard 2011_Summer Block buster" xfId="1044" xr:uid="{E16B9CE5-7B8D-4734-BD50-4209F1C65DBE}"/>
    <cellStyle name="好_CHICILON FullRateCard 2011_Summer Block buster 2" xfId="1045" xr:uid="{53845C5B-90AB-473F-9BCB-F2D083932C20}"/>
    <cellStyle name="好_CHICILON FullRateCard 2011_Transformer" xfId="1052" xr:uid="{967DF635-7F85-4C41-8E5E-9D53FB8C8A71}"/>
    <cellStyle name="好_CHICILON FullRateCard 2011_T-shirt" xfId="1046" xr:uid="{925979A6-1D90-49FF-A080-253181D85BDB}"/>
    <cellStyle name="好_CHICILON FullRateCard 2011_T-shirt_Kungfu Panda (updated 19MAy)" xfId="1047" xr:uid="{A8B8CC85-6B00-4110-BA34-0FD7D5A440F5}"/>
    <cellStyle name="好_CHICILON FullRateCard 2011_T-shirt_Kungfu Panda (updated)" xfId="1048" xr:uid="{AD1A62DF-0FF6-4DAC-9C7D-C9082A867F2D}"/>
    <cellStyle name="好_CHICILON FullRateCard 2011_T-shirt_MAster Plan of FOH, OOH " xfId="1049" xr:uid="{9E9F84FF-149B-4AF3-A0B7-27138DBCE1B6}"/>
    <cellStyle name="好_CHICILON FullRateCard 2011_T-shirt_Pirate 4 updated" xfId="1050" xr:uid="{E90A33D9-0E67-46EE-8814-099823DCA121}"/>
    <cellStyle name="好_CHICILON FullRateCard 2011_T-shirt_Transformer" xfId="1051" xr:uid="{FA63E940-3ED3-4D29-AC35-ACF4B73AEC08}"/>
    <cellStyle name="好_CHICILON.General  Rate Card 2011" xfId="1053" xr:uid="{2FDF1DD3-4E41-43E0-A991-BD33194C3CDE}"/>
    <cellStyle name="好_CHICILON.General  Rate Card 2011_Kungfu Panda (updated 19MAy)" xfId="1054" xr:uid="{3A0DEA5E-CEBF-41F0-BF9F-6E8A1F570311}"/>
    <cellStyle name="好_CHICILON.General  Rate Card 2011_Kungfu Panda (updated)" xfId="1055" xr:uid="{9A7C7CF1-E3F9-4B51-81DB-70B13B015F9B}"/>
    <cellStyle name="好_CHICILON.General  Rate Card 2011_MAster Plan of FOH, OOH " xfId="1056" xr:uid="{B0D11206-009E-46D8-99F8-F50CC283E24C}"/>
    <cellStyle name="好_CHICILON.General  Rate Card 2011_MEGASTAR-CHICILON Proposal Master2011-2012" xfId="1057" xr:uid="{E05F478A-3A50-431A-BBEE-EAE570F44433}"/>
    <cellStyle name="好_CHICILON.General  Rate Card 2011_MEGASTAR-CHICILON Proposal Master2011-2012 2" xfId="1058" xr:uid="{D21A3EE0-A6EC-46EB-80EA-342C3721860A}"/>
    <cellStyle name="好_CHICILON.General  Rate Card 2011_Pirate 4 updated" xfId="1059" xr:uid="{9E5E93F4-7DFD-4C4E-AE3C-24A6CEE97B8F}"/>
    <cellStyle name="好_CHICILON.General  Rate Card 2011_Transformer" xfId="1060" xr:uid="{B9C92B91-6908-48E1-A34A-CA81DFF6E784}"/>
    <cellStyle name="好_Copy of DANH SACH LCD UPDATE NGAY 26 04 2010 " xfId="1061" xr:uid="{21BCC4CF-F547-4C62-A009-6570B2AA1BB8}"/>
    <cellStyle name="好_Copy of DANH SACH LCD UPDATE NGAY 26 04 2010  2" xfId="1062" xr:uid="{5627FC45-0A54-4F22-AAE9-8FE9330E47D9}"/>
    <cellStyle name="好_Copy of DANH SACH LCD UPDATE NGAY 26 04 2010 _Kungfu PAnda" xfId="1063" xr:uid="{9556B2F1-B183-4916-84B2-8C70A6F3FF18}"/>
    <cellStyle name="好_Copy of DANH SACH LCD UPDATE NGAY 26 04 2010 _Kungfu Panda (updated 19MAy)" xfId="1064" xr:uid="{56E3489B-4A3B-48CA-9DC1-AAD8BB81EA71}"/>
    <cellStyle name="好_Copy of DANH SACH LCD UPDATE NGAY 26 04 2010 _Kungfu Panda (updated)" xfId="1065" xr:uid="{0F3E25DE-FC7E-4758-8949-529DEE43EFAD}"/>
    <cellStyle name="好_Copy of DANH SACH LCD UPDATE NGAY 26 04 2010 _Kungfu PAnda_Kungfu Panda (updated 19MAy)" xfId="1066" xr:uid="{78DCE928-0595-410A-88D3-C489BD9F1EF8}"/>
    <cellStyle name="好_Copy of DANH SACH LCD UPDATE NGAY 26 04 2010 _Kungfu PAnda_Kungfu Panda (updated)" xfId="1067" xr:uid="{F6019303-1F51-4B51-A121-CA0B4B29DB9A}"/>
    <cellStyle name="好_Copy of DANH SACH LCD UPDATE NGAY 26 04 2010 _Kungfu PAnda_MAster Plan of FOH, OOH " xfId="1068" xr:uid="{C10ED15F-BB9E-465A-A9F8-84F624AEBDAA}"/>
    <cellStyle name="好_Copy of DANH SACH LCD UPDATE NGAY 26 04 2010 _Kungfu PAnda_Pirate 4 updated" xfId="1069" xr:uid="{8C635828-63DD-43C3-A197-90E19615F98D}"/>
    <cellStyle name="好_Copy of DANH SACH LCD UPDATE NGAY 26 04 2010 _Kungfu PAnda_Transformer" xfId="1070" xr:uid="{944A4E7B-E715-4983-A56A-AD634482A751}"/>
    <cellStyle name="好_Copy of DANH SACH LCD UPDATE NGAY 26 04 2010 _MAster Plan of FOH, OOH " xfId="1071" xr:uid="{3506343E-123F-41C4-BE8C-D13E49714392}"/>
    <cellStyle name="好_Copy of DANH SACH LCD UPDATE NGAY 26 04 2010 _MAster Plan of FOH, OOH  2" xfId="1072" xr:uid="{CFC3EBF4-3190-4881-9A11-56846BFEC912}"/>
    <cellStyle name="好_Copy of DANH SACH LCD UPDATE NGAY 26 04 2010 _MEGASTAR-CHICILON Proposal Master2011-2012" xfId="1073" xr:uid="{89EB59B7-5F20-4672-96B7-41E9E34F5C4E}"/>
    <cellStyle name="好_Copy of DANH SACH LCD UPDATE NGAY 26 04 2010 _MEGASTAR-CHICILON Proposal Master2011-2012_1" xfId="1074" xr:uid="{E41956FC-2DE3-4D4C-AB7F-51E14034CF4B}"/>
    <cellStyle name="好_Copy of DANH SACH LCD UPDATE NGAY 26 04 2010 _MEGASTAR-CHICILON Proposal Master2011-2012_1 2" xfId="1075" xr:uid="{47FFF03B-AC47-4F06-B87E-4768015C2E17}"/>
    <cellStyle name="好_Copy of DANH SACH LCD UPDATE NGAY 26 04 2010 _MEGASTAR-CHICILON Proposal Master2011-2012_Kungfu Panda (updated 19MAy)" xfId="1076" xr:uid="{F4FF7890-A4B5-4376-AF60-ADC40328D806}"/>
    <cellStyle name="好_Copy of DANH SACH LCD UPDATE NGAY 26 04 2010 _MEGASTAR-CHICILON Proposal Master2011-2012_Kungfu Panda (updated)" xfId="1077" xr:uid="{13C931A3-CD06-4AFF-8A57-BEBBDBA8324A}"/>
    <cellStyle name="好_Copy of DANH SACH LCD UPDATE NGAY 26 04 2010 _MEGASTAR-CHICILON Proposal Master2011-2012_MAster Plan of FOH, OOH " xfId="1078" xr:uid="{445DB5F8-5E30-4908-BE1B-18CC150EE793}"/>
    <cellStyle name="好_Copy of DANH SACH LCD UPDATE NGAY 26 04 2010 _MEGASTAR-CHICILON Proposal Master2011-2012_Pirate 4 updated" xfId="1079" xr:uid="{E2D5E1E8-0082-4476-B75E-42E05B5387E9}"/>
    <cellStyle name="好_Copy of DANH SACH LCD UPDATE NGAY 26 04 2010 _MEGASTAR-CHICILON Proposal Master2011-2012_Transformer" xfId="1080" xr:uid="{F7529C2E-A85A-4374-8500-43AA577FC08D}"/>
    <cellStyle name="好_Copy of DANH SACH LCD UPDATE NGAY 26 04 2010 _MEGASTAR-CHICILON.Proposal.Master2011" xfId="1081" xr:uid="{C741A80B-0CA8-43FB-8CAD-B04DA181D7DE}"/>
    <cellStyle name="好_Copy of DANH SACH LCD UPDATE NGAY 26 04 2010 _MEGASTAR-CHICILON.Proposal.Master2011_Kungfu Panda (updated 19MAy)" xfId="1082" xr:uid="{07AD3DE9-2A75-4E2D-93DF-2BFE19D8A2F5}"/>
    <cellStyle name="好_Copy of DANH SACH LCD UPDATE NGAY 26 04 2010 _MEGASTAR-CHICILON.Proposal.Master2011_Kungfu Panda (updated)" xfId="1083" xr:uid="{DF6E2E93-DB25-4967-B2BD-FDC959D3854F}"/>
    <cellStyle name="好_Copy of DANH SACH LCD UPDATE NGAY 26 04 2010 _MEGASTAR-CHICILON.Proposal.Master2011_MAster Plan of FOH, OOH " xfId="1084" xr:uid="{F3C9957E-ADEB-4D5D-86EE-DF52D736CCDE}"/>
    <cellStyle name="好_Copy of DANH SACH LCD UPDATE NGAY 26 04 2010 _MEGASTAR-CHICILON.Proposal.Master2011_Pirate 4 updated" xfId="1085" xr:uid="{A7F5DA1C-8DCE-4B47-8749-DB503334B6E0}"/>
    <cellStyle name="好_Copy of DANH SACH LCD UPDATE NGAY 26 04 2010 _MEGASTAR-CHICILON.Proposal.Master2011_Transformer" xfId="1086" xr:uid="{4051320A-656D-47D7-B7C9-74E36A3DACE5}"/>
    <cellStyle name="好_Copy of DANH SACH LCD UPDATE NGAY 26 04 2010 _Pirate 4 updated" xfId="1087" xr:uid="{42821001-5D0C-44C5-9264-1EBD35E7E182}"/>
    <cellStyle name="好_Copy of DANH SACH LCD UPDATE NGAY 26 04 2010 _Pirate 4 updated 19 May" xfId="1088" xr:uid="{BF975C1F-5A09-4C3A-86D6-7F5C7E1DA293}"/>
    <cellStyle name="好_Copy of DANH SACH LCD UPDATE NGAY 26 04 2010 _RANGO MP" xfId="1089" xr:uid="{EA737EDC-B1DB-4959-BA2F-940B993CC0C8}"/>
    <cellStyle name="好_Copy of DANH SACH LCD UPDATE NGAY 26 04 2010 _RANGO MP 2" xfId="1090" xr:uid="{5BEE6C3C-F646-45CA-B244-9ED38BE4D1D1}"/>
    <cellStyle name="好_Copy of DANH SACH LCD UPDATE NGAY 26 04 2010 _Summer Block buster" xfId="1091" xr:uid="{40A879B3-906F-443F-9131-8A9968816FC2}"/>
    <cellStyle name="好_Copy of DANH SACH LCD UPDATE NGAY 26 04 2010 _Summer Block buster 2" xfId="1092" xr:uid="{838C7668-A194-4BF1-BD9E-FE3E2C691DAA}"/>
    <cellStyle name="好_Copy of DANH SACH LCD UPDATE NGAY 26 04 2010 _Transformer" xfId="1099" xr:uid="{CAD3748D-FA74-4A67-94C7-5368DF0B41D4}"/>
    <cellStyle name="好_Copy of DANH SACH LCD UPDATE NGAY 26 04 2010 _T-shirt" xfId="1093" xr:uid="{FBE16BD4-B0ED-4DDA-BF94-BCD83B2ABC06}"/>
    <cellStyle name="好_Copy of DANH SACH LCD UPDATE NGAY 26 04 2010 _T-shirt_Kungfu Panda (updated 19MAy)" xfId="1094" xr:uid="{3020D100-152F-4FBA-AB12-C7BB167F1407}"/>
    <cellStyle name="好_Copy of DANH SACH LCD UPDATE NGAY 26 04 2010 _T-shirt_Kungfu Panda (updated)" xfId="1095" xr:uid="{E9A9ECCD-9C85-4F47-8E57-5B875E21DBEB}"/>
    <cellStyle name="好_Copy of DANH SACH LCD UPDATE NGAY 26 04 2010 _T-shirt_MAster Plan of FOH, OOH " xfId="1096" xr:uid="{219CF47D-050F-4F6D-A18F-24A7BCD0C997}"/>
    <cellStyle name="好_Copy of DANH SACH LCD UPDATE NGAY 26 04 2010 _T-shirt_Pirate 4 updated" xfId="1097" xr:uid="{976BDD7A-6A6A-4628-84D2-A57AF2C5FCC2}"/>
    <cellStyle name="好_Copy of DANH SACH LCD UPDATE NGAY 26 04 2010 _T-shirt_Transformer" xfId="1098" xr:uid="{52B4BD69-1EDB-4AC4-BFDB-9B008D5F9A44}"/>
    <cellStyle name="好_GENERAL RATECARD 2011" xfId="1100" xr:uid="{1821A817-6B35-42D3-811F-54E4CDE5C872}"/>
    <cellStyle name="好_GENERAL RATECARD 2011_Kungfu Panda (updated 19MAy)" xfId="1101" xr:uid="{B8A7937E-FA90-475F-9E51-CC122FC8DE34}"/>
    <cellStyle name="好_GENERAL RATECARD 2011_Kungfu Panda (updated)" xfId="1102" xr:uid="{1131793C-B3B0-4D5C-AF00-B780109F6840}"/>
    <cellStyle name="好_GENERAL RATECARD 2011_MAster Plan of FOH, OOH " xfId="1103" xr:uid="{A0A3D1B4-C1CE-44A5-82CA-CED861DC326A}"/>
    <cellStyle name="好_GENERAL RATECARD 2011_MEGASTAR-CHICILON Proposal Master2011-2012" xfId="1104" xr:uid="{9AF7E301-10F5-4D1A-AF48-942F7792B8B4}"/>
    <cellStyle name="好_GENERAL RATECARD 2011_MEGASTAR-CHICILON Proposal Master2011-2012 2" xfId="1105" xr:uid="{294DAE4B-1DCB-4D46-B1A1-E4207258F50B}"/>
    <cellStyle name="好_GENERAL RATECARD 2011_Pirate 4 updated" xfId="1106" xr:uid="{D1D4F82E-F73E-4CC7-8068-0B9C61E0DA78}"/>
    <cellStyle name="好_GENERAL RATECARD 2011_Transformer" xfId="1107" xr:uid="{19BA8A64-07C8-49AC-93BC-B1D6EC84E6FB}"/>
    <cellStyle name="好_LCD 15-9 " xfId="1108" xr:uid="{9FC08019-A0E5-41AE-9CCD-08820023BE81}"/>
    <cellStyle name="好_LCD 15-9  2" xfId="1109" xr:uid="{25C33289-C00A-42C0-9583-BD343FF281B9}"/>
    <cellStyle name="好_LCD 15-9 _Kungfu PAnda" xfId="1110" xr:uid="{C7AAC393-3CB2-4CF6-BCFE-07E49A82DFBF}"/>
    <cellStyle name="好_LCD 15-9 _Kungfu Panda (updated 19MAy)" xfId="1111" xr:uid="{5A416D41-FA39-478D-85E4-6B3320BF44FE}"/>
    <cellStyle name="好_LCD 15-9 _Kungfu Panda (updated)" xfId="1112" xr:uid="{E09959B3-8B8B-402C-877F-A918E5933827}"/>
    <cellStyle name="好_LCD 15-9 _Kungfu PAnda_Kungfu Panda (updated 19MAy)" xfId="1113" xr:uid="{73051923-FAFA-47B6-BF31-2646424B32CE}"/>
    <cellStyle name="好_LCD 15-9 _Kungfu PAnda_Kungfu Panda (updated)" xfId="1114" xr:uid="{872FE22C-E643-4A36-9AEA-482CD059A7C1}"/>
    <cellStyle name="好_LCD 15-9 _Kungfu PAnda_MAster Plan of FOH, OOH " xfId="1115" xr:uid="{052A1C37-DF9C-414F-8BF8-E846C9C8B411}"/>
    <cellStyle name="好_LCD 15-9 _Kungfu PAnda_Pirate 4 updated" xfId="1116" xr:uid="{C5F54B6B-A78F-4AEC-ABAE-E787B06F5AF4}"/>
    <cellStyle name="好_LCD 15-9 _Kungfu PAnda_Transformer" xfId="1117" xr:uid="{D92139A0-CFC7-4B77-8944-944182B44306}"/>
    <cellStyle name="好_LCD 15-9 _MAster Plan of FOH, OOH " xfId="1118" xr:uid="{5D6F09FE-7ACE-4642-A0C4-683157D37BC3}"/>
    <cellStyle name="好_LCD 15-9 _MAster Plan of FOH, OOH  2" xfId="1119" xr:uid="{A43B61B2-AFE1-4806-963B-18B06F17DA6B}"/>
    <cellStyle name="好_LCD 15-9 _MEGASTAR-CHICILON Proposal Master2011-2012" xfId="1120" xr:uid="{D75E6B9C-CCCE-4939-BD78-39FC75CFFEC8}"/>
    <cellStyle name="好_LCD 15-9 _MEGASTAR-CHICILON Proposal Master2011-2012_1" xfId="1121" xr:uid="{3860044D-FBA5-4DB8-9A00-F96F3612CE51}"/>
    <cellStyle name="好_LCD 15-9 _MEGASTAR-CHICILON Proposal Master2011-2012_1 2" xfId="1122" xr:uid="{DD42DFBD-93CB-4440-B483-6694427FA9BA}"/>
    <cellStyle name="好_LCD 15-9 _MEGASTAR-CHICILON Proposal Master2011-2012_Kungfu Panda (updated 19MAy)" xfId="1123" xr:uid="{491EED53-C813-483C-B9F2-679A933F6C23}"/>
    <cellStyle name="好_LCD 15-9 _MEGASTAR-CHICILON Proposal Master2011-2012_Kungfu Panda (updated)" xfId="1124" xr:uid="{74A96250-99F6-4233-8A44-65E7A40A87F3}"/>
    <cellStyle name="好_LCD 15-9 _MEGASTAR-CHICILON Proposal Master2011-2012_MAster Plan of FOH, OOH " xfId="1125" xr:uid="{F5F0CD9D-78B8-4BAE-9448-03ACFAAC5BAC}"/>
    <cellStyle name="好_LCD 15-9 _MEGASTAR-CHICILON Proposal Master2011-2012_Pirate 4 updated" xfId="1126" xr:uid="{84A0F903-9FBD-4462-8095-36AE889819A0}"/>
    <cellStyle name="好_LCD 15-9 _MEGASTAR-CHICILON Proposal Master2011-2012_Transformer" xfId="1127" xr:uid="{2A56E7F3-593A-48FB-AF2E-298C523FF1DA}"/>
    <cellStyle name="好_LCD 15-9 _MEGASTAR-CHICILON.Proposal.Master2011" xfId="1128" xr:uid="{888E6BD5-E554-4920-8CA9-D31C12EC005C}"/>
    <cellStyle name="好_LCD 15-9 _MEGASTAR-CHICILON.Proposal.Master2011_Kungfu Panda (updated 19MAy)" xfId="1129" xr:uid="{CD043B6B-64EC-4955-A890-C5BC50DA92A6}"/>
    <cellStyle name="好_LCD 15-9 _MEGASTAR-CHICILON.Proposal.Master2011_Kungfu Panda (updated)" xfId="1130" xr:uid="{BCA6AC8B-C996-45FF-B6B6-85E07A6FC483}"/>
    <cellStyle name="好_LCD 15-9 _MEGASTAR-CHICILON.Proposal.Master2011_MAster Plan of FOH, OOH " xfId="1131" xr:uid="{2EA140F6-143A-443B-A6F4-ECC670ACC620}"/>
    <cellStyle name="好_LCD 15-9 _MEGASTAR-CHICILON.Proposal.Master2011_Pirate 4 updated" xfId="1132" xr:uid="{D746A06B-8090-43D3-B5F7-81547073BA5D}"/>
    <cellStyle name="好_LCD 15-9 _MEGASTAR-CHICILON.Proposal.Master2011_Transformer" xfId="1133" xr:uid="{98D4BDB7-609E-4924-8127-5B41F7684AAC}"/>
    <cellStyle name="好_LCD 15-9 _Pirate 4 updated" xfId="1134" xr:uid="{5524E44D-E80F-4138-8361-190F84D73F72}"/>
    <cellStyle name="好_LCD 15-9 _Pirate 4 updated 19 May" xfId="1135" xr:uid="{B9CFF424-4ED6-4BDD-BC67-F5575900E34D}"/>
    <cellStyle name="好_LCD 15-9 _RANGO MP" xfId="1136" xr:uid="{D11DFA34-5862-4A47-AD88-61983949678D}"/>
    <cellStyle name="好_LCD 15-9 _RANGO MP 2" xfId="1137" xr:uid="{2BCBAFB3-39DC-4215-AAC4-333E5640C6F2}"/>
    <cellStyle name="好_LCD 15-9 _Summer Block buster" xfId="1138" xr:uid="{2A664E0B-FE58-46B6-8444-41487B9F3AF2}"/>
    <cellStyle name="好_LCD 15-9 _Summer Block buster 2" xfId="1139" xr:uid="{20EAFC92-5B73-4311-B2FD-7F4CBA0FABA7}"/>
    <cellStyle name="好_LCD 15-9 _Transformer" xfId="1146" xr:uid="{0B74DB42-3183-4004-92AD-2E546DF47418}"/>
    <cellStyle name="好_LCD 15-9 _T-shirt" xfId="1140" xr:uid="{C1CAB9AC-ADA6-4809-83B6-904FFDE603B7}"/>
    <cellStyle name="好_LCD 15-9 _T-shirt_Kungfu Panda (updated 19MAy)" xfId="1141" xr:uid="{0BC02226-9CCB-4FC9-8BBE-73E972D606F1}"/>
    <cellStyle name="好_LCD 15-9 _T-shirt_Kungfu Panda (updated)" xfId="1142" xr:uid="{0A72D548-47EB-434A-964F-8575DE972125}"/>
    <cellStyle name="好_LCD 15-9 _T-shirt_MAster Plan of FOH, OOH " xfId="1143" xr:uid="{7D0A7FC8-858F-42AD-9812-6BE086B7D7AF}"/>
    <cellStyle name="好_LCD 15-9 _T-shirt_Pirate 4 updated" xfId="1144" xr:uid="{7F571218-D91C-4441-A035-8E63B9002CE2}"/>
    <cellStyle name="好_LCD 15-9 _T-shirt_Transformer" xfId="1145" xr:uid="{0E954418-3958-4FC2-A6DE-31552E769712}"/>
    <cellStyle name="好_LCD 28-10 " xfId="1147" xr:uid="{EEDA6EFB-CA75-4AE6-B68C-7C9866F23E3C}"/>
    <cellStyle name="好_LCD 28-10  2" xfId="1148" xr:uid="{7A3B672D-C4EA-485B-B4EF-32C191992107}"/>
    <cellStyle name="好_LCD 28-10 _Kungfu PAnda" xfId="1149" xr:uid="{9F9C8DDC-522E-4353-8176-11B2D26BDCDA}"/>
    <cellStyle name="好_LCD 28-10 _Kungfu Panda (updated 19MAy)" xfId="1150" xr:uid="{EA41E1C1-0265-4E31-8A79-EBDD9687E2B6}"/>
    <cellStyle name="好_LCD 28-10 _Kungfu Panda (updated)" xfId="1151" xr:uid="{3994113F-5A7E-47C1-BCA1-273C68F50EA7}"/>
    <cellStyle name="好_LCD 28-10 _Kungfu PAnda_Kungfu Panda (updated 19MAy)" xfId="1152" xr:uid="{3F8185FF-7D01-44F1-86CA-613E8AB687EA}"/>
    <cellStyle name="好_LCD 28-10 _Kungfu PAnda_Kungfu Panda (updated)" xfId="1153" xr:uid="{F3B9FFE9-4F8A-4678-BC9B-5CC872652B55}"/>
    <cellStyle name="好_LCD 28-10 _Kungfu PAnda_MAster Plan of FOH, OOH " xfId="1154" xr:uid="{CF317E6D-F6C3-49C9-A734-45DBF2FC63A2}"/>
    <cellStyle name="好_LCD 28-10 _Kungfu PAnda_Pirate 4 updated" xfId="1155" xr:uid="{A7D64E4F-B396-4D81-A4CE-FE6D10E94F23}"/>
    <cellStyle name="好_LCD 28-10 _Kungfu PAnda_Transformer" xfId="1156" xr:uid="{B1851939-A199-4B4F-B277-37F563A51430}"/>
    <cellStyle name="好_LCD 28-10 _MAster Plan of FOH, OOH " xfId="1157" xr:uid="{57F70C7C-8360-4F26-B4B3-17971CCB59ED}"/>
    <cellStyle name="好_LCD 28-10 _MAster Plan of FOH, OOH  2" xfId="1158" xr:uid="{6316B35F-0D70-4A96-9B47-E218E862D6AC}"/>
    <cellStyle name="好_LCD 28-10 _MEGASTAR-CHICILON Proposal Master2011-2012" xfId="1159" xr:uid="{3870652D-6004-4EA3-8C69-1D51A41145DA}"/>
    <cellStyle name="好_LCD 28-10 _MEGASTAR-CHICILON Proposal Master2011-2012_1" xfId="1160" xr:uid="{F34ACECA-CF25-443C-A9D8-F019099ED42E}"/>
    <cellStyle name="好_LCD 28-10 _MEGASTAR-CHICILON Proposal Master2011-2012_1 2" xfId="1161" xr:uid="{4B9BB041-131F-4E74-857D-AF6D0E8DBD72}"/>
    <cellStyle name="好_LCD 28-10 _MEGASTAR-CHICILON Proposal Master2011-2012_Kungfu Panda (updated 19MAy)" xfId="1162" xr:uid="{FF933105-BD60-49F9-A070-D597BA1C3358}"/>
    <cellStyle name="好_LCD 28-10 _MEGASTAR-CHICILON Proposal Master2011-2012_Kungfu Panda (updated)" xfId="1163" xr:uid="{0669C232-5946-48E5-B4C7-2E00D2DE95A3}"/>
    <cellStyle name="好_LCD 28-10 _MEGASTAR-CHICILON Proposal Master2011-2012_MAster Plan of FOH, OOH " xfId="1164" xr:uid="{91307841-7603-4F73-9307-C965A89D6181}"/>
    <cellStyle name="好_LCD 28-10 _MEGASTAR-CHICILON Proposal Master2011-2012_Pirate 4 updated" xfId="1165" xr:uid="{68A0FCFE-122A-4768-9142-4419B914D0EB}"/>
    <cellStyle name="好_LCD 28-10 _MEGASTAR-CHICILON Proposal Master2011-2012_Transformer" xfId="1166" xr:uid="{AAAA6EF0-78FD-4D99-A670-22D0745F9B57}"/>
    <cellStyle name="好_LCD 28-10 _MEGASTAR-CHICILON.Proposal.Master2011" xfId="1167" xr:uid="{1F79FD6B-4C58-42F6-AC2C-5D72361CA5D4}"/>
    <cellStyle name="好_LCD 28-10 _MEGASTAR-CHICILON.Proposal.Master2011_Kungfu Panda (updated 19MAy)" xfId="1168" xr:uid="{B9F46740-0284-4F87-AC6B-A6661894F7CB}"/>
    <cellStyle name="好_LCD 28-10 _MEGASTAR-CHICILON.Proposal.Master2011_Kungfu Panda (updated)" xfId="1169" xr:uid="{B3EE1889-0860-44CF-805D-CC0C1D200824}"/>
    <cellStyle name="好_LCD 28-10 _MEGASTAR-CHICILON.Proposal.Master2011_MAster Plan of FOH, OOH " xfId="1170" xr:uid="{71DCE5C6-DB0B-42C5-903D-D781DC128B23}"/>
    <cellStyle name="好_LCD 28-10 _MEGASTAR-CHICILON.Proposal.Master2011_Pirate 4 updated" xfId="1171" xr:uid="{931E590D-5ABE-4678-80C8-E14E6C6864F6}"/>
    <cellStyle name="好_LCD 28-10 _MEGASTAR-CHICILON.Proposal.Master2011_Transformer" xfId="1172" xr:uid="{6EC5FCA3-B7FE-402D-A2BC-C7D86ABD92E8}"/>
    <cellStyle name="好_LCD 28-10 _Pirate 4 updated" xfId="1173" xr:uid="{7E9EC472-0806-4843-914E-F2F36E8DD4B8}"/>
    <cellStyle name="好_LCD 28-10 _Pirate 4 updated 19 May" xfId="1174" xr:uid="{4E2F7857-F3FC-457C-9315-7CE551827A31}"/>
    <cellStyle name="好_LCD 28-10 _RANGO MP" xfId="1175" xr:uid="{B500D529-CD7E-4379-BBAA-25ACC128B3C2}"/>
    <cellStyle name="好_LCD 28-10 _RANGO MP 2" xfId="1176" xr:uid="{A23F0CB2-2582-4FBA-B209-CED94E85FD2B}"/>
    <cellStyle name="好_LCD 28-10 _Summer Block buster" xfId="1177" xr:uid="{84307263-DEF3-4351-B3F9-0076FD3042DB}"/>
    <cellStyle name="好_LCD 28-10 _Summer Block buster 2" xfId="1178" xr:uid="{0008A500-9F20-4274-84E4-A7E13D2AE1D8}"/>
    <cellStyle name="好_LCD 28-10 _Transformer" xfId="1185" xr:uid="{A5751844-FF9C-4AE8-8171-D5659AEE5811}"/>
    <cellStyle name="好_LCD 28-10 _T-shirt" xfId="1179" xr:uid="{A7904E4E-A60C-446A-8343-DC619A6D15A2}"/>
    <cellStyle name="好_LCD 28-10 _T-shirt_Kungfu Panda (updated 19MAy)" xfId="1180" xr:uid="{9E3BCED0-038A-4FEF-8145-EBA35FED3252}"/>
    <cellStyle name="好_LCD 28-10 _T-shirt_Kungfu Panda (updated)" xfId="1181" xr:uid="{38B41BD9-81F8-44CF-8B3F-357AE1A31F0E}"/>
    <cellStyle name="好_LCD 28-10 _T-shirt_MAster Plan of FOH, OOH " xfId="1182" xr:uid="{E3421E7E-70C7-4E0D-ACF2-51AAFC762DC5}"/>
    <cellStyle name="好_LCD 28-10 _T-shirt_Pirate 4 updated" xfId="1183" xr:uid="{00F4436D-2A94-42D1-ADDD-044B97E040C5}"/>
    <cellStyle name="好_LCD 28-10 _T-shirt_Transformer" xfId="1184" xr:uid="{3D8FB6F6-FE76-4A03-859C-89389565754F}"/>
    <cellStyle name="好_LCD UPDATE NGAY 22-6 2010" xfId="1186" xr:uid="{81996263-A0E7-46D2-BAA6-39194FC0BD06}"/>
    <cellStyle name="好_POSTER FRAME LIST" xfId="1187" xr:uid="{82EBC01C-CD25-4700-A630-AE20AB48B98E}"/>
    <cellStyle name="差" xfId="1188" xr:uid="{87993DA2-FDE2-48AC-A511-F21CE8B0FF4B}"/>
    <cellStyle name="差_CHICILON FullRateCard 2011" xfId="1189" xr:uid="{597890F6-E376-49D5-B091-D5BFAC26FE97}"/>
    <cellStyle name="差_CHICILON FullRateCard 2011 2" xfId="1190" xr:uid="{5A8CB257-986E-4330-8921-F3B74084AAC3}"/>
    <cellStyle name="差_CHICILON FullRateCard 2011_Kungfu PAnda" xfId="1191" xr:uid="{738896E3-D755-4EB8-8E6A-2C0087B463E2}"/>
    <cellStyle name="差_CHICILON FullRateCard 2011_Kungfu Panda (updated 19MAy)" xfId="1192" xr:uid="{976369DE-3C14-47B8-B8D1-C9D698971FED}"/>
    <cellStyle name="差_CHICILON FullRateCard 2011_Kungfu Panda (updated)" xfId="1193" xr:uid="{DA6B57E9-7B3F-436E-8C74-C6BA019C0C3F}"/>
    <cellStyle name="差_CHICILON FullRateCard 2011_Kungfu PAnda_Kungfu Panda (updated 19MAy)" xfId="1194" xr:uid="{5EBF4CD4-45A0-4DEE-BF2F-B1C15918963A}"/>
    <cellStyle name="差_CHICILON FullRateCard 2011_Kungfu PAnda_Kungfu Panda (updated)" xfId="1195" xr:uid="{FBCE8A13-1536-4078-954A-D59A8D651E7F}"/>
    <cellStyle name="差_CHICILON FullRateCard 2011_Kungfu PAnda_MAster Plan of FOH, OOH " xfId="1196" xr:uid="{27419137-EE6D-40BC-B4C6-C7F35567D781}"/>
    <cellStyle name="差_CHICILON FullRateCard 2011_Kungfu PAnda_Pirate 4 updated" xfId="1197" xr:uid="{6EAC9C78-417E-4915-A9FC-5CD871B4FD12}"/>
    <cellStyle name="差_CHICILON FullRateCard 2011_Kungfu PAnda_Transformer" xfId="1198" xr:uid="{24C48ACD-9B1A-4DA4-95C4-861D3D0C3883}"/>
    <cellStyle name="差_CHICILON FullRateCard 2011_MAster Plan of FOH, OOH " xfId="1199" xr:uid="{A828960B-DA37-4889-98D3-B969637ADD62}"/>
    <cellStyle name="差_CHICILON FullRateCard 2011_MAster Plan of FOH, OOH  2" xfId="1200" xr:uid="{356E0E98-BFC6-4796-AE33-5E809697576C}"/>
    <cellStyle name="差_CHICILON FullRateCard 2011_MEGASTAR-CHICILON Proposal Master2011-2012" xfId="1201" xr:uid="{496C7E13-2178-49C2-B2EC-6C8042CE4C41}"/>
    <cellStyle name="差_CHICILON FullRateCard 2011_MEGASTAR-CHICILON Proposal Master2011-2012_1" xfId="1202" xr:uid="{FA4D5F81-2680-4192-82CE-B1515FEB6998}"/>
    <cellStyle name="差_CHICILON FullRateCard 2011_MEGASTAR-CHICILON Proposal Master2011-2012_1 2" xfId="1203" xr:uid="{60DE3648-A8FD-40AC-8053-606210FC7FC7}"/>
    <cellStyle name="差_CHICILON FullRateCard 2011_MEGASTAR-CHICILON Proposal Master2011-2012_Kungfu Panda (updated 19MAy)" xfId="1204" xr:uid="{BB83EB22-D7A2-453F-9CBF-82375B1B046D}"/>
    <cellStyle name="差_CHICILON FullRateCard 2011_MEGASTAR-CHICILON Proposal Master2011-2012_Kungfu Panda (updated)" xfId="1205" xr:uid="{0CDCBC41-83ED-4E50-A345-DADD12750DEF}"/>
    <cellStyle name="差_CHICILON FullRateCard 2011_MEGASTAR-CHICILON Proposal Master2011-2012_MAster Plan of FOH, OOH " xfId="1206" xr:uid="{A89BE663-3A19-43F6-9289-FF7C29B2F9E2}"/>
    <cellStyle name="差_CHICILON FullRateCard 2011_MEGASTAR-CHICILON Proposal Master2011-2012_Pirate 4 updated" xfId="1207" xr:uid="{A1AACF9A-9FCE-4B8B-8C95-9366734E767C}"/>
    <cellStyle name="差_CHICILON FullRateCard 2011_MEGASTAR-CHICILON Proposal Master2011-2012_Transformer" xfId="1208" xr:uid="{32931881-74A4-4B23-8DE9-80910ED221C8}"/>
    <cellStyle name="差_CHICILON FullRateCard 2011_MEGASTAR-CHICILON.Proposal.Master2011" xfId="1209" xr:uid="{8E8436F1-6FA2-4D0A-877F-BD7E4926132C}"/>
    <cellStyle name="差_CHICILON FullRateCard 2011_MEGASTAR-CHICILON.Proposal.Master2011_Kungfu Panda (updated 19MAy)" xfId="1210" xr:uid="{9E39B2BF-3150-4E45-A5B7-000E75D984C2}"/>
    <cellStyle name="差_CHICILON FullRateCard 2011_MEGASTAR-CHICILON.Proposal.Master2011_Kungfu Panda (updated)" xfId="1211" xr:uid="{615F22D0-1F1E-4D40-AC52-5E84B38B7EC5}"/>
    <cellStyle name="差_CHICILON FullRateCard 2011_MEGASTAR-CHICILON.Proposal.Master2011_MAster Plan of FOH, OOH " xfId="1212" xr:uid="{F2E112F1-0B9B-41B4-A8D9-D5893ACE134A}"/>
    <cellStyle name="差_CHICILON FullRateCard 2011_MEGASTAR-CHICILON.Proposal.Master2011_Pirate 4 updated" xfId="1213" xr:uid="{EBA3384C-0C8C-4A68-BD93-0F195FB3EE6F}"/>
    <cellStyle name="差_CHICILON FullRateCard 2011_MEGASTAR-CHICILON.Proposal.Master2011_Transformer" xfId="1214" xr:uid="{8C6143BF-5188-4AA3-ADA8-793B714722D4}"/>
    <cellStyle name="差_CHICILON FullRateCard 2011_Pirate 4 updated" xfId="1215" xr:uid="{7DBD375C-2C9C-4A2C-A042-C0F99E4D4F8E}"/>
    <cellStyle name="差_CHICILON FullRateCard 2011_Pirate 4 updated 19 May" xfId="1216" xr:uid="{1238C71B-F087-445E-B9BB-33EDE810997B}"/>
    <cellStyle name="差_CHICILON FullRateCard 2011_RANGO MP" xfId="1217" xr:uid="{EBA9DD2F-879A-4521-8C53-D26A8F2A4B2C}"/>
    <cellStyle name="差_CHICILON FullRateCard 2011_RANGO MP 2" xfId="1218" xr:uid="{6103D70D-EF29-4056-A74C-FF5D81ADF799}"/>
    <cellStyle name="差_CHICILON FullRateCard 2011_Summer Block buster" xfId="1219" xr:uid="{FDE1F13D-A502-4B65-B7F3-0F7DD40CEE09}"/>
    <cellStyle name="差_CHICILON FullRateCard 2011_Summer Block buster 2" xfId="1220" xr:uid="{B33123E0-6468-4EED-B9B8-6503C8ABF535}"/>
    <cellStyle name="差_CHICILON FullRateCard 2011_Transformer" xfId="1227" xr:uid="{CF15DAC2-A984-4D86-BA45-3B83CACE369E}"/>
    <cellStyle name="差_CHICILON FullRateCard 2011_T-shirt" xfId="1221" xr:uid="{09C0375B-8D23-432C-877C-2A999ECF1745}"/>
    <cellStyle name="差_CHICILON FullRateCard 2011_T-shirt_Kungfu Panda (updated 19MAy)" xfId="1222" xr:uid="{795282AC-E37A-4B10-B7DA-795D7DA9F9F1}"/>
    <cellStyle name="差_CHICILON FullRateCard 2011_T-shirt_Kungfu Panda (updated)" xfId="1223" xr:uid="{72DD0635-58CC-4D73-924A-D5991650D864}"/>
    <cellStyle name="差_CHICILON FullRateCard 2011_T-shirt_MAster Plan of FOH, OOH " xfId="1224" xr:uid="{210CD2E3-4A42-4B39-90CD-B0E6DE34D8A4}"/>
    <cellStyle name="差_CHICILON FullRateCard 2011_T-shirt_Pirate 4 updated" xfId="1225" xr:uid="{B0140512-5F1F-4079-AE27-D53F4CAEC941}"/>
    <cellStyle name="差_CHICILON FullRateCard 2011_T-shirt_Transformer" xfId="1226" xr:uid="{15E413C5-5FA5-45DA-A06E-9E2FF8BAD2EE}"/>
    <cellStyle name="差_CHICILON.General  Rate Card 2011" xfId="1228" xr:uid="{3275AB9F-73EC-4BF1-B4DC-FDFB5FC28D70}"/>
    <cellStyle name="差_CHICILON.General  Rate Card 2011_Kungfu Panda (updated 19MAy)" xfId="1229" xr:uid="{5E24488C-B00C-4845-A20F-694705ED486B}"/>
    <cellStyle name="差_CHICILON.General  Rate Card 2011_Kungfu Panda (updated)" xfId="1230" xr:uid="{0D1CCD90-EF16-4554-99BB-044C06F0D743}"/>
    <cellStyle name="差_CHICILON.General  Rate Card 2011_MAster Plan of FOH, OOH " xfId="1231" xr:uid="{642DB74A-8A65-4211-95FD-6DFEC1507B29}"/>
    <cellStyle name="差_CHICILON.General  Rate Card 2011_MEGASTAR-CHICILON Proposal Master2011-2012" xfId="1232" xr:uid="{9DDB5745-187D-4CAA-A078-2A7785584188}"/>
    <cellStyle name="差_CHICILON.General  Rate Card 2011_MEGASTAR-CHICILON Proposal Master2011-2012 2" xfId="1233" xr:uid="{71DE49CD-123C-4719-A88B-A2CA2F2EC340}"/>
    <cellStyle name="差_CHICILON.General  Rate Card 2011_Pirate 4 updated" xfId="1234" xr:uid="{72DFAEA9-C9F8-4681-AF7A-8FAA45CB65EF}"/>
    <cellStyle name="差_CHICILON.General  Rate Card 2011_Transformer" xfId="1235" xr:uid="{D2CA9B13-A7ED-4637-82F2-4FBEC76F17B0}"/>
    <cellStyle name="差_Copy of DANH SACH LCD UPDATE NGAY 26 04 2010 " xfId="1236" xr:uid="{1E459F3F-899C-421E-81F3-D9FBB1472DFC}"/>
    <cellStyle name="差_Copy of DANH SACH LCD UPDATE NGAY 26 04 2010  2" xfId="1237" xr:uid="{9F87F7EA-F390-47FE-BA9E-C7F882BC65B4}"/>
    <cellStyle name="差_Copy of DANH SACH LCD UPDATE NGAY 26 04 2010 _Kungfu PAnda" xfId="1238" xr:uid="{D139BF2A-8F15-454B-A62C-9172DF0BBB5F}"/>
    <cellStyle name="差_Copy of DANH SACH LCD UPDATE NGAY 26 04 2010 _Kungfu Panda (updated 19MAy)" xfId="1239" xr:uid="{E67AE156-9241-46F7-8902-713433FD304B}"/>
    <cellStyle name="差_Copy of DANH SACH LCD UPDATE NGAY 26 04 2010 _Kungfu Panda (updated)" xfId="1240" xr:uid="{96388B1E-DFD5-4915-B9EE-41412ADEE66D}"/>
    <cellStyle name="差_Copy of DANH SACH LCD UPDATE NGAY 26 04 2010 _Kungfu PAnda_Kungfu Panda (updated 19MAy)" xfId="1241" xr:uid="{74CE6F5A-2793-4383-8670-643AF16538E9}"/>
    <cellStyle name="差_Copy of DANH SACH LCD UPDATE NGAY 26 04 2010 _Kungfu PAnda_Kungfu Panda (updated)" xfId="1242" xr:uid="{E5EB2036-3781-4B45-8D2E-A71E782AE326}"/>
    <cellStyle name="差_Copy of DANH SACH LCD UPDATE NGAY 26 04 2010 _Kungfu PAnda_MAster Plan of FOH, OOH " xfId="1243" xr:uid="{0C2176B3-E0DC-4AEE-9F8F-258D782DAE4C}"/>
    <cellStyle name="差_Copy of DANH SACH LCD UPDATE NGAY 26 04 2010 _Kungfu PAnda_Pirate 4 updated" xfId="1244" xr:uid="{7A437834-A7B0-4015-A7F0-B62882A782F0}"/>
    <cellStyle name="差_Copy of DANH SACH LCD UPDATE NGAY 26 04 2010 _Kungfu PAnda_Transformer" xfId="1245" xr:uid="{C07E2987-38C8-4F93-A059-FDEBC3D88212}"/>
    <cellStyle name="差_Copy of DANH SACH LCD UPDATE NGAY 26 04 2010 _MAster Plan of FOH, OOH " xfId="1246" xr:uid="{8BC67F9E-EF74-496B-B59C-941D178CE6A6}"/>
    <cellStyle name="差_Copy of DANH SACH LCD UPDATE NGAY 26 04 2010 _MAster Plan of FOH, OOH  2" xfId="1247" xr:uid="{D5BB0C44-C977-4744-A3E1-E9610A36E9F6}"/>
    <cellStyle name="差_Copy of DANH SACH LCD UPDATE NGAY 26 04 2010 _MEGASTAR-CHICILON Proposal Master2011-2012" xfId="1248" xr:uid="{EB75D73F-C167-49BF-98D5-6374E2C71A3C}"/>
    <cellStyle name="差_Copy of DANH SACH LCD UPDATE NGAY 26 04 2010 _MEGASTAR-CHICILON Proposal Master2011-2012_1" xfId="1249" xr:uid="{64A686F8-6E89-464D-BB06-ECB750E95AA2}"/>
    <cellStyle name="差_Copy of DANH SACH LCD UPDATE NGAY 26 04 2010 _MEGASTAR-CHICILON Proposal Master2011-2012_1 2" xfId="1250" xr:uid="{126EC026-6414-494E-BA47-1DF76C1C91C3}"/>
    <cellStyle name="差_Copy of DANH SACH LCD UPDATE NGAY 26 04 2010 _MEGASTAR-CHICILON Proposal Master2011-2012_Kungfu Panda (updated 19MAy)" xfId="1251" xr:uid="{CA3E73FD-6383-4622-B291-F7862C181C5E}"/>
    <cellStyle name="差_Copy of DANH SACH LCD UPDATE NGAY 26 04 2010 _MEGASTAR-CHICILON Proposal Master2011-2012_Kungfu Panda (updated)" xfId="1252" xr:uid="{E2888F67-5580-4CA8-8B37-408A283D8D74}"/>
    <cellStyle name="差_Copy of DANH SACH LCD UPDATE NGAY 26 04 2010 _MEGASTAR-CHICILON Proposal Master2011-2012_MAster Plan of FOH, OOH " xfId="1253" xr:uid="{C5736C46-50E9-4C19-B56D-28B6F4FFCF8F}"/>
    <cellStyle name="差_Copy of DANH SACH LCD UPDATE NGAY 26 04 2010 _MEGASTAR-CHICILON Proposal Master2011-2012_Pirate 4 updated" xfId="1254" xr:uid="{20E400FC-FDA6-4363-9AFD-A9A807556F3C}"/>
    <cellStyle name="差_Copy of DANH SACH LCD UPDATE NGAY 26 04 2010 _MEGASTAR-CHICILON Proposal Master2011-2012_Transformer" xfId="1255" xr:uid="{B1C51CDC-9E19-4715-8463-F5340A8EB234}"/>
    <cellStyle name="差_Copy of DANH SACH LCD UPDATE NGAY 26 04 2010 _MEGASTAR-CHICILON.Proposal.Master2011" xfId="1256" xr:uid="{84012E44-296E-42B9-A380-E72A94A6AEC4}"/>
    <cellStyle name="差_Copy of DANH SACH LCD UPDATE NGAY 26 04 2010 _MEGASTAR-CHICILON.Proposal.Master2011_Kungfu Panda (updated 19MAy)" xfId="1257" xr:uid="{1EF99CE7-457B-45F0-8B38-CF92192CDC3F}"/>
    <cellStyle name="差_Copy of DANH SACH LCD UPDATE NGAY 26 04 2010 _MEGASTAR-CHICILON.Proposal.Master2011_Kungfu Panda (updated)" xfId="1258" xr:uid="{89602636-5C7B-4449-B428-1B4FC85F4484}"/>
    <cellStyle name="差_Copy of DANH SACH LCD UPDATE NGAY 26 04 2010 _MEGASTAR-CHICILON.Proposal.Master2011_MAster Plan of FOH, OOH " xfId="1259" xr:uid="{7CBBEF4F-277D-4D75-8BCA-A42A8006D0B9}"/>
    <cellStyle name="差_Copy of DANH SACH LCD UPDATE NGAY 26 04 2010 _MEGASTAR-CHICILON.Proposal.Master2011_Pirate 4 updated" xfId="1260" xr:uid="{8FCE2550-A1B3-429D-8853-53A112B1437B}"/>
    <cellStyle name="差_Copy of DANH SACH LCD UPDATE NGAY 26 04 2010 _MEGASTAR-CHICILON.Proposal.Master2011_Transformer" xfId="1261" xr:uid="{2F0342D4-F3F0-418B-ACAB-5A984BE4CA4D}"/>
    <cellStyle name="差_Copy of DANH SACH LCD UPDATE NGAY 26 04 2010 _Pirate 4 updated" xfId="1262" xr:uid="{1388755B-4075-4CC4-A5F2-CCF6802AD83B}"/>
    <cellStyle name="差_Copy of DANH SACH LCD UPDATE NGAY 26 04 2010 _Pirate 4 updated 19 May" xfId="1263" xr:uid="{BA0209CC-2AF3-4A0D-ACC9-D1EF722DB315}"/>
    <cellStyle name="差_Copy of DANH SACH LCD UPDATE NGAY 26 04 2010 _RANGO MP" xfId="1264" xr:uid="{E21F594B-B6FD-42F0-9CD3-C7DA544E043C}"/>
    <cellStyle name="差_Copy of DANH SACH LCD UPDATE NGAY 26 04 2010 _RANGO MP 2" xfId="1265" xr:uid="{C62D4606-FEDF-42E0-9BFE-63B50B6C1731}"/>
    <cellStyle name="差_Copy of DANH SACH LCD UPDATE NGAY 26 04 2010 _Summer Block buster" xfId="1266" xr:uid="{9B838FC2-9CE6-4B07-894F-02FAF47C2977}"/>
    <cellStyle name="差_Copy of DANH SACH LCD UPDATE NGAY 26 04 2010 _Summer Block buster 2" xfId="1267" xr:uid="{EBF7EF04-AB5B-490C-ACAE-EBA42AB49925}"/>
    <cellStyle name="差_Copy of DANH SACH LCD UPDATE NGAY 26 04 2010 _Transformer" xfId="1274" xr:uid="{D97C6D5B-4ADF-43F4-9357-F03B8FEA18D3}"/>
    <cellStyle name="差_Copy of DANH SACH LCD UPDATE NGAY 26 04 2010 _T-shirt" xfId="1268" xr:uid="{882B3D19-0E50-4EC6-B401-6546E1F0F8AF}"/>
    <cellStyle name="差_Copy of DANH SACH LCD UPDATE NGAY 26 04 2010 _T-shirt_Kungfu Panda (updated 19MAy)" xfId="1269" xr:uid="{797783A2-439C-4B9B-B6C2-D0FF71B637F9}"/>
    <cellStyle name="差_Copy of DANH SACH LCD UPDATE NGAY 26 04 2010 _T-shirt_Kungfu Panda (updated)" xfId="1270" xr:uid="{0A784DA5-87B2-4018-BF7B-DFE97FAEEF76}"/>
    <cellStyle name="差_Copy of DANH SACH LCD UPDATE NGAY 26 04 2010 _T-shirt_MAster Plan of FOH, OOH " xfId="1271" xr:uid="{144EFFF8-0B67-4AC2-B473-937FD55724F9}"/>
    <cellStyle name="差_Copy of DANH SACH LCD UPDATE NGAY 26 04 2010 _T-shirt_Pirate 4 updated" xfId="1272" xr:uid="{D5112E43-78EB-41B2-BA19-A1E15C3FDB52}"/>
    <cellStyle name="差_Copy of DANH SACH LCD UPDATE NGAY 26 04 2010 _T-shirt_Transformer" xfId="1273" xr:uid="{7BD7D868-D40C-4D5B-AC55-5052CC7BE4C2}"/>
    <cellStyle name="差_GENERAL RATECARD 2011" xfId="1275" xr:uid="{F6422665-9CAE-4EE6-BCCE-85D90B0D8FD4}"/>
    <cellStyle name="差_GENERAL RATECARD 2011_Kungfu Panda (updated 19MAy)" xfId="1276" xr:uid="{0AB3D0AA-7417-4082-BE75-1C3FD86702D5}"/>
    <cellStyle name="差_GENERAL RATECARD 2011_Kungfu Panda (updated)" xfId="1277" xr:uid="{E8BD9C5C-CF5D-4CFA-9794-4FA05D2CEAF5}"/>
    <cellStyle name="差_GENERAL RATECARD 2011_MAster Plan of FOH, OOH " xfId="1278" xr:uid="{DFA26D34-6FE9-43D1-A08E-93D8A4A3950A}"/>
    <cellStyle name="差_GENERAL RATECARD 2011_MEGASTAR-CHICILON Proposal Master2011-2012" xfId="1279" xr:uid="{FDF74F74-6106-4A96-91CF-82D7F81A7CB6}"/>
    <cellStyle name="差_GENERAL RATECARD 2011_MEGASTAR-CHICILON Proposal Master2011-2012 2" xfId="1280" xr:uid="{D1DED67F-576B-474C-B822-602C7B883A96}"/>
    <cellStyle name="差_GENERAL RATECARD 2011_Pirate 4 updated" xfId="1281" xr:uid="{D17E853C-9E70-44AA-979E-73F72470660D}"/>
    <cellStyle name="差_GENERAL RATECARD 2011_Transformer" xfId="1282" xr:uid="{AAC23096-C585-4FB7-8F1F-790F449702A0}"/>
    <cellStyle name="差_LCD 15-9 " xfId="1283" xr:uid="{527C67B5-BF8D-43B5-9942-8A3E0DA4DBEC}"/>
    <cellStyle name="差_LCD 15-9  2" xfId="1284" xr:uid="{70AA5421-F7EB-4CB7-B723-1022EB7AF493}"/>
    <cellStyle name="差_LCD 15-9 _Kungfu PAnda" xfId="1285" xr:uid="{4EF2C31B-6FCB-4849-8D65-02405B1DFD70}"/>
    <cellStyle name="差_LCD 15-9 _Kungfu Panda (updated 19MAy)" xfId="1286" xr:uid="{B605B196-21FD-4459-AB48-9CF0CADF4106}"/>
    <cellStyle name="差_LCD 15-9 _Kungfu Panda (updated)" xfId="1287" xr:uid="{32D2FA85-349A-4AE3-94D4-A081FF918767}"/>
    <cellStyle name="差_LCD 15-9 _Kungfu PAnda_Kungfu Panda (updated 19MAy)" xfId="1288" xr:uid="{B14E354F-03D2-447C-BAB2-497278688811}"/>
    <cellStyle name="差_LCD 15-9 _Kungfu PAnda_Kungfu Panda (updated)" xfId="1289" xr:uid="{3864FAEE-CC61-4404-B9E5-29098272E675}"/>
    <cellStyle name="差_LCD 15-9 _Kungfu PAnda_MAster Plan of FOH, OOH " xfId="1290" xr:uid="{8DDA26C4-8AE9-4AAD-8DD4-6CA7D874E9BF}"/>
    <cellStyle name="差_LCD 15-9 _Kungfu PAnda_Pirate 4 updated" xfId="1291" xr:uid="{47549D02-21AE-4D9F-900A-8B47C6F9BA39}"/>
    <cellStyle name="差_LCD 15-9 _Kungfu PAnda_Transformer" xfId="1292" xr:uid="{516D829A-C4A4-4F82-9965-9DC86DED2094}"/>
    <cellStyle name="差_LCD 15-9 _MAster Plan of FOH, OOH " xfId="1293" xr:uid="{FE1A0F00-A9BF-4F86-8189-045CF1FC9F56}"/>
    <cellStyle name="差_LCD 15-9 _MAster Plan of FOH, OOH  2" xfId="1294" xr:uid="{93D46407-AC74-491D-8485-5BA5DF6D7ABB}"/>
    <cellStyle name="差_LCD 15-9 _MEGASTAR-CHICILON Proposal Master2011-2012" xfId="1295" xr:uid="{76D46014-989C-4D51-B2B5-65B9CAA793C3}"/>
    <cellStyle name="差_LCD 15-9 _MEGASTAR-CHICILON Proposal Master2011-2012_1" xfId="1296" xr:uid="{5F0F6C80-0CA2-4929-901E-657EF2ACB74D}"/>
    <cellStyle name="差_LCD 15-9 _MEGASTAR-CHICILON Proposal Master2011-2012_1 2" xfId="1297" xr:uid="{766C4311-1CC8-4FC0-8341-4FA9D7FE60E5}"/>
    <cellStyle name="差_LCD 15-9 _MEGASTAR-CHICILON Proposal Master2011-2012_Kungfu Panda (updated 19MAy)" xfId="1298" xr:uid="{137FA755-56AD-4AA3-86EE-19918E1C71B9}"/>
    <cellStyle name="差_LCD 15-9 _MEGASTAR-CHICILON Proposal Master2011-2012_Kungfu Panda (updated)" xfId="1299" xr:uid="{36ADA6F8-B3DD-4499-9E47-B0CAC890C455}"/>
    <cellStyle name="差_LCD 15-9 _MEGASTAR-CHICILON Proposal Master2011-2012_MAster Plan of FOH, OOH " xfId="1300" xr:uid="{560D2777-7AA4-495A-848C-11E8E1A39B1E}"/>
    <cellStyle name="差_LCD 15-9 _MEGASTAR-CHICILON Proposal Master2011-2012_Pirate 4 updated" xfId="1301" xr:uid="{23EBCB2F-FCC1-4C31-B6FA-5EF499C7A2CE}"/>
    <cellStyle name="差_LCD 15-9 _MEGASTAR-CHICILON Proposal Master2011-2012_Transformer" xfId="1302" xr:uid="{B4032F2F-468E-490D-9163-89DA5FFFADE0}"/>
    <cellStyle name="差_LCD 15-9 _MEGASTAR-CHICILON.Proposal.Master2011" xfId="1303" xr:uid="{AFCA7666-98DA-4D3A-8998-9F8A197F1048}"/>
    <cellStyle name="差_LCD 15-9 _MEGASTAR-CHICILON.Proposal.Master2011_Kungfu Panda (updated 19MAy)" xfId="1304" xr:uid="{7F574A93-A01D-436F-81E8-83D124CF1601}"/>
    <cellStyle name="差_LCD 15-9 _MEGASTAR-CHICILON.Proposal.Master2011_Kungfu Panda (updated)" xfId="1305" xr:uid="{E86E3FCB-8556-49FA-83E2-5C53926A25C9}"/>
    <cellStyle name="差_LCD 15-9 _MEGASTAR-CHICILON.Proposal.Master2011_MAster Plan of FOH, OOH " xfId="1306" xr:uid="{BA229B5A-3344-4A5B-9896-44803624D485}"/>
    <cellStyle name="差_LCD 15-9 _MEGASTAR-CHICILON.Proposal.Master2011_Pirate 4 updated" xfId="1307" xr:uid="{1E2E6EAB-B675-4568-BF26-55D56A2C32D7}"/>
    <cellStyle name="差_LCD 15-9 _MEGASTAR-CHICILON.Proposal.Master2011_Transformer" xfId="1308" xr:uid="{BFF87892-29CF-4FC6-8ABE-77C67BD242EE}"/>
    <cellStyle name="差_LCD 15-9 _Pirate 4 updated" xfId="1309" xr:uid="{657854EC-CA40-44A6-A869-85F41DF97210}"/>
    <cellStyle name="差_LCD 15-9 _Pirate 4 updated 19 May" xfId="1310" xr:uid="{B5CD8502-0CFF-45F6-BAB2-718C688790B6}"/>
    <cellStyle name="差_LCD 15-9 _RANGO MP" xfId="1311" xr:uid="{A9E9DF01-36F8-481B-831A-12607B109A92}"/>
    <cellStyle name="差_LCD 15-9 _RANGO MP 2" xfId="1312" xr:uid="{1F47F9DA-27BD-4FDA-B514-F97D9C9C6B6E}"/>
    <cellStyle name="差_LCD 15-9 _Summer Block buster" xfId="1313" xr:uid="{55B908FE-6AC0-4B5E-A312-08C2A8233243}"/>
    <cellStyle name="差_LCD 15-9 _Summer Block buster 2" xfId="1314" xr:uid="{22437C8B-1FCC-407C-A54A-F56F9D7E3990}"/>
    <cellStyle name="差_LCD 15-9 _Transformer" xfId="1321" xr:uid="{0F1C6B45-770A-41C5-853A-1268EBCC59E3}"/>
    <cellStyle name="差_LCD 15-9 _T-shirt" xfId="1315" xr:uid="{45E42996-CB2C-4A8E-9390-824BD3410BA9}"/>
    <cellStyle name="差_LCD 15-9 _T-shirt_Kungfu Panda (updated 19MAy)" xfId="1316" xr:uid="{CEBF6F46-40FB-43F4-99BD-2528874A6388}"/>
    <cellStyle name="差_LCD 15-9 _T-shirt_Kungfu Panda (updated)" xfId="1317" xr:uid="{C45FDE08-A306-4E23-AD52-2384F87969BD}"/>
    <cellStyle name="差_LCD 15-9 _T-shirt_MAster Plan of FOH, OOH " xfId="1318" xr:uid="{B37AFA77-17E7-4E20-8D26-DE1969ED439E}"/>
    <cellStyle name="差_LCD 15-9 _T-shirt_Pirate 4 updated" xfId="1319" xr:uid="{C17C5B63-A766-4F3A-AE36-5DEF93981C42}"/>
    <cellStyle name="差_LCD 15-9 _T-shirt_Transformer" xfId="1320" xr:uid="{4B57C0B6-9D41-4AD5-944F-E1E2F52E11CC}"/>
    <cellStyle name="差_LCD 28-10 " xfId="1322" xr:uid="{3CA2CBCC-893C-4CA9-8A1E-EE47DA23F18E}"/>
    <cellStyle name="差_LCD 28-10  2" xfId="1323" xr:uid="{2C35EA61-CE08-4722-A222-AC3EDF64BE40}"/>
    <cellStyle name="差_LCD 28-10 _Kungfu PAnda" xfId="1324" xr:uid="{DAED19AB-DEB1-4CD3-84BC-D787EFA3302E}"/>
    <cellStyle name="差_LCD 28-10 _Kungfu Panda (updated 19MAy)" xfId="1325" xr:uid="{16B4A76E-CDBD-406F-882A-3257C5FF2A81}"/>
    <cellStyle name="差_LCD 28-10 _Kungfu Panda (updated)" xfId="1326" xr:uid="{B9733DDF-ADDF-466B-A938-07BA9AF15539}"/>
    <cellStyle name="差_LCD 28-10 _Kungfu PAnda_Kungfu Panda (updated 19MAy)" xfId="1327" xr:uid="{23FD1EBA-4D8A-4C5A-9052-DDA649218C53}"/>
    <cellStyle name="差_LCD 28-10 _Kungfu PAnda_Kungfu Panda (updated)" xfId="1328" xr:uid="{E907538D-E0CE-4ED2-89C1-01B7384E2AAC}"/>
    <cellStyle name="差_LCD 28-10 _Kungfu PAnda_MAster Plan of FOH, OOH " xfId="1329" xr:uid="{7A5FA4CE-EAFD-4D31-BFF1-66244EA4D86C}"/>
    <cellStyle name="差_LCD 28-10 _Kungfu PAnda_Pirate 4 updated" xfId="1330" xr:uid="{A8E0F3A8-644C-46D8-81CB-9CC5E45950E8}"/>
    <cellStyle name="差_LCD 28-10 _Kungfu PAnda_Transformer" xfId="1331" xr:uid="{850C748E-B5AB-4C80-A935-90D5D1A44044}"/>
    <cellStyle name="差_LCD 28-10 _MAster Plan of FOH, OOH " xfId="1332" xr:uid="{7FD7F05A-EB73-40EC-9BD1-346C28EA3608}"/>
    <cellStyle name="差_LCD 28-10 _MAster Plan of FOH, OOH  2" xfId="1333" xr:uid="{6DF8D2B5-C7DD-4999-8388-EB098F4247A3}"/>
    <cellStyle name="差_LCD 28-10 _MEGASTAR-CHICILON Proposal Master2011-2012" xfId="1334" xr:uid="{477A5BB9-F973-4708-88E8-A771DF873B46}"/>
    <cellStyle name="差_LCD 28-10 _MEGASTAR-CHICILON Proposal Master2011-2012_1" xfId="1335" xr:uid="{7AC4096A-A3A9-414B-B86C-943F7F4ABB20}"/>
    <cellStyle name="差_LCD 28-10 _MEGASTAR-CHICILON Proposal Master2011-2012_1 2" xfId="1336" xr:uid="{CBFC5081-8FE9-42EB-AA1F-13A6EB746CAC}"/>
    <cellStyle name="差_LCD 28-10 _MEGASTAR-CHICILON Proposal Master2011-2012_Kungfu Panda (updated 19MAy)" xfId="1337" xr:uid="{8843C9A3-550C-4872-8574-6285233AB22F}"/>
    <cellStyle name="差_LCD 28-10 _MEGASTAR-CHICILON Proposal Master2011-2012_Kungfu Panda (updated)" xfId="1338" xr:uid="{89C2C760-E2FD-44F5-8DF0-704B2A0C279F}"/>
    <cellStyle name="差_LCD 28-10 _MEGASTAR-CHICILON Proposal Master2011-2012_MAster Plan of FOH, OOH " xfId="1339" xr:uid="{1C4596B5-6009-4624-8739-9B65439E94BA}"/>
    <cellStyle name="差_LCD 28-10 _MEGASTAR-CHICILON Proposal Master2011-2012_Pirate 4 updated" xfId="1340" xr:uid="{343D4B9F-A0C1-4C1A-9BC2-D7E65280F71A}"/>
    <cellStyle name="差_LCD 28-10 _MEGASTAR-CHICILON Proposal Master2011-2012_Transformer" xfId="1341" xr:uid="{C78F677F-0947-41D1-93D5-164C0929041C}"/>
    <cellStyle name="差_LCD 28-10 _MEGASTAR-CHICILON.Proposal.Master2011" xfId="1342" xr:uid="{FA017EBD-A3A6-40A3-913B-E6F3CD057C9F}"/>
    <cellStyle name="差_LCD 28-10 _MEGASTAR-CHICILON.Proposal.Master2011_Kungfu Panda (updated 19MAy)" xfId="1343" xr:uid="{3C329D32-D916-46DE-B7BC-26753B02A81B}"/>
    <cellStyle name="差_LCD 28-10 _MEGASTAR-CHICILON.Proposal.Master2011_Kungfu Panda (updated)" xfId="1344" xr:uid="{AE4CA3C6-2BA5-4F8A-94ED-A3EB11CE9AC1}"/>
    <cellStyle name="差_LCD 28-10 _MEGASTAR-CHICILON.Proposal.Master2011_MAster Plan of FOH, OOH " xfId="1345" xr:uid="{3A13867F-5ABD-438D-BAD2-77E633521DBF}"/>
    <cellStyle name="差_LCD 28-10 _MEGASTAR-CHICILON.Proposal.Master2011_Pirate 4 updated" xfId="1346" xr:uid="{A1947515-68A6-4F4C-A0C9-0D5272EBB407}"/>
    <cellStyle name="差_LCD 28-10 _MEGASTAR-CHICILON.Proposal.Master2011_Transformer" xfId="1347" xr:uid="{91273C90-4743-41B0-865C-4E0E805C7057}"/>
    <cellStyle name="差_LCD 28-10 _Pirate 4 updated" xfId="1348" xr:uid="{E9836143-8E64-4FD9-A8A6-4E3948504128}"/>
    <cellStyle name="差_LCD 28-10 _Pirate 4 updated 19 May" xfId="1349" xr:uid="{47178B35-6068-4190-B3FA-B2467EB568E2}"/>
    <cellStyle name="差_LCD 28-10 _RANGO MP" xfId="1350" xr:uid="{4373B335-075A-4788-91D4-A7FA94BEA3AB}"/>
    <cellStyle name="差_LCD 28-10 _RANGO MP 2" xfId="1351" xr:uid="{912428CA-6266-4081-9105-FCDBC4A1E7AF}"/>
    <cellStyle name="差_LCD 28-10 _Summer Block buster" xfId="1352" xr:uid="{2881DC38-8B16-4493-B4DC-3E2CCF8699E4}"/>
    <cellStyle name="差_LCD 28-10 _Summer Block buster 2" xfId="1353" xr:uid="{84D8F671-8784-4A27-B1AC-0E3E8323AB52}"/>
    <cellStyle name="差_LCD 28-10 _Transformer" xfId="1360" xr:uid="{1E07BB2B-8A00-40BD-9B1F-3C4567901E53}"/>
    <cellStyle name="差_LCD 28-10 _T-shirt" xfId="1354" xr:uid="{E3F23861-02D9-43F6-A214-F42F0C2D4623}"/>
    <cellStyle name="差_LCD 28-10 _T-shirt_Kungfu Panda (updated 19MAy)" xfId="1355" xr:uid="{500039BC-B1D8-4E1D-B97D-748242E63F5A}"/>
    <cellStyle name="差_LCD 28-10 _T-shirt_Kungfu Panda (updated)" xfId="1356" xr:uid="{AAC982AF-61C6-46EF-9AD4-AABE92221ABB}"/>
    <cellStyle name="差_LCD 28-10 _T-shirt_MAster Plan of FOH, OOH " xfId="1357" xr:uid="{04841A70-124E-4001-B407-5D68C4DC6EDB}"/>
    <cellStyle name="差_LCD 28-10 _T-shirt_Pirate 4 updated" xfId="1358" xr:uid="{E958B51E-651E-4E20-AA14-A66075BB7040}"/>
    <cellStyle name="差_LCD 28-10 _T-shirt_Transformer" xfId="1359" xr:uid="{846A5DB0-8B0B-418A-818A-8FF1A34D47B8}"/>
    <cellStyle name="差_LCD UPDATE NGAY 22-6 2010" xfId="1361" xr:uid="{33A91A00-5EF0-44AC-A4FD-739BBFD276F3}"/>
    <cellStyle name="差_POSTER FRAME LIST" xfId="1362" xr:uid="{7CFBEF2D-DEFF-4965-98C1-5882823FC92B}"/>
    <cellStyle name="常规 2" xfId="1363" xr:uid="{59B348E6-BE03-4D05-97F8-713386084D0D}"/>
    <cellStyle name="常规 3" xfId="1364" xr:uid="{C8ED8290-1E2C-40F5-A0D9-69979B4E9DB1}"/>
    <cellStyle name="常规 4" xfId="1365" xr:uid="{13E5C485-A3E5-46A2-BB10-D417CE474A8B}"/>
    <cellStyle name="常规_Sheet1" xfId="1366" xr:uid="{2D87CA2D-373B-4CB0-857D-FA328B1C224C}"/>
    <cellStyle name="强调文字颜色 1" xfId="1367" xr:uid="{1AC2D60F-7F15-4B8A-843E-30CE5D03A029}"/>
    <cellStyle name="强调文字颜色 2" xfId="1368" xr:uid="{CF07CF3B-2E97-4758-BC74-7999BED44D23}"/>
    <cellStyle name="强调文字颜色 3" xfId="1369" xr:uid="{FE886367-1124-41FF-976D-1C54389A6960}"/>
    <cellStyle name="强调文字颜色 4" xfId="1370" xr:uid="{87177D8C-EE9E-40C7-8867-C663EE5A125C}"/>
    <cellStyle name="强调文字颜色 5" xfId="1371" xr:uid="{BED3A133-ACE4-4697-88F8-3DFE3D2AC267}"/>
    <cellStyle name="强调文字颜色 6" xfId="1372" xr:uid="{FB070A02-9B36-4F78-AB1E-071E4B9A15AD}"/>
    <cellStyle name="标题" xfId="1373" xr:uid="{A3831D5E-8421-4206-A533-7B9513B6F6A6}"/>
    <cellStyle name="标题 1" xfId="1374" xr:uid="{5FCB73ED-3ACD-4CD4-AD29-7130CD260458}"/>
    <cellStyle name="标题 2" xfId="1375" xr:uid="{C2F7C05E-9643-418B-A079-E983B7088210}"/>
    <cellStyle name="标题 3" xfId="1376" xr:uid="{09C7B814-72EF-4BE2-AA68-C3153E3CACB9}"/>
    <cellStyle name="标题 4" xfId="1377" xr:uid="{61B08556-6F95-4338-B2E1-876D99251E5F}"/>
    <cellStyle name="标题_CHICILON FullRateCard 2011" xfId="1378" xr:uid="{810F96E4-CBC2-4E39-9824-A4D0FC178B23}"/>
    <cellStyle name="样式 1" xfId="1379" xr:uid="{E3F02058-DE86-493F-B8E2-CD0BF0457F0B}"/>
    <cellStyle name="检查单元格" xfId="1380" xr:uid="{F9E9816D-D6C8-455B-8B77-DF87DFB7B8B3}"/>
    <cellStyle name="汇总" xfId="1381" xr:uid="{210144A9-B33A-4306-9F98-360AFE83AC0D}"/>
    <cellStyle name="注释" xfId="1382" xr:uid="{BCF6911E-1069-4637-91DC-5E658F856CA4}"/>
    <cellStyle name="解释性文本" xfId="1383" xr:uid="{4EBA9770-8B40-4598-854A-C91D41F601C1}"/>
    <cellStyle name="警告文本" xfId="1384" xr:uid="{94890571-CF9C-4A61-97F3-772E34DE9521}"/>
    <cellStyle name="计算" xfId="1385" xr:uid="{649EF1FB-43E4-42B9-94F8-F4993FE3841B}"/>
    <cellStyle name="貨幣 [0]_Book1" xfId="1386" xr:uid="{85E0FF72-3194-4DB6-92BD-D2C038F8370A}"/>
    <cellStyle name="貨幣_Book1" xfId="1387" xr:uid="{021D5639-1556-4868-A248-7D57AC8AF12A}"/>
    <cellStyle name="超链接 2" xfId="1388" xr:uid="{DB61B99A-DB47-4F68-A9CC-BF2C31ADDD7E}"/>
    <cellStyle name="输入" xfId="1389" xr:uid="{61CF2BA5-7EB0-4F73-A8A3-22BA4767E1E0}"/>
    <cellStyle name="输出" xfId="1390" xr:uid="{E70C3ED3-D41C-4BCA-8359-610706C4D72C}"/>
    <cellStyle name="适中" xfId="1391" xr:uid="{92348FE7-8940-4EC6-B018-B13B9B72B65F}"/>
    <cellStyle name="链接单元格" xfId="1392" xr:uid="{439FA95D-498D-49D4-91E3-DCDBE5FE388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12700</xdr:rowOff>
    </xdr:from>
    <xdr:to>
      <xdr:col>6</xdr:col>
      <xdr:colOff>419100</xdr:colOff>
      <xdr:row>1</xdr:row>
      <xdr:rowOff>215900</xdr:rowOff>
    </xdr:to>
    <xdr:pic>
      <xdr:nvPicPr>
        <xdr:cNvPr id="1644" name="Picture 2" descr="GN title small.jpg">
          <a:extLst>
            <a:ext uri="{FF2B5EF4-FFF2-40B4-BE49-F238E27FC236}">
              <a16:creationId xmlns:a16="http://schemas.microsoft.com/office/drawing/2014/main" id="{4357EE8C-7196-6082-21D9-C974973B3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196850"/>
          <a:ext cx="1111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CGV/Local/file/C/Users/khuyen.le/AppData/Local/Microsoft/Windows/Temporary%20Internet%20Files/Content.Outlook/EVGHVORZ/Users/phuong.vo/Desktop/CTP%20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Nhung\C\My%20Documents\Data%202002\Budget%202002\1%20Plan%202002%20Working%20Paper%20---%20Update%2015-11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Nhung\C\Documents%20and%20Settings\Administrator\Desktop\My%20Documents\2002%20Data\MIR%202002\Mir11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B\c\My%20Documents\NAM%20HA%202002\NAM%20HA%201\NAM%20HA%202002\KT2002\Nam%20Ha%202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C\Users\khuyen.le\AppData\Local\Microsoft\Windows\Temporary%20Internet%20Files\Content.Outlook\EVGHVORZ\TRIUMPH\HIEU\BG2005\DS-FINAL\OANH\Aa2002\bud2003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C\Users\khuyen.le\AppData\Local\Microsoft\Windows\Temporary%20Internet%20Files\Content.Outlook\EVGHVORZ\ANH.BUI\Private\Linhtinh\Print\MaiAnh2004\PRINT\CONTRACTS%20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S\Documents%20and%20Settings\PhuongLam%20Le\Desktop\Book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C\Users\khuyen.le\AppData\Local\Microsoft\Windows\Temporary%20Internet%20Files\Content.Outlook\EVGHVORZ\MS%20Planners\Q.Phuong\Training%20documents\Reach%20estimato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C\Users\khuyen.le\AppData\Local\Microsoft\Windows\Temporary%20Internet%20Files\Content.Outlook\EVGHVORZ\DOCUME~1\NGUYEV~1\LOCALS~1\Temp\notes359DB9\A&amp;P%20USD%2008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C\Users\khuyen.le\AppData\Local\Microsoft\Windows\Temporary%20Internet%20Files\Content.Outlook\EVGHVORZ\MAI%20ANH\MaiAnh2006\print%20ratecard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CGV/Local/Macintosh%20HDUsers/mac/Downloads/09-%2011%20%20CGV%20-%20MOANA%20-%20Flye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:2019\CGV\Local\file\O\PROGRAM%20FILES\SCOPE\Data\PhaseFor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P Master Excel"/>
      <sheetName val="CTP Master"/>
      <sheetName val="TOTAL 2011 Tuyen (13 OCt)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CONTROLS"/>
      <sheetName val="COVER"/>
      <sheetName val="SOE"/>
      <sheetName val="RIGS"/>
      <sheetName val="SUM-INPUT"/>
      <sheetName val="S"/>
      <sheetName val="P"/>
      <sheetName val="I"/>
      <sheetName val="H"/>
      <sheetName val="E512"/>
      <sheetName val="E620"/>
      <sheetName val="E621"/>
      <sheetName val="E615"/>
      <sheetName val="E622"/>
      <sheetName val="TOTAL_SELLING"/>
      <sheetName val="700"/>
      <sheetName val="721"/>
      <sheetName val="723"/>
      <sheetName val="722"/>
      <sheetName val="800"/>
      <sheetName val="E516"/>
      <sheetName val="carryover"/>
      <sheetName val="newrequest"/>
      <sheetName val="expenditure"/>
      <sheetName val="SUPPORT"/>
      <sheetName val="Salary "/>
      <sheetName val="TB"/>
      <sheetName val="Revenue"/>
      <sheetName val="Module1"/>
      <sheetName val="DSO"/>
      <sheetName val="PRINT_CONTROLS"/>
      <sheetName val="Salary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I2A-A"/>
      <sheetName val="MI2A-B"/>
      <sheetName val="MI3"/>
      <sheetName val="MI19(A)"/>
      <sheetName val="MI20(1)"/>
      <sheetName val="E6102"/>
      <sheetName val="E6120"/>
      <sheetName val="E6105"/>
      <sheetName val="E6119"/>
      <sheetName val="E6131"/>
      <sheetName val="E6200"/>
      <sheetName val="6WD"/>
      <sheetName val="S"/>
      <sheetName val="Budget 2"/>
      <sheetName val="TB"/>
      <sheetName val="Budget_2"/>
      <sheetName val="expenditure"/>
      <sheetName val="I"/>
    </sheetNames>
    <sheetDataSet>
      <sheetData sheetId="0" refreshError="1"/>
      <sheetData sheetId="1" refreshError="1">
        <row r="1">
          <cell r="A1" t="str">
            <v>FORM MI-2A (4/90 REV)</v>
          </cell>
          <cell r="N1" t="str">
            <v>Page  1 of  2</v>
          </cell>
        </row>
        <row r="2">
          <cell r="A2" t="str">
            <v>+</v>
          </cell>
        </row>
        <row r="3">
          <cell r="B3" t="str">
            <v>CONSOLIDATING BALANCE SHEET</v>
          </cell>
          <cell r="C3" t="str">
            <v>TOTAL</v>
          </cell>
          <cell r="I3" t="str">
            <v>TOTAL</v>
          </cell>
          <cell r="J3" t="str">
            <v>DRILLING</v>
          </cell>
          <cell r="M3" t="str">
            <v>WATERWELL</v>
          </cell>
          <cell r="N3" t="str">
            <v>AIR</v>
          </cell>
        </row>
        <row r="4">
          <cell r="A4" t="str">
            <v>A</v>
          </cell>
          <cell r="B4" t="str">
            <v>(EXPRESSED IN U. S. $000)</v>
          </cell>
          <cell r="C4" t="str">
            <v>ENTITY</v>
          </cell>
          <cell r="D4" t="str">
            <v>ELIM</v>
          </cell>
          <cell r="E4" t="str">
            <v>MINERALS</v>
          </cell>
          <cell r="F4" t="str">
            <v>EXECUTIVE</v>
          </cell>
          <cell r="G4" t="str">
            <v>SWACO</v>
          </cell>
          <cell r="I4" t="str">
            <v>HEMISPHERE</v>
          </cell>
          <cell r="J4" t="str">
            <v>FLUIDS</v>
          </cell>
          <cell r="K4" t="str">
            <v>FEDERAL</v>
          </cell>
          <cell r="L4" t="str">
            <v>TENDERS</v>
          </cell>
          <cell r="M4" t="str">
            <v>/ MINING</v>
          </cell>
          <cell r="N4" t="str">
            <v>DRILLING</v>
          </cell>
        </row>
        <row r="6">
          <cell r="B6" t="str">
            <v>CURRENT ASSETS</v>
          </cell>
        </row>
        <row r="7">
          <cell r="A7">
            <v>1</v>
          </cell>
          <cell r="B7" t="str">
            <v xml:space="preserve"> UNRESTRICTED CASH (MI-2B)</v>
          </cell>
          <cell r="C7">
            <v>3038.1493700000005</v>
          </cell>
          <cell r="I7">
            <v>3038.1493700000005</v>
          </cell>
          <cell r="J7">
            <v>3038.1493700000005</v>
          </cell>
        </row>
        <row r="8">
          <cell r="A8">
            <v>2</v>
          </cell>
          <cell r="B8" t="str">
            <v xml:space="preserve"> RESTRICTED CASH (MI-2B)</v>
          </cell>
          <cell r="C8">
            <v>12.00076</v>
          </cell>
          <cell r="I8">
            <v>12.00076</v>
          </cell>
          <cell r="J8">
            <v>12.00076</v>
          </cell>
        </row>
        <row r="9">
          <cell r="A9">
            <v>3</v>
          </cell>
          <cell r="B9" t="str">
            <v xml:space="preserve"> MKTBLE. SEC./S-T INVEST. (MI-2B)</v>
          </cell>
          <cell r="C9">
            <v>0</v>
          </cell>
          <cell r="I9">
            <v>0</v>
          </cell>
          <cell r="J9">
            <v>0</v>
          </cell>
        </row>
        <row r="10">
          <cell r="B10" t="str">
            <v xml:space="preserve"> PUBLIC RECEIVABLES</v>
          </cell>
        </row>
        <row r="11">
          <cell r="A11">
            <v>4</v>
          </cell>
          <cell r="B11" t="str">
            <v xml:space="preserve">   NOTES &amp; ACCRUED INTEREST</v>
          </cell>
          <cell r="C11">
            <v>0</v>
          </cell>
          <cell r="I11">
            <v>0</v>
          </cell>
        </row>
        <row r="12">
          <cell r="A12">
            <v>5</v>
          </cell>
          <cell r="B12" t="str">
            <v xml:space="preserve">   ACCOUNTS</v>
          </cell>
          <cell r="C12">
            <v>872.24527999999975</v>
          </cell>
          <cell r="I12">
            <v>872.24527999999975</v>
          </cell>
          <cell r="J12">
            <v>872.24527999999975</v>
          </cell>
        </row>
        <row r="13">
          <cell r="A13">
            <v>6</v>
          </cell>
          <cell r="B13" t="str">
            <v xml:space="preserve">     TOTAL PUBLIC RECEIVABLES</v>
          </cell>
          <cell r="C13">
            <v>872.24527999999975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872.24527999999975</v>
          </cell>
          <cell r="J13">
            <v>872.24527999999975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7</v>
          </cell>
          <cell r="B14" t="str">
            <v xml:space="preserve">   LESS ALLOW. FOR DOUBT. REC.</v>
          </cell>
          <cell r="C14">
            <v>0</v>
          </cell>
          <cell r="I14">
            <v>0</v>
          </cell>
          <cell r="J14">
            <v>0</v>
          </cell>
        </row>
        <row r="15">
          <cell r="A15">
            <v>8</v>
          </cell>
          <cell r="B15" t="str">
            <v xml:space="preserve"> NET PUBLIC RECEIVABLES</v>
          </cell>
          <cell r="C15">
            <v>872.24527999999975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872.24527999999975</v>
          </cell>
          <cell r="J15">
            <v>872.24527999999975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9</v>
          </cell>
          <cell r="B16" t="str">
            <v xml:space="preserve"> REC. FROM AFFIL. &amp; UNCON. SUBS. </v>
          </cell>
          <cell r="C16">
            <v>363.68565000000001</v>
          </cell>
          <cell r="I16">
            <v>363.68565000000001</v>
          </cell>
          <cell r="J16">
            <v>363.68565000000001</v>
          </cell>
        </row>
        <row r="17">
          <cell r="A17">
            <v>10</v>
          </cell>
          <cell r="B17" t="str">
            <v xml:space="preserve"> INTERCO./DIV. ACCOUNTS REC. (MI-2C)</v>
          </cell>
          <cell r="C17">
            <v>0</v>
          </cell>
          <cell r="I17">
            <v>0</v>
          </cell>
        </row>
        <row r="18">
          <cell r="B18" t="str">
            <v xml:space="preserve"> INVENTORIES</v>
          </cell>
        </row>
        <row r="19">
          <cell r="A19">
            <v>11</v>
          </cell>
          <cell r="B19" t="str">
            <v xml:space="preserve">   FINISHED PRODUCTS &amp; PARTS</v>
          </cell>
          <cell r="C19">
            <v>2254.4807800000003</v>
          </cell>
          <cell r="I19">
            <v>2254.4807800000003</v>
          </cell>
          <cell r="J19">
            <v>2254.4807800000003</v>
          </cell>
        </row>
        <row r="20">
          <cell r="A20">
            <v>12</v>
          </cell>
          <cell r="B20" t="str">
            <v xml:space="preserve">   IN-PROCESS PRODUCTS &amp; PARTS</v>
          </cell>
          <cell r="C20">
            <v>0</v>
          </cell>
          <cell r="I20">
            <v>0</v>
          </cell>
          <cell r="J20">
            <v>0</v>
          </cell>
        </row>
        <row r="21">
          <cell r="A21">
            <v>13</v>
          </cell>
          <cell r="B21" t="str">
            <v xml:space="preserve">   RAW MATERIALS &amp; SUPPLIES</v>
          </cell>
          <cell r="C21">
            <v>0</v>
          </cell>
          <cell r="I21">
            <v>0</v>
          </cell>
          <cell r="J21">
            <v>0</v>
          </cell>
        </row>
        <row r="22">
          <cell r="A22">
            <v>14</v>
          </cell>
          <cell r="B22" t="str">
            <v xml:space="preserve">      TOTAL INVENTORY</v>
          </cell>
          <cell r="C22">
            <v>2254.4807800000003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2254.4807800000003</v>
          </cell>
          <cell r="J22">
            <v>2254.4807800000003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15</v>
          </cell>
          <cell r="B23" t="str">
            <v xml:space="preserve">   LESS PROG. PYMTS. ON CONT.</v>
          </cell>
          <cell r="C23">
            <v>0</v>
          </cell>
          <cell r="I23">
            <v>0</v>
          </cell>
        </row>
        <row r="24">
          <cell r="A24">
            <v>16</v>
          </cell>
          <cell r="B24" t="str">
            <v xml:space="preserve"> NET INVENTORY</v>
          </cell>
          <cell r="C24">
            <v>2254.4807800000003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2254.4807800000003</v>
          </cell>
          <cell r="J24">
            <v>2254.4807800000003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17</v>
          </cell>
          <cell r="B25" t="str">
            <v xml:space="preserve"> PREPAID EXPENSES</v>
          </cell>
          <cell r="C25">
            <v>4.3586800000000006</v>
          </cell>
          <cell r="I25">
            <v>4.3586800000000006</v>
          </cell>
          <cell r="J25">
            <v>4.3586800000000006</v>
          </cell>
        </row>
        <row r="26">
          <cell r="A26">
            <v>18</v>
          </cell>
          <cell r="B26" t="str">
            <v xml:space="preserve">      TOTAL CURRENT ASSETS</v>
          </cell>
          <cell r="C26">
            <v>6544.9205200000006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6544.9205200000006</v>
          </cell>
          <cell r="J26">
            <v>6544.9205200000006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8">
          <cell r="A28">
            <v>19</v>
          </cell>
          <cell r="B28" t="str">
            <v>INTERDIVISION CONTROL (MI-2C)</v>
          </cell>
          <cell r="C28">
            <v>0</v>
          </cell>
          <cell r="I28">
            <v>0</v>
          </cell>
        </row>
        <row r="29">
          <cell r="A29">
            <v>20</v>
          </cell>
          <cell r="B29" t="str">
            <v>INVEST. IN CONSOL. SUBSIDIARIES</v>
          </cell>
          <cell r="C29">
            <v>0</v>
          </cell>
          <cell r="I29">
            <v>0</v>
          </cell>
          <cell r="J29">
            <v>0</v>
          </cell>
        </row>
        <row r="30">
          <cell r="A30">
            <v>21</v>
          </cell>
          <cell r="B30" t="str">
            <v>INVEST. IN AFFIL. &amp; UNCON. SUBS.</v>
          </cell>
          <cell r="C30">
            <v>0</v>
          </cell>
          <cell r="I30">
            <v>0</v>
          </cell>
          <cell r="J30">
            <v>0</v>
          </cell>
        </row>
        <row r="31">
          <cell r="A31">
            <v>22</v>
          </cell>
          <cell r="B31" t="str">
            <v>INVEST. IN MKT. SEC. - NON CURRENT</v>
          </cell>
          <cell r="C31">
            <v>0</v>
          </cell>
          <cell r="I31">
            <v>0</v>
          </cell>
          <cell r="J31">
            <v>0</v>
          </cell>
        </row>
        <row r="32">
          <cell r="A32">
            <v>23</v>
          </cell>
          <cell r="B32" t="str">
            <v>OTHER ASSETS</v>
          </cell>
          <cell r="C32">
            <v>0</v>
          </cell>
          <cell r="I32">
            <v>0</v>
          </cell>
          <cell r="J32">
            <v>0</v>
          </cell>
        </row>
        <row r="33">
          <cell r="A33">
            <v>24</v>
          </cell>
          <cell r="B33" t="str">
            <v>LONG-TERM RECEIVABLES</v>
          </cell>
          <cell r="C33">
            <v>0</v>
          </cell>
          <cell r="I33">
            <v>0</v>
          </cell>
          <cell r="J33">
            <v>0</v>
          </cell>
        </row>
        <row r="34">
          <cell r="A34">
            <v>25</v>
          </cell>
          <cell r="B34" t="str">
            <v>L-T REC FRM AFFIL.&amp; UNCON. SUBS.</v>
          </cell>
          <cell r="C34">
            <v>0</v>
          </cell>
          <cell r="I34">
            <v>0</v>
          </cell>
          <cell r="J34">
            <v>0</v>
          </cell>
        </row>
        <row r="35">
          <cell r="A35">
            <v>26</v>
          </cell>
          <cell r="B35" t="str">
            <v>(UNASSIGNED)</v>
          </cell>
          <cell r="C35">
            <v>0</v>
          </cell>
          <cell r="I35">
            <v>0</v>
          </cell>
          <cell r="J35">
            <v>0</v>
          </cell>
        </row>
        <row r="36">
          <cell r="A36">
            <v>27</v>
          </cell>
          <cell r="B36" t="str">
            <v>PATENTS</v>
          </cell>
          <cell r="C36">
            <v>0</v>
          </cell>
          <cell r="I36">
            <v>0</v>
          </cell>
          <cell r="J36">
            <v>0</v>
          </cell>
        </row>
        <row r="37">
          <cell r="A37">
            <v>28</v>
          </cell>
          <cell r="B37" t="str">
            <v>GOODWILL</v>
          </cell>
          <cell r="C37">
            <v>0</v>
          </cell>
          <cell r="I37">
            <v>0</v>
          </cell>
          <cell r="J37">
            <v>0</v>
          </cell>
        </row>
        <row r="39">
          <cell r="B39" t="str">
            <v>PROPERTY PLANT &amp;  EQUIPMENT</v>
          </cell>
        </row>
        <row r="40">
          <cell r="A40">
            <v>29</v>
          </cell>
          <cell r="B40" t="str">
            <v xml:space="preserve"> LAND, LAND IMPROVE. &amp; MIN. DEP.</v>
          </cell>
          <cell r="C40">
            <v>0</v>
          </cell>
          <cell r="I40">
            <v>0</v>
          </cell>
          <cell r="J40">
            <v>0</v>
          </cell>
        </row>
        <row r="41">
          <cell r="A41">
            <v>30</v>
          </cell>
          <cell r="B41" t="str">
            <v xml:space="preserve"> BUILDINGS</v>
          </cell>
          <cell r="C41">
            <v>294.61</v>
          </cell>
          <cell r="I41">
            <v>294.61</v>
          </cell>
          <cell r="J41">
            <v>294.61</v>
          </cell>
        </row>
        <row r="42">
          <cell r="A42">
            <v>31</v>
          </cell>
          <cell r="B42" t="str">
            <v xml:space="preserve"> MACHINERY &amp; EQUIPMENT</v>
          </cell>
          <cell r="C42">
            <v>1157.9166</v>
          </cell>
          <cell r="I42">
            <v>1157.9166</v>
          </cell>
          <cell r="J42">
            <v>1157.9166</v>
          </cell>
        </row>
        <row r="43">
          <cell r="A43">
            <v>32</v>
          </cell>
          <cell r="B43" t="str">
            <v xml:space="preserve">     TOTAL PROPERTIES - GROSS</v>
          </cell>
          <cell r="C43">
            <v>1452.5266000000001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1452.5266000000001</v>
          </cell>
          <cell r="J43">
            <v>1452.5266000000001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33</v>
          </cell>
          <cell r="B44" t="str">
            <v xml:space="preserve">  LESS ALLOW. FOR DEPR. &amp; AMORT.</v>
          </cell>
          <cell r="C44">
            <v>788.17600000000004</v>
          </cell>
          <cell r="I44">
            <v>788.17600000000004</v>
          </cell>
          <cell r="J44">
            <v>788.17600000000004</v>
          </cell>
        </row>
        <row r="45">
          <cell r="A45">
            <v>34</v>
          </cell>
          <cell r="B45" t="str">
            <v xml:space="preserve">     TOTAL PROPERTIES - NET</v>
          </cell>
          <cell r="C45">
            <v>664.3506000000001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664.3506000000001</v>
          </cell>
          <cell r="J45">
            <v>664.3506000000001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7">
          <cell r="A47">
            <v>35</v>
          </cell>
          <cell r="B47" t="str">
            <v xml:space="preserve">     TOTAL ASSETS (LINE B-34)</v>
          </cell>
          <cell r="C47">
            <v>7209.2711200000003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7209.2711200000003</v>
          </cell>
          <cell r="J47">
            <v>7209.2711200000003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 t="str">
            <v xml:space="preserve"> </v>
          </cell>
          <cell r="H48" t="str">
            <v xml:space="preserve"> </v>
          </cell>
        </row>
        <row r="49">
          <cell r="A49">
            <v>36</v>
          </cell>
          <cell r="B49" t="str">
            <v>CAPITAL EXPENDITURES</v>
          </cell>
          <cell r="C49">
            <v>0</v>
          </cell>
          <cell r="I49">
            <v>0</v>
          </cell>
        </row>
        <row r="52">
          <cell r="A52" t="str">
            <v>M-I DRILLING FLUIDS - VIETNAM J/V CO.</v>
          </cell>
          <cell r="C52" t="str">
            <v>November 2002</v>
          </cell>
        </row>
        <row r="53">
          <cell r="A53" t="str">
            <v>COMPANY  /   BRANCH   /   DIVISION</v>
          </cell>
        </row>
        <row r="55">
          <cell r="B55" t="str">
            <v>7739</v>
          </cell>
        </row>
        <row r="56">
          <cell r="A56" t="str">
            <v>IDENTIFICATION NUMBER</v>
          </cell>
        </row>
      </sheetData>
      <sheetData sheetId="2" refreshError="1"/>
      <sheetData sheetId="3" refreshError="1">
        <row r="1">
          <cell r="A1" t="str">
            <v>FORM MI-3 (12/94 REV)</v>
          </cell>
        </row>
        <row r="2">
          <cell r="A2" t="str">
            <v>COMPANY / BRANCH / DIVISION</v>
          </cell>
          <cell r="H2" t="str">
            <v>CURRENT</v>
          </cell>
          <cell r="I2" t="str">
            <v>YTD</v>
          </cell>
        </row>
        <row r="3">
          <cell r="A3" t="str">
            <v>M-I DRILLING FLUIDS VIETNAM J/V COMPANY</v>
          </cell>
          <cell r="B3" t="str">
            <v>STATEMENT OF EARNINGS</v>
          </cell>
          <cell r="C3" t="str">
            <v>TOTAL</v>
          </cell>
          <cell r="E3" t="str">
            <v>AGING ANALYSIS</v>
          </cell>
          <cell r="H3" t="str">
            <v>DRILLING</v>
          </cell>
          <cell r="I3" t="str">
            <v xml:space="preserve">DRILLING </v>
          </cell>
        </row>
        <row r="4">
          <cell r="A4" t="str">
            <v>E</v>
          </cell>
          <cell r="B4" t="str">
            <v>(EXPRESSED IN U. S. $000)</v>
          </cell>
          <cell r="C4" t="str">
            <v>ENTITY</v>
          </cell>
          <cell r="D4" t="str">
            <v>ELIM</v>
          </cell>
          <cell r="E4" t="str">
            <v>MINERALS</v>
          </cell>
          <cell r="F4" t="str">
            <v>EXECUTIVE</v>
          </cell>
          <cell r="G4" t="str">
            <v xml:space="preserve"> </v>
          </cell>
          <cell r="H4" t="str">
            <v>FLUIDS</v>
          </cell>
          <cell r="I4" t="str">
            <v>FLUIDS</v>
          </cell>
        </row>
        <row r="5">
          <cell r="A5" t="str">
            <v>November 2002</v>
          </cell>
          <cell r="E5" t="str">
            <v>(EXPRESSED IN U. S. $000)</v>
          </cell>
          <cell r="H5" t="str">
            <v xml:space="preserve"> </v>
          </cell>
        </row>
        <row r="6">
          <cell r="A6">
            <v>1</v>
          </cell>
          <cell r="B6" t="str">
            <v xml:space="preserve"> NET SALES &amp; SERVICE REVENUE</v>
          </cell>
          <cell r="C6">
            <v>1336.854879999999</v>
          </cell>
          <cell r="D6" t="str">
            <v>CURRENT - (NOT YET DUE)</v>
          </cell>
          <cell r="H6">
            <v>1336.854879999999</v>
          </cell>
          <cell r="I6">
            <v>11388.06335</v>
          </cell>
        </row>
        <row r="7">
          <cell r="A7">
            <v>1</v>
          </cell>
          <cell r="B7" t="str">
            <v xml:space="preserve"> COST OF SALES</v>
          </cell>
          <cell r="C7">
            <v>0</v>
          </cell>
          <cell r="D7" t="str">
            <v>SPECIAL</v>
          </cell>
          <cell r="F7" t="str">
            <v>1 - 30</v>
          </cell>
          <cell r="G7" t="str">
            <v>31 - 90</v>
          </cell>
          <cell r="H7" t="str">
            <v>91 - 180</v>
          </cell>
          <cell r="I7">
            <v>0</v>
          </cell>
        </row>
        <row r="8">
          <cell r="A8">
            <v>2</v>
          </cell>
          <cell r="B8" t="str">
            <v xml:space="preserve">   STANDARD COST OF SALES</v>
          </cell>
          <cell r="C8">
            <v>832.22746000000006</v>
          </cell>
          <cell r="D8" t="str">
            <v>TERMS</v>
          </cell>
          <cell r="E8" t="str">
            <v>TOTAL</v>
          </cell>
          <cell r="F8" t="str">
            <v>DAYS</v>
          </cell>
          <cell r="G8" t="str">
            <v>DAYS</v>
          </cell>
          <cell r="H8">
            <v>832.22746000000006</v>
          </cell>
          <cell r="I8">
            <v>6574.2761100000007</v>
          </cell>
        </row>
        <row r="9">
          <cell r="A9">
            <v>3</v>
          </cell>
          <cell r="B9" t="str">
            <v xml:space="preserve">   OTHER COST OF SALES</v>
          </cell>
          <cell r="C9">
            <v>0.7061999999999955</v>
          </cell>
          <cell r="E9">
            <v>35.352640000000001</v>
          </cell>
          <cell r="F9">
            <v>244.11521999999999</v>
          </cell>
          <cell r="G9">
            <v>12.640700000000001</v>
          </cell>
          <cell r="H9">
            <v>0.7061999999999955</v>
          </cell>
          <cell r="I9">
            <v>98.219679999999997</v>
          </cell>
        </row>
        <row r="10">
          <cell r="A10">
            <v>4</v>
          </cell>
          <cell r="B10" t="str">
            <v xml:space="preserve">   MANUFACTURING COST</v>
          </cell>
          <cell r="C10">
            <v>0</v>
          </cell>
          <cell r="E10">
            <v>455.90532999999999</v>
          </cell>
          <cell r="F10">
            <v>45.56015</v>
          </cell>
          <cell r="H10">
            <v>0</v>
          </cell>
          <cell r="I10">
            <v>0</v>
          </cell>
        </row>
        <row r="11">
          <cell r="A11">
            <v>5</v>
          </cell>
          <cell r="B11" t="str">
            <v xml:space="preserve">   DISTRIBUTION COST/RETAIL COMM.</v>
          </cell>
          <cell r="C11">
            <v>39.698440000000005</v>
          </cell>
          <cell r="E11">
            <v>489.33859000000001</v>
          </cell>
          <cell r="F11">
            <v>-77.175060000000002</v>
          </cell>
          <cell r="H11">
            <v>39.698440000000005</v>
          </cell>
          <cell r="I11">
            <v>429.40224000000006</v>
          </cell>
        </row>
        <row r="12">
          <cell r="A12">
            <v>6</v>
          </cell>
          <cell r="B12" t="str">
            <v xml:space="preserve">   FLUID HANDLING/PROCESSING COST</v>
          </cell>
          <cell r="C12">
            <v>2</v>
          </cell>
          <cell r="E12">
            <v>0</v>
          </cell>
          <cell r="H12">
            <v>2</v>
          </cell>
          <cell r="I12">
            <v>157.93117000000001</v>
          </cell>
        </row>
        <row r="13">
          <cell r="A13">
            <v>7</v>
          </cell>
          <cell r="B13" t="str">
            <v xml:space="preserve">   RESEARCH &amp; DEVELOPMENT COST</v>
          </cell>
          <cell r="C13">
            <v>0</v>
          </cell>
          <cell r="E13">
            <v>132.74379999999999</v>
          </cell>
          <cell r="F13">
            <v>188.65403000000001</v>
          </cell>
          <cell r="G13">
            <v>40.379449999999999</v>
          </cell>
          <cell r="H13">
            <v>0</v>
          </cell>
        </row>
        <row r="14">
          <cell r="A14">
            <v>8</v>
          </cell>
          <cell r="B14" t="str">
            <v xml:space="preserve">   INV. PERIOD COST COMPL. EXP. (INC.)</v>
          </cell>
          <cell r="C14">
            <v>0</v>
          </cell>
          <cell r="E14">
            <v>0</v>
          </cell>
          <cell r="F14">
            <v>-85.175690000000003</v>
          </cell>
          <cell r="G14">
            <v>98.494839999999996</v>
          </cell>
          <cell r="H14">
            <v>0</v>
          </cell>
          <cell r="I14">
            <v>0</v>
          </cell>
        </row>
        <row r="15">
          <cell r="A15">
            <v>9</v>
          </cell>
          <cell r="B15" t="str">
            <v xml:space="preserve">       TOTAL COST OF SALES</v>
          </cell>
          <cell r="C15">
            <v>874.63210000000004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874.63210000000004</v>
          </cell>
          <cell r="I15">
            <v>7259.829200000001</v>
          </cell>
        </row>
        <row r="16">
          <cell r="A16">
            <v>10</v>
          </cell>
          <cell r="B16" t="str">
            <v xml:space="preserve">          GROSS PROFIT</v>
          </cell>
          <cell r="C16">
            <v>462.22277999999892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462.22277999999892</v>
          </cell>
          <cell r="I16">
            <v>4128.2341499999993</v>
          </cell>
        </row>
        <row r="17">
          <cell r="A17">
            <v>10</v>
          </cell>
          <cell r="B17" t="str">
            <v xml:space="preserve"> OPERATING EXPENSE</v>
          </cell>
          <cell r="C17">
            <v>0</v>
          </cell>
          <cell r="E17">
            <v>0</v>
          </cell>
          <cell r="F17">
            <v>2.2357200000000002</v>
          </cell>
          <cell r="I17">
            <v>0</v>
          </cell>
        </row>
        <row r="18">
          <cell r="A18">
            <v>11</v>
          </cell>
          <cell r="B18" t="str">
            <v xml:space="preserve">    SELLING</v>
          </cell>
          <cell r="C18">
            <v>144.1559299999999</v>
          </cell>
          <cell r="E18">
            <v>0</v>
          </cell>
          <cell r="H18">
            <v>144.1559299999999</v>
          </cell>
          <cell r="I18">
            <v>1210.93382</v>
          </cell>
        </row>
        <row r="19">
          <cell r="A19">
            <v>12</v>
          </cell>
          <cell r="B19" t="str">
            <v xml:space="preserve">    GENERAL &amp; ADMINISTRATIVE</v>
          </cell>
          <cell r="C19">
            <v>29.479620000000011</v>
          </cell>
          <cell r="E19">
            <v>0</v>
          </cell>
          <cell r="H19">
            <v>29.479620000000011</v>
          </cell>
          <cell r="I19">
            <v>270.20357000000001</v>
          </cell>
        </row>
        <row r="20">
          <cell r="A20">
            <v>13</v>
          </cell>
          <cell r="B20" t="str">
            <v xml:space="preserve">        TOTAL OPERATING EXPENSE</v>
          </cell>
          <cell r="C20">
            <v>173.63554999999991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173.63554999999991</v>
          </cell>
          <cell r="I20">
            <v>1481.1373899999999</v>
          </cell>
        </row>
        <row r="21">
          <cell r="A21">
            <v>14</v>
          </cell>
          <cell r="B21" t="str">
            <v xml:space="preserve">           OPERATING EARNINGS</v>
          </cell>
          <cell r="C21">
            <v>288.58722999999901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288.58722999999901</v>
          </cell>
          <cell r="I21">
            <v>2647.0967599999994</v>
          </cell>
        </row>
        <row r="22">
          <cell r="A22">
            <v>15</v>
          </cell>
          <cell r="B22" t="str">
            <v xml:space="preserve"> OTHER INCOME  /  (EXPENSE)</v>
          </cell>
          <cell r="C22">
            <v>0</v>
          </cell>
          <cell r="E22">
            <v>0</v>
          </cell>
          <cell r="I22">
            <v>0</v>
          </cell>
        </row>
        <row r="23">
          <cell r="A23">
            <v>15</v>
          </cell>
          <cell r="B23" t="str">
            <v xml:space="preserve">   DIVIDENDS RECEIVED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2464.7200399999997</v>
          </cell>
        </row>
        <row r="24">
          <cell r="A24">
            <v>16</v>
          </cell>
          <cell r="B24" t="str">
            <v xml:space="preserve">   ROYALTIES EARNED</v>
          </cell>
          <cell r="C24">
            <v>0</v>
          </cell>
          <cell r="E24">
            <v>0</v>
          </cell>
          <cell r="H24">
            <v>0</v>
          </cell>
        </row>
        <row r="25">
          <cell r="A25">
            <v>17</v>
          </cell>
          <cell r="B25" t="str">
            <v xml:space="preserve">   GAIN (LOSS) ON SALE OF ASSETS</v>
          </cell>
          <cell r="C25">
            <v>0</v>
          </cell>
          <cell r="E25">
            <v>0</v>
          </cell>
          <cell r="H25">
            <v>0</v>
          </cell>
          <cell r="I25">
            <v>0</v>
          </cell>
        </row>
        <row r="26">
          <cell r="A26">
            <v>18</v>
          </cell>
          <cell r="B26" t="str">
            <v xml:space="preserve">   (UNASSIGNED)</v>
          </cell>
          <cell r="C26">
            <v>0</v>
          </cell>
          <cell r="E26">
            <v>59.535580000000003</v>
          </cell>
          <cell r="H26">
            <v>0</v>
          </cell>
          <cell r="I26">
            <v>0</v>
          </cell>
        </row>
        <row r="27">
          <cell r="A27">
            <v>19</v>
          </cell>
          <cell r="B27" t="str">
            <v xml:space="preserve">   EQUITY EARNINGS (LOSS)</v>
          </cell>
          <cell r="C27">
            <v>0</v>
          </cell>
          <cell r="E27">
            <v>0</v>
          </cell>
          <cell r="H27">
            <v>0</v>
          </cell>
          <cell r="I27">
            <v>0</v>
          </cell>
        </row>
        <row r="28">
          <cell r="A28">
            <v>20</v>
          </cell>
          <cell r="B28" t="str">
            <v xml:space="preserve">   FOREIGN EXCH. CONVERSION (LOSS)</v>
          </cell>
          <cell r="C28">
            <v>3.0055499999999995</v>
          </cell>
          <cell r="E28">
            <v>0</v>
          </cell>
          <cell r="H28">
            <v>3.0055499999999995</v>
          </cell>
          <cell r="I28">
            <v>12.660639999999999</v>
          </cell>
        </row>
        <row r="29">
          <cell r="A29">
            <v>21</v>
          </cell>
          <cell r="B29" t="str">
            <v xml:space="preserve">   TRANSLATION RATE CHANGE (LOSS)</v>
          </cell>
          <cell r="C29">
            <v>0</v>
          </cell>
          <cell r="E29">
            <v>25.724599999999999</v>
          </cell>
          <cell r="H29">
            <v>0</v>
          </cell>
          <cell r="I29">
            <v>0</v>
          </cell>
        </row>
        <row r="30">
          <cell r="A30">
            <v>22</v>
          </cell>
          <cell r="B30" t="str">
            <v xml:space="preserve">   OTHER INCOME (EXPENSE)</v>
          </cell>
          <cell r="C30">
            <v>1.9569299999999927</v>
          </cell>
          <cell r="E30">
            <v>0</v>
          </cell>
          <cell r="H30">
            <v>1.9569299999999927</v>
          </cell>
          <cell r="I30">
            <v>49.443929999999995</v>
          </cell>
        </row>
        <row r="31">
          <cell r="A31">
            <v>23</v>
          </cell>
          <cell r="B31" t="str">
            <v xml:space="preserve">       TOTAL OTHER INCOME (EXPENSE)</v>
          </cell>
          <cell r="C31">
            <v>4.9624799999999922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4.9624799999999922</v>
          </cell>
          <cell r="I31">
            <v>62.104569999999995</v>
          </cell>
        </row>
        <row r="32">
          <cell r="A32">
            <v>24</v>
          </cell>
          <cell r="B32" t="str">
            <v xml:space="preserve">   EARNINGS BEF. INTEREST &amp; TAXES</v>
          </cell>
          <cell r="C32">
            <v>293.54970999999898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293.54970999999898</v>
          </cell>
          <cell r="I32">
            <v>2709.2013299999994</v>
          </cell>
        </row>
        <row r="33">
          <cell r="A33">
            <v>25</v>
          </cell>
          <cell r="B33" t="str">
            <v xml:space="preserve"> INTEREST INCOME</v>
          </cell>
          <cell r="C33">
            <v>2.4776600000000002</v>
          </cell>
          <cell r="E33">
            <v>0</v>
          </cell>
          <cell r="H33">
            <v>2.4776600000000002</v>
          </cell>
          <cell r="I33">
            <v>11.67421</v>
          </cell>
        </row>
        <row r="34">
          <cell r="A34">
            <v>26</v>
          </cell>
          <cell r="B34" t="str">
            <v xml:space="preserve"> INTEREST EXPENSE</v>
          </cell>
          <cell r="C34">
            <v>0</v>
          </cell>
          <cell r="E34">
            <v>0</v>
          </cell>
          <cell r="H34">
            <v>0</v>
          </cell>
          <cell r="I34">
            <v>0</v>
          </cell>
        </row>
        <row r="35">
          <cell r="B35" t="str">
            <v xml:space="preserve"> PROVISION FOR TAXES ON INCOME</v>
          </cell>
          <cell r="E35">
            <v>0</v>
          </cell>
          <cell r="H35">
            <v>0</v>
          </cell>
        </row>
        <row r="36">
          <cell r="A36">
            <v>27</v>
          </cell>
          <cell r="B36" t="str">
            <v xml:space="preserve">   U.S. TAXES - CURRENT</v>
          </cell>
          <cell r="C36">
            <v>0</v>
          </cell>
          <cell r="E36">
            <v>0</v>
          </cell>
          <cell r="H36">
            <v>0</v>
          </cell>
          <cell r="I36">
            <v>0</v>
          </cell>
        </row>
        <row r="37">
          <cell r="A37">
            <v>28</v>
          </cell>
          <cell r="B37" t="str">
            <v xml:space="preserve">   STATE TAXES - CURRENT</v>
          </cell>
          <cell r="C37">
            <v>0</v>
          </cell>
          <cell r="E37">
            <v>0</v>
          </cell>
          <cell r="H37">
            <v>0</v>
          </cell>
          <cell r="I37">
            <v>939.10599999999999</v>
          </cell>
        </row>
        <row r="38">
          <cell r="A38">
            <v>29</v>
          </cell>
          <cell r="B38" t="str">
            <v xml:space="preserve">   FOREIGN TAXES - CURRENT</v>
          </cell>
          <cell r="C38">
            <v>50</v>
          </cell>
          <cell r="D38">
            <v>0</v>
          </cell>
          <cell r="E38">
            <v>1487.85754</v>
          </cell>
          <cell r="F38">
            <v>472.08334000000002</v>
          </cell>
          <cell r="G38">
            <v>65.943520000000007</v>
          </cell>
          <cell r="H38">
            <v>50</v>
          </cell>
          <cell r="I38">
            <v>565</v>
          </cell>
        </row>
        <row r="39">
          <cell r="A39">
            <v>30</v>
          </cell>
          <cell r="B39" t="str">
            <v xml:space="preserve">   U.S. TAXES - DEFERRED</v>
          </cell>
          <cell r="C39">
            <v>0</v>
          </cell>
          <cell r="H39">
            <v>0</v>
          </cell>
          <cell r="I39">
            <v>3805.4450799999977</v>
          </cell>
        </row>
        <row r="40">
          <cell r="A40">
            <v>31</v>
          </cell>
          <cell r="B40" t="str">
            <v xml:space="preserve">   FOREIGN TAXES - DEFERRED</v>
          </cell>
          <cell r="C40">
            <v>0</v>
          </cell>
          <cell r="H40">
            <v>0</v>
          </cell>
          <cell r="I40">
            <v>0</v>
          </cell>
        </row>
        <row r="41">
          <cell r="A41">
            <v>32</v>
          </cell>
          <cell r="B41" t="str">
            <v xml:space="preserve">        TOTAL TAXES</v>
          </cell>
          <cell r="C41">
            <v>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50</v>
          </cell>
          <cell r="I41">
            <v>565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8">
          <cell r="Q18">
            <v>4012329.7157999999</v>
          </cell>
        </row>
        <row r="19">
          <cell r="Q19">
            <v>61874.370299999988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7">
          <cell r="Q27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GTGT"/>
      <sheetName val="BANRA"/>
      <sheetName val="MUAVAO"/>
      <sheetName val="MUAVAO3%"/>
      <sheetName val="DATA"/>
      <sheetName val="CDPS"/>
      <sheetName val="KQKD"/>
      <sheetName val="CONGNO"/>
      <sheetName val="THUE"/>
      <sheetName val="hoadon"/>
      <sheetName val="hoadon 1"/>
      <sheetName val="TNDN_uoc"/>
      <sheetName val="TNDN_qt2"/>
      <sheetName val="QT_HD"/>
      <sheetName val="TNDN_qt"/>
      <sheetName val="HD"/>
      <sheetName val="NVL"/>
      <sheetName val="HH"/>
      <sheetName val="CDKT"/>
      <sheetName val="Z"/>
      <sheetName val="phieuchi"/>
      <sheetName val="TT"/>
      <sheetName val="phieuthu"/>
      <sheetName val="TSCD"/>
      <sheetName val="Module1"/>
      <sheetName val="Module4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H12" t="str">
            <v>NO</v>
          </cell>
          <cell r="I12" t="str">
            <v>CO</v>
          </cell>
          <cell r="J12" t="str">
            <v xml:space="preserve"> SOTIEN </v>
          </cell>
          <cell r="K12" t="str">
            <v>MANO</v>
          </cell>
          <cell r="L12" t="str">
            <v>MACO</v>
          </cell>
        </row>
        <row r="13">
          <cell r="H13">
            <v>0</v>
          </cell>
          <cell r="I13">
            <v>0</v>
          </cell>
          <cell r="J13" t="str">
            <v xml:space="preserve"> </v>
          </cell>
        </row>
        <row r="14">
          <cell r="H14">
            <v>0</v>
          </cell>
          <cell r="I14">
            <v>0</v>
          </cell>
          <cell r="J14">
            <v>0</v>
          </cell>
          <cell r="L14" t="str">
            <v/>
          </cell>
        </row>
        <row r="15">
          <cell r="H15">
            <v>131</v>
          </cell>
          <cell r="I15">
            <v>511</v>
          </cell>
          <cell r="J15">
            <v>872720</v>
          </cell>
          <cell r="K15" t="str">
            <v>131_XL4</v>
          </cell>
        </row>
        <row r="16">
          <cell r="H16">
            <v>131</v>
          </cell>
          <cell r="I16">
            <v>3331</v>
          </cell>
          <cell r="J16">
            <v>87272</v>
          </cell>
          <cell r="K16" t="str">
            <v>131_XL4</v>
          </cell>
        </row>
        <row r="17">
          <cell r="H17">
            <v>111</v>
          </cell>
          <cell r="I17">
            <v>511</v>
          </cell>
          <cell r="J17">
            <v>500000</v>
          </cell>
          <cell r="K17" t="str">
            <v>a</v>
          </cell>
          <cell r="L17" t="str">
            <v>131_BTL</v>
          </cell>
        </row>
        <row r="18">
          <cell r="H18">
            <v>111</v>
          </cell>
          <cell r="I18">
            <v>3331</v>
          </cell>
          <cell r="J18">
            <v>50000</v>
          </cell>
          <cell r="K18" t="str">
            <v>a</v>
          </cell>
        </row>
        <row r="19">
          <cell r="H19">
            <v>111</v>
          </cell>
          <cell r="I19">
            <v>131</v>
          </cell>
          <cell r="J19">
            <v>87272</v>
          </cell>
          <cell r="L19" t="str">
            <v>131_XL4</v>
          </cell>
        </row>
        <row r="20">
          <cell r="H20">
            <v>111</v>
          </cell>
          <cell r="I20">
            <v>511</v>
          </cell>
          <cell r="J20">
            <v>1727270</v>
          </cell>
          <cell r="K20" t="str">
            <v>a</v>
          </cell>
          <cell r="L20" t="str">
            <v>131_NP</v>
          </cell>
        </row>
        <row r="21">
          <cell r="H21">
            <v>111</v>
          </cell>
          <cell r="I21">
            <v>3331</v>
          </cell>
          <cell r="J21">
            <v>172727</v>
          </cell>
          <cell r="K21" t="str">
            <v>a</v>
          </cell>
        </row>
        <row r="22">
          <cell r="H22">
            <v>131</v>
          </cell>
          <cell r="I22">
            <v>511</v>
          </cell>
          <cell r="J22">
            <v>872720</v>
          </cell>
          <cell r="K22" t="str">
            <v>131_XL4</v>
          </cell>
        </row>
        <row r="23">
          <cell r="H23">
            <v>131</v>
          </cell>
          <cell r="I23">
            <v>3331</v>
          </cell>
          <cell r="J23">
            <v>87272</v>
          </cell>
          <cell r="K23" t="str">
            <v>131_XL4</v>
          </cell>
        </row>
        <row r="24">
          <cell r="H24">
            <v>111</v>
          </cell>
          <cell r="I24">
            <v>131</v>
          </cell>
          <cell r="J24">
            <v>872720</v>
          </cell>
          <cell r="L24" t="str">
            <v>131_XL4</v>
          </cell>
        </row>
        <row r="25">
          <cell r="H25">
            <v>111</v>
          </cell>
          <cell r="I25">
            <v>511</v>
          </cell>
          <cell r="J25">
            <v>500000</v>
          </cell>
          <cell r="K25" t="str">
            <v>a</v>
          </cell>
          <cell r="L25" t="str">
            <v>131_BTL</v>
          </cell>
        </row>
        <row r="26">
          <cell r="H26">
            <v>111</v>
          </cell>
          <cell r="I26">
            <v>3331</v>
          </cell>
          <cell r="J26">
            <v>50000</v>
          </cell>
          <cell r="K26" t="str">
            <v>a</v>
          </cell>
        </row>
        <row r="27">
          <cell r="H27">
            <v>111</v>
          </cell>
          <cell r="I27">
            <v>511</v>
          </cell>
          <cell r="J27">
            <v>1840000</v>
          </cell>
          <cell r="K27" t="str">
            <v>a</v>
          </cell>
          <cell r="L27" t="str">
            <v>131_DNAM</v>
          </cell>
        </row>
        <row r="28">
          <cell r="H28">
            <v>111</v>
          </cell>
          <cell r="I28">
            <v>3331</v>
          </cell>
          <cell r="J28">
            <v>184000</v>
          </cell>
          <cell r="K28" t="str">
            <v>a</v>
          </cell>
        </row>
        <row r="29">
          <cell r="H29">
            <v>111</v>
          </cell>
          <cell r="I29">
            <v>511</v>
          </cell>
          <cell r="J29">
            <v>230000</v>
          </cell>
          <cell r="K29" t="str">
            <v>a</v>
          </cell>
          <cell r="L29" t="str">
            <v>131_BTL</v>
          </cell>
        </row>
        <row r="30">
          <cell r="H30">
            <v>111</v>
          </cell>
          <cell r="I30">
            <v>3331</v>
          </cell>
          <cell r="J30">
            <v>23000</v>
          </cell>
          <cell r="K30" t="str">
            <v>a</v>
          </cell>
        </row>
        <row r="31">
          <cell r="H31">
            <v>111</v>
          </cell>
          <cell r="I31">
            <v>511</v>
          </cell>
          <cell r="J31">
            <v>2249983</v>
          </cell>
          <cell r="K31" t="str">
            <v>a</v>
          </cell>
          <cell r="L31" t="str">
            <v>131_CAM</v>
          </cell>
        </row>
        <row r="32">
          <cell r="H32">
            <v>111</v>
          </cell>
          <cell r="I32">
            <v>3331</v>
          </cell>
          <cell r="J32">
            <v>224998</v>
          </cell>
          <cell r="K32" t="str">
            <v>a</v>
          </cell>
        </row>
        <row r="33">
          <cell r="H33">
            <v>111</v>
          </cell>
          <cell r="I33">
            <v>511</v>
          </cell>
          <cell r="J33">
            <v>1309080</v>
          </cell>
          <cell r="K33" t="str">
            <v>a</v>
          </cell>
        </row>
        <row r="34">
          <cell r="H34">
            <v>111</v>
          </cell>
          <cell r="I34">
            <v>3331</v>
          </cell>
          <cell r="J34">
            <v>130908</v>
          </cell>
          <cell r="K34" t="str">
            <v>a</v>
          </cell>
        </row>
        <row r="35">
          <cell r="H35">
            <v>111</v>
          </cell>
          <cell r="I35">
            <v>511</v>
          </cell>
          <cell r="J35">
            <v>545000</v>
          </cell>
          <cell r="K35" t="str">
            <v>b</v>
          </cell>
          <cell r="L35" t="str">
            <v>131_BTL</v>
          </cell>
        </row>
        <row r="36">
          <cell r="H36">
            <v>111</v>
          </cell>
          <cell r="I36">
            <v>3331</v>
          </cell>
          <cell r="J36">
            <v>54500</v>
          </cell>
          <cell r="K36" t="str">
            <v>b</v>
          </cell>
        </row>
        <row r="37">
          <cell r="H37">
            <v>111</v>
          </cell>
          <cell r="I37">
            <v>511</v>
          </cell>
          <cell r="J37">
            <v>3409085</v>
          </cell>
          <cell r="K37" t="str">
            <v>b</v>
          </cell>
          <cell r="L37" t="str">
            <v>131_TOAN</v>
          </cell>
        </row>
        <row r="38">
          <cell r="H38">
            <v>111</v>
          </cell>
          <cell r="I38">
            <v>3331</v>
          </cell>
          <cell r="J38">
            <v>340909</v>
          </cell>
          <cell r="K38" t="str">
            <v>b</v>
          </cell>
        </row>
        <row r="39">
          <cell r="H39">
            <v>111</v>
          </cell>
          <cell r="I39">
            <v>511</v>
          </cell>
          <cell r="J39">
            <v>49963632</v>
          </cell>
          <cell r="K39" t="str">
            <v>b</v>
          </cell>
          <cell r="L39" t="str">
            <v>131_TOAN</v>
          </cell>
        </row>
        <row r="40">
          <cell r="H40">
            <v>111</v>
          </cell>
          <cell r="I40">
            <v>3331</v>
          </cell>
          <cell r="J40">
            <v>4996363</v>
          </cell>
          <cell r="K40" t="str">
            <v>b</v>
          </cell>
        </row>
        <row r="41">
          <cell r="H41">
            <v>111</v>
          </cell>
          <cell r="I41">
            <v>511</v>
          </cell>
          <cell r="J41">
            <v>6509060</v>
          </cell>
          <cell r="K41" t="str">
            <v>c</v>
          </cell>
          <cell r="L41" t="str">
            <v>131_CKCT2</v>
          </cell>
        </row>
        <row r="42">
          <cell r="H42">
            <v>111</v>
          </cell>
          <cell r="I42">
            <v>3331</v>
          </cell>
          <cell r="J42">
            <v>650906</v>
          </cell>
          <cell r="K42" t="str">
            <v>c</v>
          </cell>
        </row>
        <row r="43">
          <cell r="H43">
            <v>111</v>
          </cell>
          <cell r="I43">
            <v>511</v>
          </cell>
          <cell r="J43">
            <v>1818180</v>
          </cell>
          <cell r="K43" t="str">
            <v>c</v>
          </cell>
          <cell r="L43" t="str">
            <v>131_XDBC</v>
          </cell>
        </row>
        <row r="44">
          <cell r="H44">
            <v>111</v>
          </cell>
          <cell r="I44">
            <v>3331</v>
          </cell>
          <cell r="J44">
            <v>181818</v>
          </cell>
          <cell r="K44" t="str">
            <v>c</v>
          </cell>
        </row>
        <row r="45">
          <cell r="H45">
            <v>111</v>
          </cell>
          <cell r="I45">
            <v>511</v>
          </cell>
          <cell r="J45">
            <v>5563641</v>
          </cell>
          <cell r="K45" t="str">
            <v>c</v>
          </cell>
          <cell r="L45" t="str">
            <v>131_XL6</v>
          </cell>
        </row>
        <row r="46">
          <cell r="H46">
            <v>111</v>
          </cell>
          <cell r="I46">
            <v>3331</v>
          </cell>
          <cell r="J46">
            <v>556364</v>
          </cell>
          <cell r="K46" t="str">
            <v>c</v>
          </cell>
        </row>
        <row r="47">
          <cell r="H47">
            <v>111</v>
          </cell>
          <cell r="I47">
            <v>511</v>
          </cell>
          <cell r="J47">
            <v>1430000</v>
          </cell>
          <cell r="K47" t="str">
            <v>c</v>
          </cell>
          <cell r="L47" t="str">
            <v>131_XL6</v>
          </cell>
        </row>
        <row r="48">
          <cell r="H48">
            <v>111</v>
          </cell>
          <cell r="I48">
            <v>3331</v>
          </cell>
          <cell r="J48">
            <v>143000</v>
          </cell>
          <cell r="K48" t="str">
            <v>c</v>
          </cell>
        </row>
        <row r="49">
          <cell r="H49">
            <v>111</v>
          </cell>
          <cell r="I49">
            <v>511</v>
          </cell>
          <cell r="J49">
            <v>90000</v>
          </cell>
        </row>
        <row r="50">
          <cell r="H50">
            <v>111</v>
          </cell>
          <cell r="I50">
            <v>3331</v>
          </cell>
          <cell r="J50">
            <v>9000</v>
          </cell>
        </row>
        <row r="51">
          <cell r="H51">
            <v>111</v>
          </cell>
          <cell r="I51">
            <v>511</v>
          </cell>
          <cell r="J51">
            <v>96415500</v>
          </cell>
          <cell r="K51" t="str">
            <v>c</v>
          </cell>
          <cell r="L51" t="str">
            <v>131_XL6</v>
          </cell>
        </row>
        <row r="52">
          <cell r="H52">
            <v>111</v>
          </cell>
          <cell r="I52">
            <v>3331</v>
          </cell>
          <cell r="J52">
            <v>5074500</v>
          </cell>
          <cell r="K52" t="str">
            <v>c</v>
          </cell>
        </row>
        <row r="53">
          <cell r="H53">
            <v>111</v>
          </cell>
          <cell r="I53">
            <v>511</v>
          </cell>
          <cell r="J53">
            <v>2322729</v>
          </cell>
          <cell r="K53" t="str">
            <v>c</v>
          </cell>
          <cell r="L53" t="str">
            <v>131_XL6</v>
          </cell>
        </row>
        <row r="54">
          <cell r="H54">
            <v>111</v>
          </cell>
          <cell r="I54">
            <v>3331</v>
          </cell>
          <cell r="J54">
            <v>232273</v>
          </cell>
          <cell r="K54" t="str">
            <v>c</v>
          </cell>
        </row>
        <row r="55">
          <cell r="H55">
            <v>111</v>
          </cell>
          <cell r="I55">
            <v>511</v>
          </cell>
          <cell r="J55">
            <v>3254545</v>
          </cell>
          <cell r="K55" t="str">
            <v>c</v>
          </cell>
          <cell r="L55" t="str">
            <v>131_XL6</v>
          </cell>
        </row>
        <row r="56">
          <cell r="H56">
            <v>111</v>
          </cell>
          <cell r="I56">
            <v>3331</v>
          </cell>
          <cell r="J56">
            <v>325454</v>
          </cell>
          <cell r="K56" t="str">
            <v>c</v>
          </cell>
        </row>
        <row r="57">
          <cell r="H57">
            <v>111</v>
          </cell>
          <cell r="I57">
            <v>511</v>
          </cell>
          <cell r="J57">
            <v>2681818</v>
          </cell>
          <cell r="K57" t="str">
            <v>c</v>
          </cell>
          <cell r="L57" t="str">
            <v>131_XL6</v>
          </cell>
        </row>
        <row r="58">
          <cell r="H58">
            <v>111</v>
          </cell>
          <cell r="I58">
            <v>3331</v>
          </cell>
          <cell r="J58">
            <v>268182</v>
          </cell>
          <cell r="K58" t="str">
            <v>c</v>
          </cell>
        </row>
        <row r="59">
          <cell r="H59">
            <v>111</v>
          </cell>
          <cell r="I59">
            <v>511</v>
          </cell>
          <cell r="J59">
            <v>1232722</v>
          </cell>
          <cell r="K59" t="str">
            <v>c</v>
          </cell>
        </row>
        <row r="60">
          <cell r="H60">
            <v>111</v>
          </cell>
          <cell r="I60">
            <v>3331</v>
          </cell>
          <cell r="J60">
            <v>123272</v>
          </cell>
          <cell r="K60" t="str">
            <v>c</v>
          </cell>
          <cell r="L60" t="str">
            <v>131_TNDIEN</v>
          </cell>
        </row>
        <row r="61">
          <cell r="H61">
            <v>111</v>
          </cell>
          <cell r="I61">
            <v>511</v>
          </cell>
          <cell r="J61">
            <v>1186364</v>
          </cell>
          <cell r="K61" t="str">
            <v>c</v>
          </cell>
        </row>
        <row r="62">
          <cell r="H62">
            <v>111</v>
          </cell>
          <cell r="I62">
            <v>3331</v>
          </cell>
          <cell r="J62">
            <v>118636</v>
          </cell>
          <cell r="K62" t="str">
            <v>c</v>
          </cell>
          <cell r="L62" t="str">
            <v>131_TNDIEN</v>
          </cell>
        </row>
        <row r="63">
          <cell r="H63">
            <v>111</v>
          </cell>
          <cell r="I63">
            <v>511</v>
          </cell>
          <cell r="J63">
            <v>1818180</v>
          </cell>
          <cell r="K63" t="str">
            <v>c</v>
          </cell>
        </row>
        <row r="64">
          <cell r="H64">
            <v>111</v>
          </cell>
          <cell r="I64">
            <v>3331</v>
          </cell>
          <cell r="J64">
            <v>181818</v>
          </cell>
          <cell r="K64" t="str">
            <v>c</v>
          </cell>
          <cell r="L64" t="str">
            <v>131_TNDIEN</v>
          </cell>
        </row>
        <row r="65">
          <cell r="H65">
            <v>111</v>
          </cell>
          <cell r="I65">
            <v>511</v>
          </cell>
          <cell r="J65">
            <v>1818182</v>
          </cell>
          <cell r="K65" t="str">
            <v>c</v>
          </cell>
        </row>
        <row r="66">
          <cell r="H66">
            <v>111</v>
          </cell>
          <cell r="I66">
            <v>3331</v>
          </cell>
          <cell r="J66">
            <v>181818</v>
          </cell>
          <cell r="K66" t="str">
            <v>c</v>
          </cell>
          <cell r="L66" t="str">
            <v>131_TNDIEN</v>
          </cell>
        </row>
        <row r="67">
          <cell r="H67">
            <v>111</v>
          </cell>
          <cell r="I67">
            <v>511</v>
          </cell>
          <cell r="J67">
            <v>1990717</v>
          </cell>
          <cell r="K67" t="str">
            <v>c</v>
          </cell>
        </row>
        <row r="68">
          <cell r="H68">
            <v>111</v>
          </cell>
          <cell r="I68">
            <v>3331</v>
          </cell>
          <cell r="J68">
            <v>99538</v>
          </cell>
          <cell r="K68" t="str">
            <v>c</v>
          </cell>
          <cell r="L68" t="str">
            <v>131_TNDIEN</v>
          </cell>
        </row>
        <row r="69">
          <cell r="H69">
            <v>131</v>
          </cell>
          <cell r="I69">
            <v>511</v>
          </cell>
          <cell r="J69">
            <v>192773486</v>
          </cell>
          <cell r="K69">
            <v>202758150</v>
          </cell>
        </row>
        <row r="70">
          <cell r="H70">
            <v>131</v>
          </cell>
          <cell r="I70">
            <v>3331</v>
          </cell>
          <cell r="J70">
            <v>9984664</v>
          </cell>
          <cell r="K70" t="str">
            <v>c</v>
          </cell>
          <cell r="L70" t="str">
            <v>131_TNDIEN</v>
          </cell>
        </row>
        <row r="71">
          <cell r="H71">
            <v>111</v>
          </cell>
          <cell r="I71">
            <v>511</v>
          </cell>
          <cell r="J71">
            <v>1477273</v>
          </cell>
          <cell r="K71" t="str">
            <v>c</v>
          </cell>
        </row>
        <row r="72">
          <cell r="H72">
            <v>111</v>
          </cell>
          <cell r="I72">
            <v>3331</v>
          </cell>
          <cell r="J72">
            <v>147727</v>
          </cell>
          <cell r="K72" t="str">
            <v>c</v>
          </cell>
          <cell r="L72" t="str">
            <v>131_TNDIEN</v>
          </cell>
        </row>
        <row r="73">
          <cell r="H73">
            <v>131</v>
          </cell>
          <cell r="I73">
            <v>511</v>
          </cell>
          <cell r="J73">
            <v>222857000</v>
          </cell>
          <cell r="K73">
            <v>234000000</v>
          </cell>
        </row>
        <row r="74">
          <cell r="H74">
            <v>131</v>
          </cell>
          <cell r="I74">
            <v>3331</v>
          </cell>
          <cell r="J74">
            <v>11143000</v>
          </cell>
          <cell r="K74">
            <v>436758150</v>
          </cell>
        </row>
        <row r="75">
          <cell r="H75">
            <v>111</v>
          </cell>
          <cell r="I75">
            <v>511</v>
          </cell>
          <cell r="J75">
            <v>2445455</v>
          </cell>
          <cell r="K75" t="str">
            <v>0</v>
          </cell>
          <cell r="L75">
            <v>1</v>
          </cell>
        </row>
        <row r="76">
          <cell r="H76">
            <v>111</v>
          </cell>
          <cell r="I76">
            <v>3331</v>
          </cell>
          <cell r="J76">
            <v>244545</v>
          </cell>
        </row>
        <row r="77">
          <cell r="H77">
            <v>111</v>
          </cell>
          <cell r="I77">
            <v>511</v>
          </cell>
          <cell r="J77">
            <v>300000</v>
          </cell>
          <cell r="K77">
            <v>0</v>
          </cell>
          <cell r="L77" t="str">
            <v>1</v>
          </cell>
        </row>
        <row r="78">
          <cell r="H78">
            <v>111</v>
          </cell>
          <cell r="I78">
            <v>3331</v>
          </cell>
          <cell r="J78">
            <v>30000</v>
          </cell>
        </row>
        <row r="79">
          <cell r="H79">
            <v>111</v>
          </cell>
          <cell r="I79">
            <v>511</v>
          </cell>
          <cell r="J79">
            <v>1727273</v>
          </cell>
          <cell r="K79">
            <v>0</v>
          </cell>
          <cell r="L79">
            <v>0</v>
          </cell>
        </row>
        <row r="80">
          <cell r="H80">
            <v>111</v>
          </cell>
          <cell r="I80">
            <v>3331</v>
          </cell>
          <cell r="J80">
            <v>172727</v>
          </cell>
        </row>
        <row r="81">
          <cell r="H81">
            <v>111</v>
          </cell>
          <cell r="I81">
            <v>511</v>
          </cell>
          <cell r="J81">
            <v>2590900</v>
          </cell>
          <cell r="K81">
            <v>0</v>
          </cell>
          <cell r="L81">
            <v>0</v>
          </cell>
        </row>
        <row r="82">
          <cell r="H82">
            <v>111</v>
          </cell>
          <cell r="I82">
            <v>3331</v>
          </cell>
          <cell r="J82">
            <v>259100</v>
          </cell>
        </row>
        <row r="83">
          <cell r="H83">
            <v>111</v>
          </cell>
          <cell r="I83">
            <v>511</v>
          </cell>
          <cell r="J83">
            <v>4481834</v>
          </cell>
          <cell r="K83">
            <v>0</v>
          </cell>
          <cell r="L83" t="str">
            <v>1</v>
          </cell>
        </row>
        <row r="84">
          <cell r="H84">
            <v>111</v>
          </cell>
          <cell r="I84">
            <v>3331</v>
          </cell>
          <cell r="J84">
            <v>448183</v>
          </cell>
        </row>
        <row r="85">
          <cell r="H85">
            <v>111</v>
          </cell>
          <cell r="I85">
            <v>511</v>
          </cell>
          <cell r="J85">
            <v>4590920</v>
          </cell>
          <cell r="K85">
            <v>0</v>
          </cell>
          <cell r="L85">
            <v>0</v>
          </cell>
        </row>
        <row r="86">
          <cell r="H86">
            <v>111</v>
          </cell>
          <cell r="I86">
            <v>3331</v>
          </cell>
          <cell r="J86">
            <v>459092</v>
          </cell>
        </row>
        <row r="87">
          <cell r="H87">
            <v>111</v>
          </cell>
          <cell r="I87">
            <v>511</v>
          </cell>
          <cell r="J87">
            <v>3090880</v>
          </cell>
          <cell r="K87">
            <v>0</v>
          </cell>
          <cell r="L87">
            <v>0</v>
          </cell>
        </row>
        <row r="88">
          <cell r="H88">
            <v>111</v>
          </cell>
          <cell r="I88">
            <v>3331</v>
          </cell>
          <cell r="J88">
            <v>309088</v>
          </cell>
        </row>
        <row r="89">
          <cell r="H89">
            <v>111</v>
          </cell>
          <cell r="I89">
            <v>511</v>
          </cell>
          <cell r="J89">
            <v>2045445</v>
          </cell>
          <cell r="K89">
            <v>0</v>
          </cell>
          <cell r="L89" t="str">
            <v>1</v>
          </cell>
        </row>
        <row r="90">
          <cell r="H90">
            <v>111</v>
          </cell>
          <cell r="I90">
            <v>3331</v>
          </cell>
          <cell r="J90">
            <v>204544</v>
          </cell>
        </row>
        <row r="91">
          <cell r="H91">
            <v>111</v>
          </cell>
          <cell r="I91">
            <v>511</v>
          </cell>
          <cell r="J91">
            <v>2109088</v>
          </cell>
          <cell r="K91" t="str">
            <v>060</v>
          </cell>
          <cell r="L91" t="str">
            <v>1</v>
          </cell>
        </row>
        <row r="92">
          <cell r="H92">
            <v>111</v>
          </cell>
          <cell r="I92">
            <v>3331</v>
          </cell>
          <cell r="J92">
            <v>210908</v>
          </cell>
        </row>
        <row r="93">
          <cell r="H93">
            <v>111</v>
          </cell>
          <cell r="I93">
            <v>511</v>
          </cell>
          <cell r="J93">
            <v>3318200</v>
          </cell>
          <cell r="K93" t="str">
            <v>242</v>
          </cell>
          <cell r="L93">
            <v>0</v>
          </cell>
        </row>
        <row r="94">
          <cell r="H94">
            <v>111</v>
          </cell>
          <cell r="I94">
            <v>3331</v>
          </cell>
          <cell r="J94">
            <v>331800</v>
          </cell>
        </row>
        <row r="95">
          <cell r="H95">
            <v>111</v>
          </cell>
          <cell r="I95">
            <v>511</v>
          </cell>
          <cell r="J95">
            <v>42300000</v>
          </cell>
          <cell r="K95">
            <v>0</v>
          </cell>
          <cell r="L95" t="str">
            <v>1</v>
          </cell>
        </row>
        <row r="96">
          <cell r="H96">
            <v>111</v>
          </cell>
          <cell r="I96">
            <v>3331</v>
          </cell>
          <cell r="J96">
            <v>2115000</v>
          </cell>
        </row>
        <row r="97">
          <cell r="H97">
            <v>111</v>
          </cell>
          <cell r="I97">
            <v>511</v>
          </cell>
          <cell r="J97">
            <v>4004545</v>
          </cell>
          <cell r="K97">
            <v>0</v>
          </cell>
          <cell r="L97">
            <v>0</v>
          </cell>
        </row>
        <row r="98">
          <cell r="H98">
            <v>111</v>
          </cell>
          <cell r="I98">
            <v>3331</v>
          </cell>
          <cell r="J98">
            <v>400455</v>
          </cell>
        </row>
        <row r="99">
          <cell r="H99">
            <v>111</v>
          </cell>
          <cell r="I99">
            <v>511</v>
          </cell>
          <cell r="J99">
            <v>316364</v>
          </cell>
          <cell r="K99">
            <v>0</v>
          </cell>
          <cell r="L99">
            <v>0</v>
          </cell>
        </row>
        <row r="100">
          <cell r="H100">
            <v>111</v>
          </cell>
          <cell r="I100">
            <v>3331</v>
          </cell>
          <cell r="J100">
            <v>31636</v>
          </cell>
        </row>
        <row r="101">
          <cell r="H101">
            <v>111</v>
          </cell>
          <cell r="I101">
            <v>511</v>
          </cell>
          <cell r="J101">
            <v>490908</v>
          </cell>
          <cell r="K101">
            <v>0</v>
          </cell>
          <cell r="L101">
            <v>0</v>
          </cell>
        </row>
        <row r="102">
          <cell r="H102">
            <v>111</v>
          </cell>
          <cell r="I102">
            <v>3331</v>
          </cell>
          <cell r="J102">
            <v>49091</v>
          </cell>
        </row>
        <row r="103">
          <cell r="H103">
            <v>111</v>
          </cell>
          <cell r="I103">
            <v>511</v>
          </cell>
          <cell r="J103">
            <v>2322726</v>
          </cell>
          <cell r="K103">
            <v>0</v>
          </cell>
          <cell r="L103" t="str">
            <v>1</v>
          </cell>
        </row>
        <row r="104">
          <cell r="H104">
            <v>111</v>
          </cell>
          <cell r="I104">
            <v>3331</v>
          </cell>
          <cell r="J104">
            <v>232273</v>
          </cell>
        </row>
        <row r="105">
          <cell r="H105">
            <v>111</v>
          </cell>
          <cell r="I105">
            <v>511</v>
          </cell>
          <cell r="J105">
            <v>8413659</v>
          </cell>
          <cell r="K105">
            <v>0</v>
          </cell>
          <cell r="L105">
            <v>0</v>
          </cell>
        </row>
        <row r="106">
          <cell r="H106">
            <v>111</v>
          </cell>
          <cell r="I106">
            <v>3331</v>
          </cell>
          <cell r="J106">
            <v>841366</v>
          </cell>
        </row>
        <row r="107">
          <cell r="H107">
            <v>111</v>
          </cell>
          <cell r="I107">
            <v>511</v>
          </cell>
          <cell r="J107">
            <v>2730000</v>
          </cell>
          <cell r="K107" t="str">
            <v>008</v>
          </cell>
          <cell r="L107" t="str">
            <v>1</v>
          </cell>
        </row>
        <row r="108">
          <cell r="H108">
            <v>111</v>
          </cell>
          <cell r="I108">
            <v>3331</v>
          </cell>
          <cell r="J108">
            <v>273000</v>
          </cell>
        </row>
        <row r="109">
          <cell r="H109">
            <v>111</v>
          </cell>
          <cell r="I109">
            <v>511</v>
          </cell>
          <cell r="J109">
            <v>6418182</v>
          </cell>
          <cell r="K109">
            <v>0</v>
          </cell>
          <cell r="L109">
            <v>0</v>
          </cell>
        </row>
        <row r="110">
          <cell r="H110">
            <v>111</v>
          </cell>
          <cell r="I110">
            <v>3331</v>
          </cell>
          <cell r="J110">
            <v>641818</v>
          </cell>
        </row>
        <row r="111">
          <cell r="H111">
            <v>111</v>
          </cell>
          <cell r="I111">
            <v>511</v>
          </cell>
          <cell r="J111">
            <v>910000</v>
          </cell>
          <cell r="K111">
            <v>0</v>
          </cell>
          <cell r="L111">
            <v>0</v>
          </cell>
        </row>
        <row r="112">
          <cell r="H112">
            <v>111</v>
          </cell>
          <cell r="I112">
            <v>3331</v>
          </cell>
          <cell r="J112">
            <v>91000</v>
          </cell>
        </row>
        <row r="113">
          <cell r="H113">
            <v>111</v>
          </cell>
          <cell r="I113">
            <v>511</v>
          </cell>
          <cell r="J113">
            <v>700000</v>
          </cell>
          <cell r="K113" t="str">
            <v xml:space="preserve">  </v>
          </cell>
          <cell r="L113" t="str">
            <v>3</v>
          </cell>
        </row>
        <row r="114">
          <cell r="H114">
            <v>111</v>
          </cell>
          <cell r="I114">
            <v>3331</v>
          </cell>
          <cell r="J114">
            <v>70000</v>
          </cell>
        </row>
        <row r="115">
          <cell r="H115">
            <v>111</v>
          </cell>
          <cell r="I115">
            <v>511</v>
          </cell>
          <cell r="J115">
            <v>5136364</v>
          </cell>
          <cell r="K115">
            <v>0</v>
          </cell>
          <cell r="L115" t="str">
            <v>1</v>
          </cell>
        </row>
        <row r="116">
          <cell r="H116">
            <v>111</v>
          </cell>
          <cell r="I116">
            <v>3331</v>
          </cell>
          <cell r="J116">
            <v>513636</v>
          </cell>
        </row>
        <row r="117">
          <cell r="H117">
            <v>111</v>
          </cell>
          <cell r="I117">
            <v>511</v>
          </cell>
          <cell r="J117">
            <v>1363640</v>
          </cell>
          <cell r="K117">
            <v>0</v>
          </cell>
          <cell r="L117" t="str">
            <v>1</v>
          </cell>
        </row>
        <row r="118">
          <cell r="H118">
            <v>111</v>
          </cell>
          <cell r="I118">
            <v>3331</v>
          </cell>
          <cell r="J118">
            <v>136360</v>
          </cell>
        </row>
        <row r="119">
          <cell r="H119">
            <v>111</v>
          </cell>
          <cell r="I119">
            <v>511</v>
          </cell>
          <cell r="J119">
            <v>2100000</v>
          </cell>
        </row>
        <row r="120">
          <cell r="H120">
            <v>111</v>
          </cell>
          <cell r="I120">
            <v>3331</v>
          </cell>
          <cell r="J120">
            <v>210000</v>
          </cell>
        </row>
        <row r="121">
          <cell r="H121">
            <v>111</v>
          </cell>
          <cell r="I121">
            <v>511</v>
          </cell>
          <cell r="J121">
            <v>12727300</v>
          </cell>
          <cell r="L121">
            <v>1</v>
          </cell>
        </row>
        <row r="122">
          <cell r="H122">
            <v>111</v>
          </cell>
          <cell r="I122">
            <v>3331</v>
          </cell>
          <cell r="J122">
            <v>1272700</v>
          </cell>
        </row>
        <row r="123">
          <cell r="H123">
            <v>111</v>
          </cell>
          <cell r="I123">
            <v>511</v>
          </cell>
          <cell r="J123">
            <v>4636365</v>
          </cell>
          <cell r="L123">
            <v>1</v>
          </cell>
        </row>
        <row r="124">
          <cell r="H124">
            <v>111</v>
          </cell>
          <cell r="I124">
            <v>3331</v>
          </cell>
          <cell r="J124">
            <v>463636</v>
          </cell>
        </row>
        <row r="125">
          <cell r="H125">
            <v>111</v>
          </cell>
          <cell r="I125">
            <v>511</v>
          </cell>
          <cell r="J125">
            <v>2945000</v>
          </cell>
        </row>
        <row r="126">
          <cell r="H126">
            <v>111</v>
          </cell>
          <cell r="I126">
            <v>3331</v>
          </cell>
          <cell r="J126">
            <v>294500</v>
          </cell>
        </row>
        <row r="127">
          <cell r="H127">
            <v>111</v>
          </cell>
          <cell r="I127">
            <v>511</v>
          </cell>
          <cell r="J127">
            <v>3481818</v>
          </cell>
          <cell r="K127" t="str">
            <v>0</v>
          </cell>
          <cell r="L127">
            <v>0</v>
          </cell>
        </row>
        <row r="128">
          <cell r="H128">
            <v>111</v>
          </cell>
          <cell r="I128">
            <v>3331</v>
          </cell>
          <cell r="J128">
            <v>348182</v>
          </cell>
        </row>
        <row r="129">
          <cell r="H129">
            <v>111</v>
          </cell>
          <cell r="I129">
            <v>511</v>
          </cell>
          <cell r="J129">
            <v>1518180</v>
          </cell>
          <cell r="L129">
            <v>1</v>
          </cell>
        </row>
        <row r="130">
          <cell r="H130">
            <v>111</v>
          </cell>
          <cell r="I130">
            <v>3331</v>
          </cell>
          <cell r="J130">
            <v>151818</v>
          </cell>
        </row>
        <row r="131">
          <cell r="H131">
            <v>111</v>
          </cell>
          <cell r="I131">
            <v>511</v>
          </cell>
          <cell r="J131">
            <v>2081817</v>
          </cell>
          <cell r="K131">
            <v>0</v>
          </cell>
          <cell r="L131">
            <v>0</v>
          </cell>
        </row>
        <row r="132">
          <cell r="H132">
            <v>111</v>
          </cell>
          <cell r="I132">
            <v>3331</v>
          </cell>
          <cell r="J132">
            <v>208182</v>
          </cell>
        </row>
        <row r="133">
          <cell r="H133">
            <v>111</v>
          </cell>
          <cell r="I133">
            <v>511</v>
          </cell>
          <cell r="J133">
            <v>2100000</v>
          </cell>
          <cell r="K133">
            <v>0</v>
          </cell>
          <cell r="L133">
            <v>0</v>
          </cell>
        </row>
        <row r="134">
          <cell r="H134">
            <v>111</v>
          </cell>
          <cell r="I134">
            <v>3331</v>
          </cell>
          <cell r="J134">
            <v>210000</v>
          </cell>
        </row>
        <row r="135">
          <cell r="H135">
            <v>111</v>
          </cell>
          <cell r="I135">
            <v>511</v>
          </cell>
          <cell r="J135">
            <v>1500000</v>
          </cell>
          <cell r="K135">
            <v>0</v>
          </cell>
          <cell r="L135" t="str">
            <v>1</v>
          </cell>
        </row>
        <row r="136">
          <cell r="H136">
            <v>111</v>
          </cell>
          <cell r="I136">
            <v>3331</v>
          </cell>
          <cell r="J136">
            <v>150000</v>
          </cell>
        </row>
        <row r="137">
          <cell r="H137">
            <v>111</v>
          </cell>
          <cell r="I137">
            <v>511</v>
          </cell>
          <cell r="J137">
            <v>6374546</v>
          </cell>
          <cell r="K137">
            <v>0</v>
          </cell>
          <cell r="L137" t="str">
            <v>1</v>
          </cell>
        </row>
        <row r="138">
          <cell r="H138">
            <v>111</v>
          </cell>
          <cell r="I138">
            <v>3331</v>
          </cell>
          <cell r="J138">
            <v>637454</v>
          </cell>
        </row>
        <row r="139">
          <cell r="H139">
            <v>111</v>
          </cell>
          <cell r="I139">
            <v>511</v>
          </cell>
          <cell r="J139">
            <v>4609092</v>
          </cell>
          <cell r="K139">
            <v>0</v>
          </cell>
          <cell r="L139">
            <v>0</v>
          </cell>
        </row>
        <row r="140">
          <cell r="H140">
            <v>111</v>
          </cell>
          <cell r="I140">
            <v>3331</v>
          </cell>
          <cell r="J140">
            <v>460909</v>
          </cell>
        </row>
        <row r="141">
          <cell r="H141">
            <v>111</v>
          </cell>
          <cell r="I141">
            <v>511</v>
          </cell>
          <cell r="J141">
            <v>4609092</v>
          </cell>
          <cell r="K141">
            <v>0</v>
          </cell>
          <cell r="L141">
            <v>0</v>
          </cell>
        </row>
        <row r="142">
          <cell r="H142">
            <v>111</v>
          </cell>
          <cell r="I142">
            <v>3331</v>
          </cell>
          <cell r="J142">
            <v>460909</v>
          </cell>
        </row>
        <row r="143">
          <cell r="H143">
            <v>111</v>
          </cell>
          <cell r="I143">
            <v>511</v>
          </cell>
          <cell r="J143">
            <v>2236350</v>
          </cell>
          <cell r="K143">
            <v>0</v>
          </cell>
          <cell r="L143">
            <v>0</v>
          </cell>
        </row>
        <row r="144">
          <cell r="H144">
            <v>111</v>
          </cell>
          <cell r="I144">
            <v>3331</v>
          </cell>
          <cell r="J144">
            <v>223635</v>
          </cell>
        </row>
        <row r="145">
          <cell r="H145">
            <v>111</v>
          </cell>
          <cell r="I145">
            <v>511</v>
          </cell>
          <cell r="J145">
            <v>9500000</v>
          </cell>
          <cell r="K145">
            <v>0</v>
          </cell>
          <cell r="L145" t="str">
            <v>1</v>
          </cell>
        </row>
        <row r="146">
          <cell r="H146">
            <v>111</v>
          </cell>
          <cell r="I146">
            <v>3331</v>
          </cell>
          <cell r="J146">
            <v>950000</v>
          </cell>
        </row>
        <row r="147">
          <cell r="H147">
            <v>111</v>
          </cell>
          <cell r="I147">
            <v>511</v>
          </cell>
          <cell r="J147">
            <v>1035000</v>
          </cell>
          <cell r="K147">
            <v>0</v>
          </cell>
          <cell r="L147" t="str">
            <v>1</v>
          </cell>
        </row>
        <row r="148">
          <cell r="H148">
            <v>111</v>
          </cell>
          <cell r="I148">
            <v>3331</v>
          </cell>
          <cell r="J148">
            <v>103500</v>
          </cell>
        </row>
        <row r="149">
          <cell r="H149">
            <v>111</v>
          </cell>
          <cell r="I149">
            <v>511</v>
          </cell>
          <cell r="J149">
            <v>458178</v>
          </cell>
          <cell r="K149">
            <v>0</v>
          </cell>
          <cell r="L149">
            <v>0</v>
          </cell>
        </row>
        <row r="150">
          <cell r="H150">
            <v>111</v>
          </cell>
          <cell r="I150">
            <v>3331</v>
          </cell>
          <cell r="J150">
            <v>45818</v>
          </cell>
        </row>
        <row r="151">
          <cell r="H151">
            <v>111</v>
          </cell>
          <cell r="I151">
            <v>511</v>
          </cell>
          <cell r="J151">
            <v>3345440</v>
          </cell>
          <cell r="K151">
            <v>0</v>
          </cell>
          <cell r="L151">
            <v>0</v>
          </cell>
        </row>
        <row r="152">
          <cell r="H152">
            <v>111</v>
          </cell>
          <cell r="I152">
            <v>3331</v>
          </cell>
          <cell r="J152">
            <v>334544</v>
          </cell>
        </row>
        <row r="153">
          <cell r="H153">
            <v>111</v>
          </cell>
          <cell r="I153">
            <v>511</v>
          </cell>
          <cell r="J153">
            <v>2781810</v>
          </cell>
          <cell r="K153">
            <v>0</v>
          </cell>
          <cell r="L153">
            <v>0</v>
          </cell>
        </row>
        <row r="154">
          <cell r="H154">
            <v>111</v>
          </cell>
          <cell r="I154">
            <v>3331</v>
          </cell>
          <cell r="J154">
            <v>278181</v>
          </cell>
        </row>
        <row r="155">
          <cell r="H155">
            <v>111</v>
          </cell>
          <cell r="I155">
            <v>511</v>
          </cell>
          <cell r="J155">
            <v>40525714</v>
          </cell>
          <cell r="K155">
            <v>0</v>
          </cell>
          <cell r="L155">
            <v>0</v>
          </cell>
        </row>
        <row r="156">
          <cell r="H156">
            <v>111</v>
          </cell>
          <cell r="I156">
            <v>3331</v>
          </cell>
          <cell r="J156">
            <v>2026286</v>
          </cell>
        </row>
        <row r="157">
          <cell r="H157">
            <v>111</v>
          </cell>
          <cell r="I157">
            <v>511</v>
          </cell>
          <cell r="J157">
            <v>4272300</v>
          </cell>
          <cell r="K157">
            <v>0</v>
          </cell>
          <cell r="L157">
            <v>0</v>
          </cell>
        </row>
        <row r="158">
          <cell r="H158">
            <v>111</v>
          </cell>
          <cell r="I158">
            <v>3331</v>
          </cell>
          <cell r="J158">
            <v>427230</v>
          </cell>
        </row>
        <row r="159">
          <cell r="H159">
            <v>111</v>
          </cell>
          <cell r="I159">
            <v>511</v>
          </cell>
          <cell r="J159">
            <v>1581824</v>
          </cell>
          <cell r="K159">
            <v>0</v>
          </cell>
          <cell r="L159" t="str">
            <v>1</v>
          </cell>
        </row>
        <row r="160">
          <cell r="H160">
            <v>111</v>
          </cell>
          <cell r="I160">
            <v>3331</v>
          </cell>
          <cell r="J160">
            <v>158182</v>
          </cell>
        </row>
        <row r="161">
          <cell r="H161">
            <v>111</v>
          </cell>
          <cell r="I161">
            <v>511</v>
          </cell>
          <cell r="J161">
            <v>790900</v>
          </cell>
          <cell r="K161">
            <v>0</v>
          </cell>
          <cell r="L161" t="str">
            <v>1</v>
          </cell>
        </row>
        <row r="162">
          <cell r="H162">
            <v>111</v>
          </cell>
          <cell r="I162">
            <v>3331</v>
          </cell>
          <cell r="J162">
            <v>79090</v>
          </cell>
        </row>
        <row r="163">
          <cell r="H163">
            <v>111</v>
          </cell>
          <cell r="I163">
            <v>511</v>
          </cell>
          <cell r="J163">
            <v>5481806</v>
          </cell>
          <cell r="K163">
            <v>0</v>
          </cell>
          <cell r="L163">
            <v>0</v>
          </cell>
        </row>
        <row r="164">
          <cell r="H164">
            <v>111</v>
          </cell>
          <cell r="I164">
            <v>3331</v>
          </cell>
          <cell r="J164">
            <v>548181</v>
          </cell>
        </row>
        <row r="165">
          <cell r="H165">
            <v>111</v>
          </cell>
          <cell r="I165">
            <v>511</v>
          </cell>
          <cell r="J165">
            <v>4866379</v>
          </cell>
          <cell r="K165">
            <v>0</v>
          </cell>
          <cell r="L165">
            <v>0</v>
          </cell>
        </row>
        <row r="166">
          <cell r="H166">
            <v>111</v>
          </cell>
          <cell r="I166">
            <v>3331</v>
          </cell>
          <cell r="J166">
            <v>486638</v>
          </cell>
        </row>
        <row r="167">
          <cell r="H167">
            <v>111</v>
          </cell>
          <cell r="I167">
            <v>511</v>
          </cell>
          <cell r="J167">
            <v>2927280</v>
          </cell>
          <cell r="K167">
            <v>0</v>
          </cell>
          <cell r="L167" t="str">
            <v>1</v>
          </cell>
        </row>
        <row r="168">
          <cell r="H168">
            <v>111</v>
          </cell>
          <cell r="I168">
            <v>3331</v>
          </cell>
          <cell r="J168">
            <v>292728</v>
          </cell>
        </row>
        <row r="169">
          <cell r="H169">
            <v>111</v>
          </cell>
          <cell r="I169">
            <v>511</v>
          </cell>
          <cell r="J169">
            <v>4559107</v>
          </cell>
          <cell r="K169">
            <v>0</v>
          </cell>
          <cell r="L169" t="str">
            <v>1</v>
          </cell>
        </row>
        <row r="170">
          <cell r="H170">
            <v>111</v>
          </cell>
          <cell r="I170">
            <v>3331</v>
          </cell>
          <cell r="J170">
            <v>455911</v>
          </cell>
        </row>
        <row r="171">
          <cell r="H171">
            <v>111</v>
          </cell>
          <cell r="I171">
            <v>511</v>
          </cell>
          <cell r="J171">
            <v>672730</v>
          </cell>
          <cell r="K171">
            <v>0</v>
          </cell>
          <cell r="L171" t="str">
            <v>1</v>
          </cell>
        </row>
        <row r="172">
          <cell r="H172">
            <v>111</v>
          </cell>
          <cell r="I172">
            <v>3331</v>
          </cell>
          <cell r="J172">
            <v>67273</v>
          </cell>
        </row>
        <row r="173">
          <cell r="H173">
            <v>111</v>
          </cell>
          <cell r="I173">
            <v>511</v>
          </cell>
          <cell r="J173">
            <v>1490900</v>
          </cell>
          <cell r="K173">
            <v>0</v>
          </cell>
          <cell r="L173">
            <v>0</v>
          </cell>
        </row>
        <row r="174">
          <cell r="H174">
            <v>111</v>
          </cell>
          <cell r="I174">
            <v>3331</v>
          </cell>
          <cell r="J174">
            <v>149090</v>
          </cell>
        </row>
        <row r="175">
          <cell r="H175">
            <v>111</v>
          </cell>
          <cell r="I175">
            <v>511</v>
          </cell>
          <cell r="J175">
            <v>668182</v>
          </cell>
          <cell r="K175">
            <v>0</v>
          </cell>
          <cell r="L175">
            <v>0</v>
          </cell>
        </row>
        <row r="176">
          <cell r="H176">
            <v>111</v>
          </cell>
          <cell r="I176">
            <v>3331</v>
          </cell>
          <cell r="J176">
            <v>66818</v>
          </cell>
        </row>
        <row r="177">
          <cell r="H177">
            <v>111</v>
          </cell>
          <cell r="I177">
            <v>511</v>
          </cell>
          <cell r="J177">
            <v>2795465</v>
          </cell>
          <cell r="K177">
            <v>0</v>
          </cell>
          <cell r="L177">
            <v>0</v>
          </cell>
        </row>
        <row r="178">
          <cell r="H178">
            <v>111</v>
          </cell>
          <cell r="I178">
            <v>3331</v>
          </cell>
          <cell r="J178">
            <v>279547</v>
          </cell>
        </row>
        <row r="179">
          <cell r="H179">
            <v>111</v>
          </cell>
          <cell r="I179">
            <v>511</v>
          </cell>
          <cell r="J179">
            <v>9100000</v>
          </cell>
          <cell r="K179">
            <v>0</v>
          </cell>
          <cell r="L179">
            <v>0</v>
          </cell>
        </row>
        <row r="180">
          <cell r="H180">
            <v>111</v>
          </cell>
          <cell r="I180">
            <v>3331</v>
          </cell>
          <cell r="J180">
            <v>910000</v>
          </cell>
        </row>
        <row r="181">
          <cell r="H181">
            <v>111</v>
          </cell>
          <cell r="I181">
            <v>511</v>
          </cell>
          <cell r="J181">
            <v>5460000</v>
          </cell>
          <cell r="K181">
            <v>0</v>
          </cell>
          <cell r="L181" t="str">
            <v>1</v>
          </cell>
        </row>
        <row r="182">
          <cell r="H182">
            <v>111</v>
          </cell>
          <cell r="I182">
            <v>3331</v>
          </cell>
          <cell r="J182">
            <v>546000</v>
          </cell>
        </row>
        <row r="183">
          <cell r="H183">
            <v>155</v>
          </cell>
          <cell r="I183">
            <v>154</v>
          </cell>
        </row>
        <row r="184">
          <cell r="H184">
            <v>152</v>
          </cell>
          <cell r="I184">
            <v>111</v>
          </cell>
        </row>
        <row r="185">
          <cell r="H185">
            <v>111</v>
          </cell>
          <cell r="I185">
            <v>338</v>
          </cell>
          <cell r="J185">
            <v>525000000</v>
          </cell>
        </row>
        <row r="186">
          <cell r="H186">
            <v>112</v>
          </cell>
          <cell r="I186">
            <v>131</v>
          </cell>
          <cell r="J186">
            <v>436758150</v>
          </cell>
        </row>
        <row r="187">
          <cell r="H187">
            <v>111</v>
          </cell>
          <cell r="I187">
            <v>112</v>
          </cell>
          <cell r="J187">
            <v>21000000</v>
          </cell>
          <cell r="K187" t="str">
            <v>c</v>
          </cell>
        </row>
        <row r="188">
          <cell r="H188">
            <v>111</v>
          </cell>
          <cell r="I188">
            <v>112</v>
          </cell>
          <cell r="J188">
            <v>40000000</v>
          </cell>
          <cell r="K188" t="str">
            <v>c</v>
          </cell>
        </row>
        <row r="189">
          <cell r="H189">
            <v>622</v>
          </cell>
          <cell r="I189">
            <v>111</v>
          </cell>
          <cell r="J189">
            <v>4820775</v>
          </cell>
        </row>
        <row r="190">
          <cell r="H190">
            <v>622</v>
          </cell>
          <cell r="I190">
            <v>111</v>
          </cell>
          <cell r="J190">
            <v>9738210</v>
          </cell>
        </row>
        <row r="191">
          <cell r="H191">
            <v>622</v>
          </cell>
          <cell r="I191">
            <v>111</v>
          </cell>
          <cell r="J191">
            <v>11142850</v>
          </cell>
        </row>
        <row r="192">
          <cell r="H192">
            <v>622</v>
          </cell>
          <cell r="I192">
            <v>111</v>
          </cell>
          <cell r="J192">
            <v>2026286</v>
          </cell>
        </row>
        <row r="193">
          <cell r="H193">
            <v>154</v>
          </cell>
          <cell r="I193">
            <v>622</v>
          </cell>
          <cell r="J193">
            <v>27728121</v>
          </cell>
        </row>
        <row r="194">
          <cell r="H194">
            <v>632</v>
          </cell>
          <cell r="I194">
            <v>154</v>
          </cell>
          <cell r="J194">
            <v>27728121</v>
          </cell>
        </row>
        <row r="195">
          <cell r="H195">
            <v>111</v>
          </cell>
          <cell r="I195">
            <v>112</v>
          </cell>
          <cell r="J195">
            <v>3000000</v>
          </cell>
          <cell r="K195" t="str">
            <v>e</v>
          </cell>
        </row>
        <row r="196">
          <cell r="H196">
            <v>111</v>
          </cell>
          <cell r="I196">
            <v>112</v>
          </cell>
          <cell r="J196">
            <v>1000000</v>
          </cell>
          <cell r="K196" t="str">
            <v>f</v>
          </cell>
        </row>
        <row r="197">
          <cell r="H197">
            <v>111</v>
          </cell>
          <cell r="I197">
            <v>112</v>
          </cell>
          <cell r="J197">
            <v>85000000</v>
          </cell>
          <cell r="K197" t="str">
            <v>f</v>
          </cell>
        </row>
        <row r="198">
          <cell r="H198">
            <v>111</v>
          </cell>
          <cell r="I198">
            <v>112</v>
          </cell>
          <cell r="J198">
            <v>35000000</v>
          </cell>
          <cell r="K198" t="str">
            <v>f</v>
          </cell>
        </row>
        <row r="199">
          <cell r="H199">
            <v>111</v>
          </cell>
          <cell r="I199">
            <v>112</v>
          </cell>
          <cell r="J199">
            <v>3500000</v>
          </cell>
          <cell r="K199" t="str">
            <v>g</v>
          </cell>
        </row>
        <row r="200">
          <cell r="H200">
            <v>111</v>
          </cell>
          <cell r="I200">
            <v>112</v>
          </cell>
          <cell r="J200">
            <v>60000000</v>
          </cell>
          <cell r="K200" t="str">
            <v>g</v>
          </cell>
        </row>
        <row r="201">
          <cell r="H201">
            <v>111</v>
          </cell>
          <cell r="I201">
            <v>112</v>
          </cell>
          <cell r="J201">
            <v>100000000</v>
          </cell>
          <cell r="K201" t="str">
            <v>h</v>
          </cell>
        </row>
        <row r="202">
          <cell r="H202">
            <v>111</v>
          </cell>
          <cell r="I202">
            <v>112</v>
          </cell>
          <cell r="J202">
            <v>16000000</v>
          </cell>
          <cell r="K202" t="str">
            <v>h</v>
          </cell>
        </row>
        <row r="203">
          <cell r="H203">
            <v>111</v>
          </cell>
          <cell r="I203">
            <v>112</v>
          </cell>
          <cell r="J203">
            <v>20000000</v>
          </cell>
        </row>
        <row r="204">
          <cell r="H204">
            <v>111</v>
          </cell>
          <cell r="I204">
            <v>112</v>
          </cell>
          <cell r="J204">
            <v>10000000</v>
          </cell>
        </row>
        <row r="205">
          <cell r="H205">
            <v>112</v>
          </cell>
          <cell r="I205">
            <v>711</v>
          </cell>
          <cell r="J205">
            <v>200</v>
          </cell>
        </row>
        <row r="206">
          <cell r="H206">
            <v>112</v>
          </cell>
          <cell r="I206">
            <v>711</v>
          </cell>
          <cell r="J206">
            <v>26318</v>
          </cell>
        </row>
        <row r="207">
          <cell r="H207">
            <v>112</v>
          </cell>
          <cell r="I207">
            <v>711</v>
          </cell>
          <cell r="J207">
            <v>91237</v>
          </cell>
        </row>
        <row r="208">
          <cell r="H208">
            <v>112</v>
          </cell>
          <cell r="I208">
            <v>711</v>
          </cell>
          <cell r="J208">
            <v>115022</v>
          </cell>
        </row>
        <row r="209">
          <cell r="H209">
            <v>112</v>
          </cell>
          <cell r="I209">
            <v>711</v>
          </cell>
          <cell r="J209">
            <v>119607</v>
          </cell>
        </row>
        <row r="210">
          <cell r="H210">
            <v>642</v>
          </cell>
          <cell r="I210">
            <v>111</v>
          </cell>
          <cell r="J210">
            <v>2750000</v>
          </cell>
          <cell r="K210" t="str">
            <v>a</v>
          </cell>
        </row>
        <row r="211">
          <cell r="H211">
            <v>152</v>
          </cell>
          <cell r="I211">
            <v>111</v>
          </cell>
          <cell r="J211">
            <v>88928541</v>
          </cell>
          <cell r="K211" t="str">
            <v>a</v>
          </cell>
        </row>
        <row r="212">
          <cell r="H212">
            <v>133</v>
          </cell>
          <cell r="I212">
            <v>111</v>
          </cell>
          <cell r="J212">
            <v>6293673</v>
          </cell>
          <cell r="K212" t="str">
            <v>a</v>
          </cell>
        </row>
        <row r="213">
          <cell r="H213">
            <v>621</v>
          </cell>
          <cell r="I213">
            <v>152</v>
          </cell>
          <cell r="J213">
            <v>88928541</v>
          </cell>
          <cell r="K213" t="str">
            <v>a</v>
          </cell>
        </row>
        <row r="214">
          <cell r="H214">
            <v>622</v>
          </cell>
          <cell r="I214">
            <v>111</v>
          </cell>
          <cell r="J214">
            <v>2400000</v>
          </cell>
        </row>
        <row r="215">
          <cell r="H215">
            <v>154</v>
          </cell>
          <cell r="I215">
            <v>622</v>
          </cell>
          <cell r="J215">
            <v>2400000</v>
          </cell>
          <cell r="K215" t="str">
            <v>a</v>
          </cell>
        </row>
        <row r="216">
          <cell r="H216">
            <v>154</v>
          </cell>
          <cell r="I216">
            <v>621</v>
          </cell>
          <cell r="J216">
            <v>88928541</v>
          </cell>
          <cell r="K216" t="str">
            <v>a</v>
          </cell>
        </row>
        <row r="217">
          <cell r="H217">
            <v>155</v>
          </cell>
          <cell r="I217">
            <v>154</v>
          </cell>
          <cell r="J217">
            <v>91328541</v>
          </cell>
          <cell r="K217" t="str">
            <v>a</v>
          </cell>
        </row>
        <row r="218">
          <cell r="H218">
            <v>632</v>
          </cell>
          <cell r="I218">
            <v>155</v>
          </cell>
          <cell r="J218">
            <v>91328541</v>
          </cell>
          <cell r="K218" t="str">
            <v>a</v>
          </cell>
        </row>
        <row r="219">
          <cell r="H219">
            <v>152</v>
          </cell>
          <cell r="I219">
            <v>111</v>
          </cell>
          <cell r="J219">
            <v>8754545</v>
          </cell>
          <cell r="K219" t="str">
            <v>a</v>
          </cell>
        </row>
        <row r="220">
          <cell r="H220">
            <v>133</v>
          </cell>
          <cell r="I220">
            <v>111</v>
          </cell>
          <cell r="J220">
            <v>635455</v>
          </cell>
          <cell r="K220" t="str">
            <v>a</v>
          </cell>
        </row>
        <row r="221">
          <cell r="H221">
            <v>621</v>
          </cell>
          <cell r="I221">
            <v>152</v>
          </cell>
          <cell r="J221">
            <v>8754545</v>
          </cell>
          <cell r="K221" t="str">
            <v>a</v>
          </cell>
        </row>
        <row r="222">
          <cell r="H222">
            <v>622</v>
          </cell>
          <cell r="I222">
            <v>111</v>
          </cell>
          <cell r="J222">
            <v>2400000</v>
          </cell>
        </row>
        <row r="223">
          <cell r="H223">
            <v>154</v>
          </cell>
          <cell r="I223">
            <v>622</v>
          </cell>
          <cell r="J223">
            <v>2400000</v>
          </cell>
          <cell r="K223" t="str">
            <v>a</v>
          </cell>
        </row>
        <row r="224">
          <cell r="H224">
            <v>154</v>
          </cell>
          <cell r="I224">
            <v>621</v>
          </cell>
          <cell r="J224">
            <v>8754545</v>
          </cell>
          <cell r="K224" t="str">
            <v>a</v>
          </cell>
        </row>
        <row r="225">
          <cell r="H225">
            <v>155</v>
          </cell>
          <cell r="I225">
            <v>154</v>
          </cell>
          <cell r="J225">
            <v>11154545</v>
          </cell>
          <cell r="K225" t="str">
            <v>a</v>
          </cell>
        </row>
        <row r="226">
          <cell r="H226">
            <v>632</v>
          </cell>
          <cell r="I226">
            <v>155</v>
          </cell>
          <cell r="J226">
            <v>11154545</v>
          </cell>
          <cell r="K226" t="str">
            <v>a</v>
          </cell>
        </row>
        <row r="227">
          <cell r="H227">
            <v>152</v>
          </cell>
          <cell r="I227">
            <v>111</v>
          </cell>
          <cell r="J227">
            <v>49918182</v>
          </cell>
          <cell r="K227" t="str">
            <v>a</v>
          </cell>
        </row>
        <row r="228">
          <cell r="H228">
            <v>133</v>
          </cell>
          <cell r="I228">
            <v>111</v>
          </cell>
          <cell r="J228">
            <v>4991818</v>
          </cell>
          <cell r="K228" t="str">
            <v>a</v>
          </cell>
        </row>
        <row r="229">
          <cell r="H229">
            <v>621</v>
          </cell>
          <cell r="I229">
            <v>152</v>
          </cell>
          <cell r="J229">
            <v>49918182</v>
          </cell>
          <cell r="K229" t="str">
            <v>a</v>
          </cell>
        </row>
        <row r="230">
          <cell r="H230">
            <v>622</v>
          </cell>
          <cell r="I230">
            <v>111</v>
          </cell>
          <cell r="J230">
            <v>2400000</v>
          </cell>
        </row>
        <row r="231">
          <cell r="H231">
            <v>154</v>
          </cell>
          <cell r="I231">
            <v>622</v>
          </cell>
          <cell r="J231">
            <v>2400000</v>
          </cell>
          <cell r="K231" t="str">
            <v>a</v>
          </cell>
        </row>
        <row r="232">
          <cell r="H232">
            <v>154</v>
          </cell>
          <cell r="I232">
            <v>621</v>
          </cell>
          <cell r="J232">
            <v>49918182</v>
          </cell>
          <cell r="K232" t="str">
            <v>a</v>
          </cell>
        </row>
        <row r="233">
          <cell r="H233">
            <v>155</v>
          </cell>
          <cell r="I233">
            <v>154</v>
          </cell>
          <cell r="J233">
            <v>52318182</v>
          </cell>
          <cell r="K233" t="str">
            <v>a</v>
          </cell>
        </row>
        <row r="234">
          <cell r="H234">
            <v>632</v>
          </cell>
          <cell r="I234">
            <v>155</v>
          </cell>
          <cell r="J234">
            <v>52318182</v>
          </cell>
          <cell r="K234" t="str">
            <v>a</v>
          </cell>
        </row>
        <row r="235">
          <cell r="H235">
            <v>152</v>
          </cell>
          <cell r="I235">
            <v>111</v>
          </cell>
          <cell r="J235">
            <v>12936364</v>
          </cell>
          <cell r="K235" t="str">
            <v>a</v>
          </cell>
        </row>
        <row r="236">
          <cell r="H236">
            <v>133</v>
          </cell>
          <cell r="I236">
            <v>111</v>
          </cell>
          <cell r="J236">
            <v>1293636</v>
          </cell>
          <cell r="K236" t="str">
            <v>a</v>
          </cell>
        </row>
        <row r="237">
          <cell r="H237">
            <v>621</v>
          </cell>
          <cell r="I237">
            <v>152</v>
          </cell>
          <cell r="J237">
            <v>12936364</v>
          </cell>
          <cell r="K237" t="str">
            <v>a</v>
          </cell>
        </row>
        <row r="238">
          <cell r="H238">
            <v>622</v>
          </cell>
          <cell r="I238">
            <v>111</v>
          </cell>
          <cell r="J238">
            <v>2400000</v>
          </cell>
        </row>
        <row r="239">
          <cell r="H239">
            <v>154</v>
          </cell>
          <cell r="I239">
            <v>622</v>
          </cell>
          <cell r="J239">
            <v>2400000</v>
          </cell>
          <cell r="K239" t="str">
            <v>a</v>
          </cell>
        </row>
        <row r="240">
          <cell r="H240">
            <v>154</v>
          </cell>
          <cell r="I240">
            <v>621</v>
          </cell>
          <cell r="J240">
            <v>12936364</v>
          </cell>
          <cell r="K240" t="str">
            <v>a</v>
          </cell>
        </row>
        <row r="241">
          <cell r="H241">
            <v>155</v>
          </cell>
          <cell r="I241">
            <v>154</v>
          </cell>
          <cell r="J241">
            <v>15336364</v>
          </cell>
          <cell r="K241" t="str">
            <v>a</v>
          </cell>
        </row>
        <row r="242">
          <cell r="H242">
            <v>632</v>
          </cell>
          <cell r="I242">
            <v>155</v>
          </cell>
          <cell r="J242">
            <v>15336364</v>
          </cell>
          <cell r="K242" t="str">
            <v>a</v>
          </cell>
        </row>
        <row r="243">
          <cell r="H243">
            <v>152</v>
          </cell>
          <cell r="I243">
            <v>111</v>
          </cell>
          <cell r="J243">
            <v>10954545</v>
          </cell>
          <cell r="K243" t="str">
            <v>a</v>
          </cell>
        </row>
        <row r="244">
          <cell r="H244">
            <v>133</v>
          </cell>
          <cell r="I244">
            <v>111</v>
          </cell>
          <cell r="J244">
            <v>1095455</v>
          </cell>
          <cell r="K244" t="str">
            <v>a</v>
          </cell>
        </row>
        <row r="245">
          <cell r="H245">
            <v>621</v>
          </cell>
          <cell r="I245">
            <v>152</v>
          </cell>
          <cell r="J245">
            <v>10954545</v>
          </cell>
          <cell r="K245" t="str">
            <v>a</v>
          </cell>
        </row>
        <row r="246">
          <cell r="H246">
            <v>622</v>
          </cell>
          <cell r="I246">
            <v>111</v>
          </cell>
          <cell r="J246">
            <v>2400000</v>
          </cell>
        </row>
        <row r="247">
          <cell r="H247">
            <v>154</v>
          </cell>
          <cell r="I247">
            <v>622</v>
          </cell>
          <cell r="J247">
            <v>2400000</v>
          </cell>
          <cell r="K247" t="str">
            <v>a</v>
          </cell>
        </row>
        <row r="248">
          <cell r="H248">
            <v>154</v>
          </cell>
          <cell r="I248">
            <v>621</v>
          </cell>
          <cell r="J248">
            <v>10954545</v>
          </cell>
          <cell r="K248" t="str">
            <v>a</v>
          </cell>
        </row>
        <row r="249">
          <cell r="H249">
            <v>155</v>
          </cell>
          <cell r="I249">
            <v>154</v>
          </cell>
          <cell r="J249">
            <v>13354545</v>
          </cell>
          <cell r="K249" t="str">
            <v>a</v>
          </cell>
        </row>
        <row r="250">
          <cell r="H250">
            <v>632</v>
          </cell>
          <cell r="I250">
            <v>155</v>
          </cell>
          <cell r="J250">
            <v>13354545</v>
          </cell>
          <cell r="K250" t="str">
            <v>a</v>
          </cell>
        </row>
        <row r="251">
          <cell r="H251">
            <v>152</v>
          </cell>
          <cell r="I251">
            <v>111</v>
          </cell>
          <cell r="J251">
            <v>101016447</v>
          </cell>
          <cell r="K251" t="str">
            <v>a</v>
          </cell>
        </row>
        <row r="252">
          <cell r="H252">
            <v>133</v>
          </cell>
          <cell r="I252">
            <v>111</v>
          </cell>
          <cell r="J252">
            <v>8432337</v>
          </cell>
          <cell r="K252" t="str">
            <v>a</v>
          </cell>
        </row>
        <row r="253">
          <cell r="H253">
            <v>621</v>
          </cell>
          <cell r="I253">
            <v>152</v>
          </cell>
          <cell r="J253">
            <v>101016447</v>
          </cell>
          <cell r="K253" t="str">
            <v>a</v>
          </cell>
        </row>
        <row r="254">
          <cell r="H254">
            <v>622</v>
          </cell>
          <cell r="I254">
            <v>111</v>
          </cell>
          <cell r="J254">
            <v>2400000</v>
          </cell>
        </row>
        <row r="255">
          <cell r="H255">
            <v>154</v>
          </cell>
          <cell r="I255">
            <v>622</v>
          </cell>
          <cell r="J255">
            <v>2400000</v>
          </cell>
          <cell r="K255" t="str">
            <v>a</v>
          </cell>
        </row>
        <row r="256">
          <cell r="H256">
            <v>154</v>
          </cell>
          <cell r="I256">
            <v>621</v>
          </cell>
          <cell r="J256">
            <v>101016447</v>
          </cell>
          <cell r="K256" t="str">
            <v>a</v>
          </cell>
        </row>
        <row r="257">
          <cell r="H257">
            <v>155</v>
          </cell>
          <cell r="I257">
            <v>154</v>
          </cell>
          <cell r="J257">
            <v>103416447</v>
          </cell>
          <cell r="K257" t="str">
            <v>a</v>
          </cell>
        </row>
        <row r="258">
          <cell r="H258">
            <v>632</v>
          </cell>
          <cell r="I258">
            <v>155</v>
          </cell>
          <cell r="J258">
            <v>103416447</v>
          </cell>
          <cell r="K258" t="str">
            <v>a</v>
          </cell>
        </row>
        <row r="259">
          <cell r="H259">
            <v>152</v>
          </cell>
          <cell r="I259">
            <v>111</v>
          </cell>
          <cell r="J259">
            <v>88000000</v>
          </cell>
          <cell r="K259" t="str">
            <v>a</v>
          </cell>
        </row>
        <row r="260">
          <cell r="H260">
            <v>133</v>
          </cell>
          <cell r="I260">
            <v>111</v>
          </cell>
          <cell r="J260">
            <v>4400000</v>
          </cell>
          <cell r="K260" t="str">
            <v>a</v>
          </cell>
        </row>
        <row r="261">
          <cell r="H261">
            <v>621</v>
          </cell>
          <cell r="I261">
            <v>152</v>
          </cell>
          <cell r="J261">
            <v>88000000</v>
          </cell>
          <cell r="K261" t="str">
            <v>a</v>
          </cell>
        </row>
        <row r="262">
          <cell r="H262">
            <v>622</v>
          </cell>
          <cell r="I262">
            <v>111</v>
          </cell>
          <cell r="J262">
            <v>2400000</v>
          </cell>
        </row>
        <row r="263">
          <cell r="H263">
            <v>154</v>
          </cell>
          <cell r="I263">
            <v>622</v>
          </cell>
          <cell r="J263">
            <v>2400000</v>
          </cell>
          <cell r="K263" t="str">
            <v>a</v>
          </cell>
        </row>
        <row r="264">
          <cell r="H264">
            <v>154</v>
          </cell>
          <cell r="I264">
            <v>621</v>
          </cell>
          <cell r="J264">
            <v>88000000</v>
          </cell>
          <cell r="K264" t="str">
            <v>a</v>
          </cell>
        </row>
        <row r="265">
          <cell r="H265">
            <v>155</v>
          </cell>
          <cell r="I265">
            <v>154</v>
          </cell>
          <cell r="J265">
            <v>90400000</v>
          </cell>
          <cell r="K265" t="str">
            <v>a</v>
          </cell>
        </row>
        <row r="266">
          <cell r="H266">
            <v>632</v>
          </cell>
          <cell r="I266">
            <v>155</v>
          </cell>
          <cell r="J266">
            <v>90400000</v>
          </cell>
          <cell r="K266" t="str">
            <v>a</v>
          </cell>
        </row>
        <row r="267">
          <cell r="H267">
            <v>152</v>
          </cell>
          <cell r="I267">
            <v>111</v>
          </cell>
          <cell r="J267">
            <v>43840435</v>
          </cell>
          <cell r="K267" t="str">
            <v>a</v>
          </cell>
        </row>
        <row r="268">
          <cell r="H268">
            <v>133</v>
          </cell>
          <cell r="I268">
            <v>111</v>
          </cell>
          <cell r="J268">
            <v>2996950</v>
          </cell>
          <cell r="K268" t="str">
            <v>a</v>
          </cell>
        </row>
        <row r="269">
          <cell r="H269">
            <v>621</v>
          </cell>
          <cell r="I269">
            <v>152</v>
          </cell>
          <cell r="J269">
            <v>43840435</v>
          </cell>
          <cell r="K269" t="str">
            <v>a</v>
          </cell>
        </row>
        <row r="270">
          <cell r="H270">
            <v>622</v>
          </cell>
          <cell r="I270">
            <v>111</v>
          </cell>
          <cell r="J270">
            <v>2400000</v>
          </cell>
        </row>
        <row r="271">
          <cell r="H271">
            <v>154</v>
          </cell>
          <cell r="I271">
            <v>622</v>
          </cell>
          <cell r="J271">
            <v>2400000</v>
          </cell>
          <cell r="K271" t="str">
            <v>a</v>
          </cell>
        </row>
        <row r="272">
          <cell r="H272">
            <v>154</v>
          </cell>
          <cell r="I272">
            <v>621</v>
          </cell>
          <cell r="J272">
            <v>43840435</v>
          </cell>
          <cell r="K272" t="str">
            <v>a</v>
          </cell>
        </row>
        <row r="273">
          <cell r="H273">
            <v>155</v>
          </cell>
          <cell r="I273">
            <v>154</v>
          </cell>
          <cell r="J273">
            <v>46240435</v>
          </cell>
          <cell r="K273" t="str">
            <v>a</v>
          </cell>
        </row>
        <row r="274">
          <cell r="H274">
            <v>632</v>
          </cell>
          <cell r="I274">
            <v>155</v>
          </cell>
          <cell r="J274">
            <v>46240435</v>
          </cell>
          <cell r="K274" t="str">
            <v>a</v>
          </cell>
        </row>
        <row r="275">
          <cell r="H275">
            <v>152</v>
          </cell>
          <cell r="I275">
            <v>111</v>
          </cell>
          <cell r="J275">
            <v>94450669</v>
          </cell>
          <cell r="K275" t="str">
            <v>a</v>
          </cell>
        </row>
        <row r="276">
          <cell r="H276">
            <v>133</v>
          </cell>
          <cell r="I276">
            <v>111</v>
          </cell>
          <cell r="J276">
            <v>5492307</v>
          </cell>
          <cell r="K276" t="str">
            <v>a</v>
          </cell>
        </row>
        <row r="277">
          <cell r="H277">
            <v>621</v>
          </cell>
          <cell r="I277">
            <v>152</v>
          </cell>
          <cell r="J277">
            <v>94450669</v>
          </cell>
          <cell r="K277" t="str">
            <v>a</v>
          </cell>
        </row>
        <row r="278">
          <cell r="H278">
            <v>622</v>
          </cell>
          <cell r="I278">
            <v>111</v>
          </cell>
          <cell r="J278">
            <v>2400000</v>
          </cell>
        </row>
        <row r="279">
          <cell r="H279">
            <v>154</v>
          </cell>
          <cell r="I279">
            <v>622</v>
          </cell>
          <cell r="J279">
            <v>2400000</v>
          </cell>
          <cell r="K279" t="str">
            <v>a</v>
          </cell>
        </row>
        <row r="280">
          <cell r="H280">
            <v>154</v>
          </cell>
          <cell r="I280">
            <v>621</v>
          </cell>
          <cell r="J280">
            <v>94450669</v>
          </cell>
          <cell r="K280" t="str">
            <v>a</v>
          </cell>
        </row>
        <row r="281">
          <cell r="H281">
            <v>155</v>
          </cell>
          <cell r="I281">
            <v>154</v>
          </cell>
          <cell r="J281">
            <v>96850669</v>
          </cell>
          <cell r="K281" t="str">
            <v>a</v>
          </cell>
        </row>
        <row r="282">
          <cell r="H282">
            <v>632</v>
          </cell>
          <cell r="I282">
            <v>155</v>
          </cell>
          <cell r="J282">
            <v>96850669</v>
          </cell>
          <cell r="K282" t="str">
            <v>a</v>
          </cell>
        </row>
        <row r="283">
          <cell r="H283">
            <v>152</v>
          </cell>
          <cell r="I283">
            <v>111</v>
          </cell>
          <cell r="J283">
            <v>240025491</v>
          </cell>
          <cell r="K283" t="str">
            <v>a</v>
          </cell>
        </row>
        <row r="284">
          <cell r="H284">
            <v>133</v>
          </cell>
          <cell r="I284">
            <v>111</v>
          </cell>
          <cell r="J284">
            <v>18193984</v>
          </cell>
          <cell r="K284" t="str">
            <v>a</v>
          </cell>
        </row>
        <row r="285">
          <cell r="H285">
            <v>621</v>
          </cell>
          <cell r="I285">
            <v>152</v>
          </cell>
          <cell r="J285">
            <v>240025491</v>
          </cell>
          <cell r="K285" t="str">
            <v>a</v>
          </cell>
        </row>
        <row r="286">
          <cell r="H286">
            <v>622</v>
          </cell>
          <cell r="I286">
            <v>111</v>
          </cell>
          <cell r="J286">
            <v>2400000</v>
          </cell>
        </row>
        <row r="287">
          <cell r="H287">
            <v>154</v>
          </cell>
          <cell r="I287">
            <v>622</v>
          </cell>
          <cell r="J287">
            <v>2400000</v>
          </cell>
          <cell r="K287" t="str">
            <v>a</v>
          </cell>
        </row>
        <row r="288">
          <cell r="H288">
            <v>154</v>
          </cell>
          <cell r="I288">
            <v>621</v>
          </cell>
          <cell r="J288">
            <v>240025491</v>
          </cell>
          <cell r="K288" t="str">
            <v>a</v>
          </cell>
        </row>
        <row r="289">
          <cell r="H289">
            <v>155</v>
          </cell>
          <cell r="I289">
            <v>154</v>
          </cell>
          <cell r="J289">
            <v>242425491</v>
          </cell>
          <cell r="K289" t="str">
            <v>a</v>
          </cell>
        </row>
        <row r="290">
          <cell r="H290">
            <v>632</v>
          </cell>
          <cell r="I290">
            <v>155</v>
          </cell>
          <cell r="J290">
            <v>242425491</v>
          </cell>
          <cell r="K290" t="str">
            <v>a</v>
          </cell>
        </row>
        <row r="291">
          <cell r="H291">
            <v>152</v>
          </cell>
          <cell r="I291">
            <v>111</v>
          </cell>
          <cell r="J291">
            <v>54045900</v>
          </cell>
          <cell r="K291" t="str">
            <v>a</v>
          </cell>
        </row>
        <row r="292">
          <cell r="H292">
            <v>133</v>
          </cell>
          <cell r="I292">
            <v>111</v>
          </cell>
          <cell r="J292">
            <v>5318876</v>
          </cell>
          <cell r="K292" t="str">
            <v>a</v>
          </cell>
        </row>
        <row r="293">
          <cell r="H293">
            <v>621</v>
          </cell>
          <cell r="I293">
            <v>152</v>
          </cell>
          <cell r="J293">
            <v>54045900</v>
          </cell>
          <cell r="K293" t="str">
            <v>a</v>
          </cell>
        </row>
        <row r="294">
          <cell r="H294">
            <v>622</v>
          </cell>
          <cell r="I294">
            <v>111</v>
          </cell>
          <cell r="J294">
            <v>2400000</v>
          </cell>
        </row>
        <row r="295">
          <cell r="H295">
            <v>154</v>
          </cell>
          <cell r="I295">
            <v>622</v>
          </cell>
          <cell r="J295">
            <v>2400000</v>
          </cell>
          <cell r="K295" t="str">
            <v>a</v>
          </cell>
        </row>
        <row r="296">
          <cell r="H296">
            <v>154</v>
          </cell>
          <cell r="I296">
            <v>621</v>
          </cell>
          <cell r="J296">
            <v>54045900</v>
          </cell>
          <cell r="K296" t="str">
            <v>a</v>
          </cell>
        </row>
        <row r="299">
          <cell r="H299" t="str">
            <v>642</v>
          </cell>
          <cell r="I299" t="str">
            <v>3338</v>
          </cell>
          <cell r="J299">
            <v>850000</v>
          </cell>
          <cell r="K299" t="str">
            <v>MONBAI_642</v>
          </cell>
        </row>
        <row r="300">
          <cell r="H300" t="str">
            <v>141</v>
          </cell>
          <cell r="I300" t="str">
            <v>3339</v>
          </cell>
        </row>
        <row r="301">
          <cell r="H301" t="str">
            <v>133</v>
          </cell>
          <cell r="I301" t="str">
            <v>331</v>
          </cell>
          <cell r="L301" t="str">
            <v>PHUONG_331</v>
          </cell>
        </row>
        <row r="302">
          <cell r="H302" t="str">
            <v>3331</v>
          </cell>
          <cell r="I302" t="str">
            <v>133</v>
          </cell>
          <cell r="J302">
            <v>57186483</v>
          </cell>
        </row>
        <row r="303">
          <cell r="H303" t="str">
            <v>642</v>
          </cell>
          <cell r="I303">
            <v>214</v>
          </cell>
          <cell r="K303" t="str">
            <v>KH_642</v>
          </cell>
        </row>
        <row r="304">
          <cell r="H304" t="str">
            <v>154</v>
          </cell>
          <cell r="I304" t="str">
            <v>621</v>
          </cell>
          <cell r="L304" t="str">
            <v>KC_621</v>
          </cell>
        </row>
        <row r="305">
          <cell r="H305" t="str">
            <v>154</v>
          </cell>
          <cell r="I305" t="str">
            <v>622</v>
          </cell>
          <cell r="L305" t="str">
            <v>KC_622</v>
          </cell>
        </row>
        <row r="306">
          <cell r="H306" t="str">
            <v>154</v>
          </cell>
          <cell r="I306" t="str">
            <v>627</v>
          </cell>
          <cell r="J306">
            <v>0</v>
          </cell>
          <cell r="L306" t="str">
            <v>KC_627</v>
          </cell>
        </row>
        <row r="307">
          <cell r="H307" t="str">
            <v>911</v>
          </cell>
          <cell r="I307">
            <v>641</v>
          </cell>
          <cell r="J307">
            <v>0</v>
          </cell>
        </row>
        <row r="308">
          <cell r="H308" t="str">
            <v>911</v>
          </cell>
          <cell r="I308">
            <v>642</v>
          </cell>
          <cell r="J308">
            <v>3600000</v>
          </cell>
          <cell r="L308" t="str">
            <v>KC_642</v>
          </cell>
        </row>
        <row r="309">
          <cell r="H309" t="str">
            <v>632</v>
          </cell>
          <cell r="I309" t="str">
            <v>154</v>
          </cell>
        </row>
        <row r="310">
          <cell r="H310" t="str">
            <v>911</v>
          </cell>
          <cell r="I310" t="str">
            <v>632</v>
          </cell>
          <cell r="J310">
            <v>790553340</v>
          </cell>
        </row>
        <row r="311">
          <cell r="H311">
            <v>511</v>
          </cell>
          <cell r="I311" t="str">
            <v>911</v>
          </cell>
          <cell r="J311">
            <v>864297845</v>
          </cell>
          <cell r="K311" t="str">
            <v>KC_511</v>
          </cell>
        </row>
        <row r="312">
          <cell r="H312" t="str">
            <v>711</v>
          </cell>
          <cell r="I312" t="str">
            <v>911</v>
          </cell>
          <cell r="J312">
            <v>352384</v>
          </cell>
        </row>
        <row r="313">
          <cell r="H313" t="str">
            <v>911</v>
          </cell>
          <cell r="I313" t="str">
            <v>811</v>
          </cell>
        </row>
        <row r="314">
          <cell r="H314" t="str">
            <v>721</v>
          </cell>
          <cell r="I314" t="str">
            <v>911</v>
          </cell>
          <cell r="J314">
            <v>0</v>
          </cell>
        </row>
        <row r="315">
          <cell r="H315" t="str">
            <v>911</v>
          </cell>
          <cell r="I315" t="str">
            <v>821</v>
          </cell>
        </row>
        <row r="316">
          <cell r="H316" t="str">
            <v>911</v>
          </cell>
          <cell r="I316" t="str">
            <v>4212</v>
          </cell>
          <cell r="J316">
            <v>70496889</v>
          </cell>
        </row>
        <row r="317">
          <cell r="H317" t="str">
            <v>4212</v>
          </cell>
          <cell r="I317" t="str">
            <v>911</v>
          </cell>
          <cell r="J317">
            <v>0</v>
          </cell>
        </row>
        <row r="318">
          <cell r="H318" t="str">
            <v>4212</v>
          </cell>
          <cell r="I318" t="str">
            <v>3334</v>
          </cell>
          <cell r="J318">
            <v>22559004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AA-B"/>
      <sheetName val="AA-R"/>
      <sheetName val="AA-W"/>
      <sheetName val="AA-C"/>
      <sheetName val="B"/>
      <sheetName val="R"/>
      <sheetName val="W"/>
      <sheetName val="C"/>
      <sheetName val="Lists"/>
    </sheetNames>
    <sheetDataSet>
      <sheetData sheetId="0" refreshError="1">
        <row r="2">
          <cell r="A2" t="str">
            <v>style No.</v>
          </cell>
          <cell r="C2">
            <v>37394</v>
          </cell>
        </row>
        <row r="3">
          <cell r="C3">
            <v>15221</v>
          </cell>
        </row>
        <row r="4">
          <cell r="C4" t="str">
            <v>VND</v>
          </cell>
          <cell r="D4" t="str">
            <v>USD</v>
          </cell>
        </row>
        <row r="5">
          <cell r="A5" t="str">
            <v>11V089</v>
          </cell>
          <cell r="B5" t="str">
            <v>AMORTEEN</v>
          </cell>
          <cell r="C5">
            <v>11271</v>
          </cell>
          <cell r="D5">
            <v>0.74049011234478679</v>
          </cell>
        </row>
        <row r="6">
          <cell r="A6" t="str">
            <v>11V103</v>
          </cell>
          <cell r="B6" t="str">
            <v>CLASSIQUE</v>
          </cell>
          <cell r="C6">
            <v>15368</v>
          </cell>
          <cell r="D6">
            <v>1.0096577097431181</v>
          </cell>
        </row>
        <row r="7">
          <cell r="A7" t="str">
            <v>11V261</v>
          </cell>
          <cell r="B7" t="str">
            <v>CLARICE</v>
          </cell>
          <cell r="C7">
            <v>23110</v>
          </cell>
          <cell r="D7">
            <v>1.518297089547336</v>
          </cell>
        </row>
        <row r="8">
          <cell r="A8" t="str">
            <v>11V451</v>
          </cell>
          <cell r="B8" t="str">
            <v>JESSICA</v>
          </cell>
          <cell r="C8">
            <v>25284</v>
          </cell>
          <cell r="D8">
            <v>1.6611260758163064</v>
          </cell>
        </row>
        <row r="9">
          <cell r="A9" t="str">
            <v>11V615</v>
          </cell>
          <cell r="B9" t="str">
            <v>T 434 V</v>
          </cell>
          <cell r="C9">
            <v>12960</v>
          </cell>
          <cell r="D9">
            <v>0.85145522633204129</v>
          </cell>
        </row>
        <row r="10">
          <cell r="A10" t="str">
            <v>11V708</v>
          </cell>
          <cell r="B10" t="str">
            <v>T 350 V</v>
          </cell>
          <cell r="C10">
            <v>16677</v>
          </cell>
          <cell r="D10">
            <v>1.0956573155508837</v>
          </cell>
        </row>
        <row r="11">
          <cell r="A11" t="str">
            <v>11V711</v>
          </cell>
          <cell r="B11" t="str">
            <v>ANGELICA V</v>
          </cell>
          <cell r="C11">
            <v>18043</v>
          </cell>
          <cell r="D11">
            <v>1.1854017475855725</v>
          </cell>
        </row>
        <row r="12">
          <cell r="A12" t="str">
            <v>11V941</v>
          </cell>
          <cell r="B12" t="str">
            <v>FASHION 350 V</v>
          </cell>
          <cell r="C12">
            <v>17358</v>
          </cell>
          <cell r="D12">
            <v>1.1403981341567571</v>
          </cell>
        </row>
        <row r="13">
          <cell r="A13" t="str">
            <v>16V086</v>
          </cell>
          <cell r="C13">
            <v>59152</v>
          </cell>
          <cell r="D13">
            <v>3.886209841666119</v>
          </cell>
        </row>
        <row r="14">
          <cell r="A14" t="str">
            <v>16V101</v>
          </cell>
          <cell r="C14">
            <v>59244</v>
          </cell>
          <cell r="D14">
            <v>3.8922541225937848</v>
          </cell>
        </row>
        <row r="15">
          <cell r="A15" t="str">
            <v>16V114</v>
          </cell>
          <cell r="C15">
            <v>60165</v>
          </cell>
          <cell r="D15">
            <v>3.9527626305761778</v>
          </cell>
        </row>
        <row r="16">
          <cell r="A16" t="str">
            <v>16V128</v>
          </cell>
          <cell r="C16">
            <v>60427</v>
          </cell>
          <cell r="D16">
            <v>3.969975691478878</v>
          </cell>
        </row>
        <row r="17">
          <cell r="A17" t="str">
            <v>16V163</v>
          </cell>
          <cell r="C17">
            <v>52611</v>
          </cell>
          <cell r="D17">
            <v>3.4564746074502333</v>
          </cell>
        </row>
        <row r="18">
          <cell r="A18" t="str">
            <v>16V164</v>
          </cell>
          <cell r="C18">
            <v>55954</v>
          </cell>
          <cell r="D18">
            <v>3.6761053807239996</v>
          </cell>
        </row>
        <row r="19">
          <cell r="A19" t="str">
            <v>18V184</v>
          </cell>
          <cell r="B19" t="str">
            <v>MAXIMIZER 020 DS</v>
          </cell>
          <cell r="C19">
            <v>31238</v>
          </cell>
          <cell r="D19">
            <v>2.0522961697654556</v>
          </cell>
        </row>
        <row r="20">
          <cell r="A20" t="str">
            <v>18V257</v>
          </cell>
          <cell r="B20" t="str">
            <v>T 352 TV</v>
          </cell>
          <cell r="C20">
            <v>20522</v>
          </cell>
          <cell r="D20">
            <v>1.3482688391038697</v>
          </cell>
        </row>
        <row r="21">
          <cell r="A21" t="str">
            <v>18V291</v>
          </cell>
          <cell r="B21" t="str">
            <v>MAXIMIZER 018 MVT</v>
          </cell>
          <cell r="C21">
            <v>29581</v>
          </cell>
          <cell r="D21">
            <v>1.9434334143617371</v>
          </cell>
        </row>
        <row r="22">
          <cell r="A22" t="str">
            <v>18V344</v>
          </cell>
          <cell r="B22" t="str">
            <v>ODELIE TV</v>
          </cell>
          <cell r="C22">
            <v>25268</v>
          </cell>
          <cell r="D22">
            <v>1.6600748965245384</v>
          </cell>
        </row>
        <row r="23">
          <cell r="A23" t="str">
            <v>18V435</v>
          </cell>
          <cell r="B23" t="str">
            <v>2758 DS</v>
          </cell>
          <cell r="C23">
            <v>19309</v>
          </cell>
          <cell r="D23">
            <v>1.2685763090467117</v>
          </cell>
        </row>
        <row r="24">
          <cell r="A24" t="str">
            <v>18V695</v>
          </cell>
          <cell r="B24" t="str">
            <v>MAXIMIZER 025 MDS</v>
          </cell>
          <cell r="C24">
            <v>34945</v>
          </cell>
          <cell r="D24">
            <v>2.295841271926943</v>
          </cell>
        </row>
        <row r="25">
          <cell r="A25" t="str">
            <v>19V437</v>
          </cell>
          <cell r="B25" t="str">
            <v>FASHION 350 TV 01</v>
          </cell>
          <cell r="C25">
            <v>18053</v>
          </cell>
          <cell r="D25">
            <v>1.1860587346429274</v>
          </cell>
        </row>
        <row r="26">
          <cell r="A26" t="str">
            <v>19V613</v>
          </cell>
          <cell r="B26" t="str">
            <v>MAXIMIZER 031 MVT 02</v>
          </cell>
          <cell r="C26">
            <v>50461</v>
          </cell>
          <cell r="D26">
            <v>3.3152223901189148</v>
          </cell>
        </row>
        <row r="27">
          <cell r="A27" t="str">
            <v>19V623</v>
          </cell>
          <cell r="B27" t="str">
            <v>MAXIMIZER 039 MVT 02</v>
          </cell>
          <cell r="C27">
            <v>65140</v>
          </cell>
          <cell r="D27">
            <v>4.2796136916102752</v>
          </cell>
        </row>
        <row r="28">
          <cell r="A28" t="str">
            <v>19V779</v>
          </cell>
          <cell r="B28" t="str">
            <v>MAXIMIZER 045 TV</v>
          </cell>
          <cell r="C28">
            <v>61370</v>
          </cell>
          <cell r="D28">
            <v>4.0319295709874519</v>
          </cell>
        </row>
        <row r="29">
          <cell r="A29" t="str">
            <v>19V803</v>
          </cell>
          <cell r="B29" t="str">
            <v>MAXIMIZER 060 DS</v>
          </cell>
          <cell r="C29">
            <v>28767</v>
          </cell>
          <cell r="D29">
            <v>1.8899546678930426</v>
          </cell>
        </row>
        <row r="30">
          <cell r="A30" t="str">
            <v>19V819</v>
          </cell>
          <cell r="C30">
            <v>48192</v>
          </cell>
          <cell r="D30">
            <v>3.1661520268050718</v>
          </cell>
        </row>
        <row r="31">
          <cell r="A31" t="str">
            <v>19V967</v>
          </cell>
          <cell r="B31" t="str">
            <v>FASHION 463 DS</v>
          </cell>
          <cell r="C31">
            <v>19559</v>
          </cell>
          <cell r="D31">
            <v>1.2850009854805859</v>
          </cell>
        </row>
        <row r="32">
          <cell r="A32" t="str">
            <v>19V968</v>
          </cell>
          <cell r="B32" t="str">
            <v>FASHION 463 TV</v>
          </cell>
          <cell r="C32">
            <v>18512</v>
          </cell>
          <cell r="D32">
            <v>1.2162144405755206</v>
          </cell>
        </row>
        <row r="33">
          <cell r="A33" t="str">
            <v>19V969</v>
          </cell>
          <cell r="B33" t="str">
            <v>FASHION 464 MDS</v>
          </cell>
          <cell r="C33">
            <v>51188</v>
          </cell>
          <cell r="D33">
            <v>3.3629853491886208</v>
          </cell>
        </row>
        <row r="34">
          <cell r="A34" t="str">
            <v>19V972</v>
          </cell>
          <cell r="B34" t="str">
            <v>FASHION 466 TV</v>
          </cell>
          <cell r="C34">
            <v>40864</v>
          </cell>
          <cell r="D34">
            <v>2.6847119111753499</v>
          </cell>
        </row>
        <row r="35">
          <cell r="A35" t="str">
            <v>19V973</v>
          </cell>
          <cell r="B35" t="str">
            <v>FASHION 466 DS</v>
          </cell>
          <cell r="C35">
            <v>43215</v>
          </cell>
          <cell r="D35">
            <v>2.8391695683595035</v>
          </cell>
        </row>
        <row r="36">
          <cell r="A36" t="str">
            <v>19V976</v>
          </cell>
          <cell r="B36" t="str">
            <v>FASHION 467 MDS</v>
          </cell>
          <cell r="C36">
            <v>35603</v>
          </cell>
          <cell r="D36">
            <v>2.3390710203009002</v>
          </cell>
        </row>
        <row r="37">
          <cell r="A37" t="str">
            <v>19V977</v>
          </cell>
          <cell r="B37" t="str">
            <v>FASHION 467 MVT</v>
          </cell>
          <cell r="C37">
            <v>35514</v>
          </cell>
          <cell r="D37">
            <v>2.3332238354904407</v>
          </cell>
        </row>
        <row r="38">
          <cell r="A38" t="str">
            <v>19V979</v>
          </cell>
          <cell r="B38" t="str">
            <v>FASHION 468 FV</v>
          </cell>
          <cell r="C38">
            <v>33654</v>
          </cell>
          <cell r="D38">
            <v>2.2110242428224165</v>
          </cell>
        </row>
        <row r="39">
          <cell r="A39" t="str">
            <v>20V407</v>
          </cell>
          <cell r="B39" t="str">
            <v>CONFECTION N</v>
          </cell>
          <cell r="C39">
            <v>13103</v>
          </cell>
          <cell r="D39">
            <v>0.86085014125221737</v>
          </cell>
        </row>
        <row r="40">
          <cell r="A40" t="str">
            <v>20V408</v>
          </cell>
          <cell r="B40" t="str">
            <v>JOLLY FLOWER N</v>
          </cell>
          <cell r="C40">
            <v>12059</v>
          </cell>
          <cell r="D40">
            <v>0.79226069246435848</v>
          </cell>
        </row>
        <row r="41">
          <cell r="A41" t="str">
            <v>20V421</v>
          </cell>
          <cell r="B41" t="str">
            <v>2003 V</v>
          </cell>
          <cell r="C41">
            <v>20284</v>
          </cell>
          <cell r="D41">
            <v>1.3326325471388214</v>
          </cell>
        </row>
        <row r="42">
          <cell r="A42" t="str">
            <v>20V427</v>
          </cell>
          <cell r="B42" t="str">
            <v>MAMABEL 01</v>
          </cell>
          <cell r="C42">
            <v>30391</v>
          </cell>
          <cell r="D42">
            <v>1.9966493660074895</v>
          </cell>
        </row>
        <row r="43">
          <cell r="A43" t="str">
            <v>21V165</v>
          </cell>
          <cell r="B43" t="str">
            <v>FASHION 118 MV</v>
          </cell>
          <cell r="C43">
            <v>23843</v>
          </cell>
          <cell r="D43">
            <v>1.5664542408514552</v>
          </cell>
        </row>
        <row r="44">
          <cell r="A44" t="str">
            <v>26V274</v>
          </cell>
          <cell r="C44">
            <v>37702</v>
          </cell>
          <cell r="D44">
            <v>2.4769726036397084</v>
          </cell>
        </row>
        <row r="45">
          <cell r="A45" t="str">
            <v>26V300</v>
          </cell>
          <cell r="B45" t="str">
            <v>MAXIMIZER 022 MVT CLICK N</v>
          </cell>
          <cell r="C45">
            <v>35199</v>
          </cell>
          <cell r="D45">
            <v>2.3125287431837593</v>
          </cell>
        </row>
        <row r="46">
          <cell r="A46" t="str">
            <v>26V308</v>
          </cell>
          <cell r="B46" t="str">
            <v>MAXIMIZER 012 TV CLICK N</v>
          </cell>
          <cell r="C46">
            <v>45856</v>
          </cell>
          <cell r="D46">
            <v>3.0126798502069509</v>
          </cell>
        </row>
        <row r="47">
          <cell r="A47" t="str">
            <v>26V332</v>
          </cell>
          <cell r="C47">
            <v>65922</v>
          </cell>
          <cell r="D47">
            <v>4.3309900794954341</v>
          </cell>
        </row>
        <row r="48">
          <cell r="A48" t="str">
            <v>27V143</v>
          </cell>
          <cell r="B48" t="str">
            <v>2620 FV</v>
          </cell>
          <cell r="C48">
            <v>21531</v>
          </cell>
          <cell r="D48">
            <v>1.4145588331909862</v>
          </cell>
        </row>
        <row r="49">
          <cell r="A49" t="str">
            <v>27V627</v>
          </cell>
          <cell r="B49" t="str">
            <v>SILHOUETTE</v>
          </cell>
          <cell r="C49">
            <v>19743</v>
          </cell>
          <cell r="D49">
            <v>1.2970895473359174</v>
          </cell>
        </row>
        <row r="50">
          <cell r="A50" t="str">
            <v>29V352</v>
          </cell>
          <cell r="B50" t="str">
            <v>BEATRICE</v>
          </cell>
          <cell r="C50">
            <v>20792</v>
          </cell>
          <cell r="D50">
            <v>1.3660074896524539</v>
          </cell>
        </row>
        <row r="51">
          <cell r="A51" t="str">
            <v>37V010</v>
          </cell>
          <cell r="B51" t="str">
            <v>AMOURETTE 01 LDN</v>
          </cell>
          <cell r="C51">
            <v>71344</v>
          </cell>
          <cell r="D51">
            <v>4.6872084619932988</v>
          </cell>
        </row>
        <row r="52">
          <cell r="A52" t="str">
            <v>37V092</v>
          </cell>
          <cell r="B52" t="str">
            <v>MAXIMIZER 034 MDSL</v>
          </cell>
          <cell r="C52">
            <v>68580</v>
          </cell>
          <cell r="D52">
            <v>4.5056172393403848</v>
          </cell>
        </row>
        <row r="53">
          <cell r="A53" t="str">
            <v>40V208</v>
          </cell>
          <cell r="C53">
            <v>25893</v>
          </cell>
          <cell r="D53">
            <v>1.7011365876092241</v>
          </cell>
        </row>
        <row r="54">
          <cell r="A54" t="str">
            <v>40V301</v>
          </cell>
          <cell r="B54" t="str">
            <v>SLIMFIT</v>
          </cell>
          <cell r="C54">
            <v>45617</v>
          </cell>
          <cell r="D54">
            <v>2.9969778595361674</v>
          </cell>
        </row>
        <row r="55">
          <cell r="A55" t="str">
            <v>40V684</v>
          </cell>
          <cell r="B55" t="str">
            <v>FASHION 355 PY</v>
          </cell>
          <cell r="C55">
            <v>28052</v>
          </cell>
          <cell r="D55">
            <v>1.8429800932921621</v>
          </cell>
        </row>
        <row r="56">
          <cell r="A56" t="str">
            <v>40V707</v>
          </cell>
          <cell r="C56">
            <v>35101</v>
          </cell>
          <cell r="D56">
            <v>2.3060902700216808</v>
          </cell>
        </row>
        <row r="57">
          <cell r="A57" t="str">
            <v>74V034</v>
          </cell>
          <cell r="B57" t="str">
            <v>FASHION 245 HIKINI</v>
          </cell>
          <cell r="C57">
            <v>11528</v>
          </cell>
          <cell r="D57">
            <v>0.75737467971880956</v>
          </cell>
        </row>
        <row r="58">
          <cell r="A58" t="str">
            <v>74V072</v>
          </cell>
          <cell r="B58" t="str">
            <v>T 352 HIKINI</v>
          </cell>
          <cell r="C58">
            <v>13360</v>
          </cell>
          <cell r="D58">
            <v>0.87773470862624003</v>
          </cell>
        </row>
        <row r="59">
          <cell r="A59" t="str">
            <v>74V084</v>
          </cell>
          <cell r="B59" t="str">
            <v>ANGELICA HIKINI</v>
          </cell>
          <cell r="C59">
            <v>7936</v>
          </cell>
          <cell r="D59">
            <v>0.52138492871690423</v>
          </cell>
        </row>
        <row r="60">
          <cell r="A60" t="str">
            <v>74V1002</v>
          </cell>
          <cell r="C60">
            <v>15513</v>
          </cell>
          <cell r="D60">
            <v>1.0191840220747652</v>
          </cell>
        </row>
        <row r="61">
          <cell r="A61" t="str">
            <v>74V1003</v>
          </cell>
          <cell r="C61">
            <v>16426</v>
          </cell>
          <cell r="D61">
            <v>1.0791669404112738</v>
          </cell>
        </row>
        <row r="62">
          <cell r="A62" t="str">
            <v>74V1061</v>
          </cell>
          <cell r="C62">
            <v>23004</v>
          </cell>
          <cell r="D62">
            <v>1.5113330267393732</v>
          </cell>
        </row>
        <row r="63">
          <cell r="A63" t="str">
            <v>74V653</v>
          </cell>
          <cell r="B63" t="str">
            <v>FASHION 330 HIKINI</v>
          </cell>
          <cell r="C63">
            <v>13765</v>
          </cell>
          <cell r="D63">
            <v>0.90434268444911636</v>
          </cell>
        </row>
        <row r="64">
          <cell r="A64" t="str">
            <v>74V733</v>
          </cell>
          <cell r="B64" t="str">
            <v>FASHION 355 HIKINI</v>
          </cell>
          <cell r="C64">
            <v>19500</v>
          </cell>
          <cell r="D64">
            <v>1.2811247618421917</v>
          </cell>
        </row>
        <row r="65">
          <cell r="A65" t="str">
            <v>74V735</v>
          </cell>
          <cell r="B65" t="str">
            <v>FASHION 429 HIKINI</v>
          </cell>
          <cell r="C65">
            <v>8865</v>
          </cell>
          <cell r="D65">
            <v>0.58241902634518095</v>
          </cell>
        </row>
        <row r="66">
          <cell r="A66" t="str">
            <v>74V793</v>
          </cell>
          <cell r="B66" t="str">
            <v>FASHION 398 MINI</v>
          </cell>
          <cell r="C66">
            <v>22363</v>
          </cell>
          <cell r="D66">
            <v>1.4692201563629197</v>
          </cell>
        </row>
        <row r="67">
          <cell r="A67" t="str">
            <v>74V868</v>
          </cell>
          <cell r="B67" t="str">
            <v>74V868</v>
          </cell>
          <cell r="C67">
            <v>6965</v>
          </cell>
          <cell r="D67">
            <v>0.4575914854477367</v>
          </cell>
        </row>
        <row r="68">
          <cell r="A68" t="str">
            <v>74V869</v>
          </cell>
          <cell r="B68" t="str">
            <v>74V869</v>
          </cell>
          <cell r="C68">
            <v>7093</v>
          </cell>
          <cell r="D68">
            <v>0.4660009197818803</v>
          </cell>
        </row>
        <row r="69">
          <cell r="A69" t="str">
            <v>74V870</v>
          </cell>
          <cell r="B69" t="str">
            <v>74V870</v>
          </cell>
          <cell r="C69">
            <v>7835</v>
          </cell>
          <cell r="D69">
            <v>0.51474935943761913</v>
          </cell>
        </row>
        <row r="70">
          <cell r="A70" t="str">
            <v>74V892</v>
          </cell>
          <cell r="B70" t="str">
            <v>FASHION 466 HIKINI</v>
          </cell>
          <cell r="C70">
            <v>12487</v>
          </cell>
          <cell r="D70">
            <v>0.82037973851915114</v>
          </cell>
        </row>
        <row r="71">
          <cell r="A71" t="str">
            <v>74V893</v>
          </cell>
          <cell r="B71" t="str">
            <v>FASHION 467 HIKINI</v>
          </cell>
          <cell r="C71">
            <v>17673</v>
          </cell>
          <cell r="D71">
            <v>1.1610932264634386</v>
          </cell>
        </row>
        <row r="72">
          <cell r="A72" t="str">
            <v>74V894</v>
          </cell>
          <cell r="B72" t="str">
            <v>FASHION 468 HIKINI</v>
          </cell>
          <cell r="C72">
            <v>15498</v>
          </cell>
          <cell r="D72">
            <v>1.0181985414887327</v>
          </cell>
        </row>
        <row r="73">
          <cell r="A73" t="str">
            <v>74V980</v>
          </cell>
          <cell r="C73">
            <v>21433</v>
          </cell>
          <cell r="D73">
            <v>1.4081203600289074</v>
          </cell>
        </row>
        <row r="74">
          <cell r="A74" t="str">
            <v>75X974</v>
          </cell>
          <cell r="C74">
            <v>6122</v>
          </cell>
          <cell r="D74">
            <v>0.40220747651271271</v>
          </cell>
        </row>
        <row r="75">
          <cell r="A75" t="str">
            <v>76v030</v>
          </cell>
          <cell r="B75" t="str">
            <v>Lilia midi 1</v>
          </cell>
          <cell r="C75">
            <v>16389</v>
          </cell>
          <cell r="D75">
            <v>1.0767360882990604</v>
          </cell>
        </row>
        <row r="76">
          <cell r="A76" t="str">
            <v>76V129</v>
          </cell>
          <cell r="B76" t="str">
            <v>MAMABEL 05</v>
          </cell>
          <cell r="C76">
            <v>23144</v>
          </cell>
          <cell r="D76">
            <v>1.5205308455423427</v>
          </cell>
        </row>
        <row r="77">
          <cell r="A77" t="str">
            <v>76V261</v>
          </cell>
          <cell r="B77" t="str">
            <v>SLOGGI STYLE TANGA</v>
          </cell>
          <cell r="C77">
            <v>10121</v>
          </cell>
          <cell r="D77">
            <v>0.66493660074896521</v>
          </cell>
        </row>
        <row r="78">
          <cell r="A78" t="str">
            <v>76V262</v>
          </cell>
          <cell r="B78" t="str">
            <v>SLOGGI STYLE MIDI</v>
          </cell>
          <cell r="C78">
            <v>12005</v>
          </cell>
          <cell r="D78">
            <v>0.78871296235464161</v>
          </cell>
        </row>
        <row r="79">
          <cell r="A79" t="str">
            <v>76V336</v>
          </cell>
          <cell r="B79" t="str">
            <v xml:space="preserve">SLOGGI COMFORT MINI </v>
          </cell>
          <cell r="C79">
            <v>12260</v>
          </cell>
          <cell r="D79">
            <v>0.80546613231719333</v>
          </cell>
        </row>
        <row r="80">
          <cell r="A80" t="str">
            <v>76V337</v>
          </cell>
          <cell r="B80" t="str">
            <v xml:space="preserve">SLOGGI COMFPRT MIDI </v>
          </cell>
          <cell r="C80">
            <v>13532</v>
          </cell>
          <cell r="D80">
            <v>0.8890348860127455</v>
          </cell>
        </row>
        <row r="81">
          <cell r="A81" t="str">
            <v>76V338</v>
          </cell>
          <cell r="B81" t="str">
            <v>SLOGGI COMFORT HIKINI</v>
          </cell>
          <cell r="C81">
            <v>13276</v>
          </cell>
          <cell r="D81">
            <v>0.87221601734445831</v>
          </cell>
        </row>
        <row r="82">
          <cell r="A82" t="str">
            <v>76V339</v>
          </cell>
          <cell r="B82" t="str">
            <v xml:space="preserve">SLOGGI COMFORT MAXI </v>
          </cell>
          <cell r="C82">
            <v>18867</v>
          </cell>
          <cell r="D82">
            <v>1.2395374811116222</v>
          </cell>
        </row>
        <row r="83">
          <cell r="A83" t="str">
            <v>76V364</v>
          </cell>
          <cell r="B83" t="str">
            <v>SLOGGI STYLE JUST WAIST</v>
          </cell>
          <cell r="C83">
            <v>14001</v>
          </cell>
          <cell r="D83">
            <v>0.91984757900269365</v>
          </cell>
        </row>
        <row r="84">
          <cell r="A84" t="str">
            <v>76V366</v>
          </cell>
          <cell r="B84" t="str">
            <v>SLOGGI STYLE HIKINI</v>
          </cell>
          <cell r="C84">
            <v>12548</v>
          </cell>
          <cell r="D84">
            <v>0.82438735956901654</v>
          </cell>
        </row>
        <row r="85">
          <cell r="A85" t="str">
            <v>76V367</v>
          </cell>
          <cell r="B85" t="str">
            <v>SLOGGI STYLE MAXI</v>
          </cell>
          <cell r="C85">
            <v>15068</v>
          </cell>
          <cell r="D85">
            <v>0.98994809802246897</v>
          </cell>
        </row>
        <row r="86">
          <cell r="A86" t="str">
            <v>76V384</v>
          </cell>
          <cell r="B86" t="str">
            <v>LILIA 02 MIDI 2</v>
          </cell>
          <cell r="C86">
            <v>15825</v>
          </cell>
          <cell r="D86">
            <v>1.0396820182642401</v>
          </cell>
        </row>
        <row r="87">
          <cell r="A87" t="str">
            <v>76V400</v>
          </cell>
          <cell r="B87" t="str">
            <v xml:space="preserve">SLOGGI COMFORT TANGA </v>
          </cell>
          <cell r="C87">
            <v>12272</v>
          </cell>
          <cell r="D87">
            <v>0.80625451678601934</v>
          </cell>
        </row>
        <row r="88">
          <cell r="A88" t="str">
            <v>77V319</v>
          </cell>
          <cell r="B88" t="str">
            <v>COTTON COMFORT MINI</v>
          </cell>
          <cell r="C88">
            <v>5098</v>
          </cell>
          <cell r="D88">
            <v>0.33493200183956379</v>
          </cell>
        </row>
        <row r="89">
          <cell r="A89" t="str">
            <v>77V324</v>
          </cell>
          <cell r="B89" t="str">
            <v>COTTON COMFORT MIDI</v>
          </cell>
          <cell r="C89">
            <v>5968</v>
          </cell>
          <cell r="D89">
            <v>0.39208987582944616</v>
          </cell>
        </row>
        <row r="90">
          <cell r="A90" t="str">
            <v>77V575</v>
          </cell>
          <cell r="B90" t="str">
            <v>COTTON COMFORT MAXI</v>
          </cell>
          <cell r="C90">
            <v>6711</v>
          </cell>
          <cell r="D90">
            <v>0.44090401419092046</v>
          </cell>
        </row>
        <row r="91">
          <cell r="A91" t="str">
            <v>78V001</v>
          </cell>
          <cell r="B91" t="str">
            <v>MAXI PATTERN</v>
          </cell>
          <cell r="C91">
            <v>6996</v>
          </cell>
          <cell r="D91">
            <v>0.45962814532553709</v>
          </cell>
        </row>
        <row r="92">
          <cell r="A92" t="str">
            <v>78V002</v>
          </cell>
          <cell r="B92" t="str">
            <v>MINI PATTERN</v>
          </cell>
          <cell r="C92">
            <v>5622</v>
          </cell>
          <cell r="D92">
            <v>0.36935812364496418</v>
          </cell>
        </row>
        <row r="93">
          <cell r="A93" t="str">
            <v>78V003</v>
          </cell>
          <cell r="B93" t="str">
            <v>MIDI PATTERN</v>
          </cell>
          <cell r="C93">
            <v>6526</v>
          </cell>
          <cell r="D93">
            <v>0.42874975362985351</v>
          </cell>
        </row>
        <row r="94">
          <cell r="A94" t="str">
            <v>83V262</v>
          </cell>
          <cell r="B94" t="str">
            <v>T 397 VEST</v>
          </cell>
          <cell r="C94">
            <v>8696</v>
          </cell>
          <cell r="D94">
            <v>0.57131594507588201</v>
          </cell>
        </row>
        <row r="95">
          <cell r="A95" t="str">
            <v>83V271</v>
          </cell>
          <cell r="B95" t="str">
            <v>T 409 VEST</v>
          </cell>
          <cell r="C95">
            <v>10349</v>
          </cell>
          <cell r="D95">
            <v>0.6799159056566586</v>
          </cell>
        </row>
        <row r="96">
          <cell r="A96" t="str">
            <v>87V093</v>
          </cell>
          <cell r="B96" t="str">
            <v>SLOGGI ACTIVE BOY LEG</v>
          </cell>
          <cell r="C96">
            <v>17200</v>
          </cell>
          <cell r="D96">
            <v>1.1300177386505486</v>
          </cell>
        </row>
        <row r="97">
          <cell r="A97" t="str">
            <v>88V103</v>
          </cell>
          <cell r="B97" t="str">
            <v>SLOGGI ACIVE TOP</v>
          </cell>
          <cell r="C97">
            <v>22435</v>
          </cell>
          <cell r="D97">
            <v>1.4739504631758755</v>
          </cell>
        </row>
        <row r="98">
          <cell r="A98" t="str">
            <v>16V547</v>
          </cell>
          <cell r="B98" t="str">
            <v>FASHION 573 TV</v>
          </cell>
          <cell r="C98">
            <v>30856</v>
          </cell>
          <cell r="D98">
            <v>2.0395267367307821</v>
          </cell>
        </row>
        <row r="99">
          <cell r="A99" t="str">
            <v>16V549</v>
          </cell>
          <cell r="B99" t="str">
            <v>FASHION 573 FV</v>
          </cell>
          <cell r="C99">
            <v>36740</v>
          </cell>
          <cell r="D99">
            <v>2.42844867473065</v>
          </cell>
        </row>
        <row r="100">
          <cell r="A100" t="str">
            <v>16V550</v>
          </cell>
          <cell r="B100" t="str">
            <v>FASHION 574 TV</v>
          </cell>
          <cell r="C100">
            <v>29979</v>
          </cell>
          <cell r="D100">
            <v>1.9815585960737656</v>
          </cell>
        </row>
        <row r="101">
          <cell r="A101" t="str">
            <v>16V552</v>
          </cell>
          <cell r="B101" t="str">
            <v>FASHION 574 FV</v>
          </cell>
          <cell r="C101">
            <v>34774</v>
          </cell>
          <cell r="D101">
            <v>2.2984995703615572</v>
          </cell>
        </row>
        <row r="102">
          <cell r="A102" t="str">
            <v>16V556</v>
          </cell>
          <cell r="B102" t="str">
            <v>FASHION 576 TV</v>
          </cell>
          <cell r="C102">
            <v>29839</v>
          </cell>
          <cell r="D102">
            <v>1.9723048449996694</v>
          </cell>
        </row>
        <row r="103">
          <cell r="A103" t="str">
            <v>16V557</v>
          </cell>
          <cell r="B103" t="str">
            <v>FASHION 577 DS</v>
          </cell>
          <cell r="C103">
            <v>30270</v>
          </cell>
          <cell r="D103">
            <v>2.000793178663494</v>
          </cell>
        </row>
        <row r="104">
          <cell r="A104" t="str">
            <v>16V558</v>
          </cell>
          <cell r="B104" t="str">
            <v>FASHION 577 TV</v>
          </cell>
          <cell r="C104">
            <v>35252</v>
          </cell>
          <cell r="D104">
            <v>2.3300945204573997</v>
          </cell>
        </row>
        <row r="105">
          <cell r="A105" t="str">
            <v>16V559</v>
          </cell>
          <cell r="B105" t="str">
            <v>FASHION 578 DS</v>
          </cell>
          <cell r="C105">
            <v>26656</v>
          </cell>
          <cell r="D105">
            <v>1.7619142045078988</v>
          </cell>
        </row>
        <row r="106">
          <cell r="A106" t="str">
            <v>16V560</v>
          </cell>
          <cell r="B106" t="str">
            <v>FASHION 578 TV</v>
          </cell>
          <cell r="C106">
            <v>25675</v>
          </cell>
          <cell r="D106">
            <v>1.6970718487672682</v>
          </cell>
        </row>
        <row r="107">
          <cell r="A107" t="str">
            <v>16V555</v>
          </cell>
          <cell r="B107" t="str">
            <v>FASHION 576 FV</v>
          </cell>
          <cell r="C107">
            <v>32771</v>
          </cell>
          <cell r="D107">
            <v>2.1661048317800251</v>
          </cell>
        </row>
        <row r="108">
          <cell r="A108" t="str">
            <v>16V125</v>
          </cell>
          <cell r="B108" t="str">
            <v>MAXIMIZER 072 MDS 1</v>
          </cell>
          <cell r="C108">
            <v>43704</v>
          </cell>
          <cell r="D108">
            <v>2.8887566924449732</v>
          </cell>
        </row>
        <row r="109">
          <cell r="A109" t="str">
            <v>16V639</v>
          </cell>
          <cell r="B109" t="str">
            <v>MAXIMIZER 072 MVT 1</v>
          </cell>
          <cell r="C109">
            <v>43513</v>
          </cell>
          <cell r="D109">
            <v>2.8761319320510279</v>
          </cell>
        </row>
        <row r="110">
          <cell r="A110" t="str">
            <v>16V553</v>
          </cell>
          <cell r="B110" t="str">
            <v>MAXIMIZER 102 TV</v>
          </cell>
          <cell r="C110">
            <v>34889</v>
          </cell>
          <cell r="D110">
            <v>2.3061008658867075</v>
          </cell>
        </row>
        <row r="111">
          <cell r="A111" t="str">
            <v>16V551</v>
          </cell>
          <cell r="B111" t="str">
            <v>MAXIMIZER 101 DS</v>
          </cell>
          <cell r="C111">
            <v>41341</v>
          </cell>
          <cell r="D111">
            <v>2.7325665939586226</v>
          </cell>
        </row>
        <row r="112">
          <cell r="A112" t="str">
            <v>16V548</v>
          </cell>
          <cell r="B112" t="str">
            <v>MAXIMIZER 100 DS</v>
          </cell>
          <cell r="C112">
            <v>39075</v>
          </cell>
          <cell r="D112">
            <v>2.5827880230021814</v>
          </cell>
        </row>
        <row r="113">
          <cell r="A113" t="str">
            <v>16V562</v>
          </cell>
          <cell r="B113" t="str">
            <v>MAXIMIZER 103 FV</v>
          </cell>
          <cell r="C113">
            <v>39759</v>
          </cell>
          <cell r="D113">
            <v>2.6279992068213365</v>
          </cell>
        </row>
        <row r="114">
          <cell r="A114" t="str">
            <v>16V554</v>
          </cell>
          <cell r="B114" t="str">
            <v>MAXIMIZER 102 DS</v>
          </cell>
          <cell r="C114">
            <v>42653</v>
          </cell>
          <cell r="D114">
            <v>2.8192874611672947</v>
          </cell>
        </row>
        <row r="115">
          <cell r="A115" t="str">
            <v>16V561</v>
          </cell>
          <cell r="B115" t="str">
            <v>MAXIMIZER 103 DS</v>
          </cell>
          <cell r="C115">
            <v>47996</v>
          </cell>
          <cell r="D115">
            <v>3.1724502610879766</v>
          </cell>
        </row>
        <row r="116">
          <cell r="A116" t="str">
            <v>16V247</v>
          </cell>
          <cell r="B116" t="str">
            <v>MAXIMIZER 093 MVT</v>
          </cell>
          <cell r="C116">
            <v>49585</v>
          </cell>
          <cell r="D116">
            <v>3.2774803357789675</v>
          </cell>
        </row>
        <row r="117">
          <cell r="A117" t="str">
            <v>15641</v>
          </cell>
          <cell r="B117" t="str">
            <v>Swimwear</v>
          </cell>
          <cell r="C117">
            <v>32717.97</v>
          </cell>
        </row>
        <row r="118">
          <cell r="A118" t="str">
            <v>15816</v>
          </cell>
          <cell r="B118" t="str">
            <v>Swimwear</v>
          </cell>
          <cell r="C118">
            <v>87993.030999999988</v>
          </cell>
        </row>
        <row r="119">
          <cell r="A119" t="str">
            <v>15847</v>
          </cell>
          <cell r="B119" t="str">
            <v>Swimwear</v>
          </cell>
          <cell r="C119">
            <v>66661.182795698915</v>
          </cell>
        </row>
        <row r="120">
          <cell r="A120" t="str">
            <v>15862</v>
          </cell>
          <cell r="B120" t="str">
            <v>Swimwear</v>
          </cell>
          <cell r="C120">
            <v>67318.467272727285</v>
          </cell>
        </row>
        <row r="121">
          <cell r="A121" t="str">
            <v>15863</v>
          </cell>
          <cell r="B121" t="str">
            <v>Swimwear</v>
          </cell>
          <cell r="C121">
            <v>69398.838135593222</v>
          </cell>
        </row>
        <row r="122">
          <cell r="A122" t="str">
            <v>V16575</v>
          </cell>
          <cell r="B122" t="str">
            <v>Swimwear</v>
          </cell>
          <cell r="C122">
            <v>85198.325953729131</v>
          </cell>
        </row>
        <row r="123">
          <cell r="A123" t="str">
            <v>V12468</v>
          </cell>
          <cell r="B123" t="str">
            <v>Swimwear</v>
          </cell>
          <cell r="C123">
            <v>89628.14108958203</v>
          </cell>
        </row>
        <row r="124">
          <cell r="A124" t="str">
            <v>V12596</v>
          </cell>
          <cell r="B124" t="str">
            <v>Swimwear</v>
          </cell>
          <cell r="C124">
            <v>61323.4756681176</v>
          </cell>
        </row>
        <row r="125">
          <cell r="A125" t="str">
            <v>V12607</v>
          </cell>
          <cell r="B125" t="str">
            <v>Swimwear</v>
          </cell>
          <cell r="C125">
            <v>68696.335207280776</v>
          </cell>
        </row>
        <row r="126">
          <cell r="A126" t="str">
            <v>V16196</v>
          </cell>
          <cell r="B126" t="str">
            <v>Swimwear</v>
          </cell>
          <cell r="C126">
            <v>73138.631311475401</v>
          </cell>
        </row>
        <row r="127">
          <cell r="A127" t="str">
            <v>V16343</v>
          </cell>
          <cell r="B127" t="str">
            <v>Swimwear</v>
          </cell>
          <cell r="C127">
            <v>117646.34482034885</v>
          </cell>
        </row>
        <row r="128">
          <cell r="A128" t="str">
            <v>V16510</v>
          </cell>
          <cell r="B128" t="str">
            <v>Swimwear</v>
          </cell>
          <cell r="C128">
            <v>115683.82654903611</v>
          </cell>
        </row>
        <row r="129">
          <cell r="A129" t="str">
            <v>V16530</v>
          </cell>
          <cell r="B129" t="str">
            <v>Swimwear</v>
          </cell>
          <cell r="C129">
            <v>130456.99099992294</v>
          </cell>
        </row>
        <row r="130">
          <cell r="A130" t="str">
            <v>V16586</v>
          </cell>
          <cell r="B130" t="str">
            <v>Swimwear</v>
          </cell>
          <cell r="C130">
            <v>67661.398292961749</v>
          </cell>
        </row>
        <row r="131">
          <cell r="A131" t="str">
            <v>V16590</v>
          </cell>
          <cell r="B131" t="str">
            <v>Swimwear</v>
          </cell>
          <cell r="C131">
            <v>69329.189151946499</v>
          </cell>
        </row>
        <row r="132">
          <cell r="A132" t="str">
            <v>V17006</v>
          </cell>
          <cell r="B132" t="str">
            <v>Swimwear</v>
          </cell>
          <cell r="C132">
            <v>51331.838726853624</v>
          </cell>
        </row>
        <row r="133">
          <cell r="A133" t="str">
            <v>V18007</v>
          </cell>
          <cell r="B133" t="str">
            <v>Swimwear</v>
          </cell>
          <cell r="C133">
            <v>35588.961738983853</v>
          </cell>
        </row>
        <row r="134">
          <cell r="A134" t="str">
            <v>15884</v>
          </cell>
          <cell r="B134" t="str">
            <v>Swimwear</v>
          </cell>
          <cell r="C134">
            <v>87957.953124999985</v>
          </cell>
        </row>
        <row r="135">
          <cell r="A135" t="str">
            <v>74V1362</v>
          </cell>
          <cell r="B135" t="str">
            <v>FASHION 573 MINI</v>
          </cell>
          <cell r="C135">
            <v>14575</v>
          </cell>
          <cell r="D135">
            <v>0.96338158503536253</v>
          </cell>
        </row>
        <row r="136">
          <cell r="A136" t="str">
            <v>74V1363</v>
          </cell>
          <cell r="B136" t="str">
            <v>FASHION 574 MINI</v>
          </cell>
          <cell r="C136">
            <v>12449</v>
          </cell>
          <cell r="D136">
            <v>0.82285676515301742</v>
          </cell>
        </row>
        <row r="137">
          <cell r="A137" t="str">
            <v>74V1365</v>
          </cell>
          <cell r="B137" t="str">
            <v>FASHION 576 MINI</v>
          </cell>
          <cell r="C137">
            <v>20031</v>
          </cell>
          <cell r="D137">
            <v>1.3240134840372795</v>
          </cell>
        </row>
        <row r="138">
          <cell r="A138" t="str">
            <v>74V1366</v>
          </cell>
          <cell r="B138" t="str">
            <v>FASHION 577 MINI</v>
          </cell>
          <cell r="C138">
            <v>17168</v>
          </cell>
          <cell r="D138">
            <v>1.134774274572014</v>
          </cell>
        </row>
        <row r="139">
          <cell r="A139" t="str">
            <v>74V1367</v>
          </cell>
          <cell r="B139" t="str">
            <v>FASHION 578 MINI</v>
          </cell>
          <cell r="C139">
            <v>13506</v>
          </cell>
          <cell r="D139">
            <v>0.89272258576244301</v>
          </cell>
        </row>
        <row r="140">
          <cell r="A140" t="str">
            <v>74V1463</v>
          </cell>
          <cell r="B140" t="str">
            <v>FASHION 452 MINI</v>
          </cell>
          <cell r="C140">
            <v>7917</v>
          </cell>
          <cell r="D140">
            <v>0.52329962324013479</v>
          </cell>
        </row>
        <row r="141">
          <cell r="A141" t="str">
            <v>74V1464</v>
          </cell>
          <cell r="B141" t="str">
            <v>FASHION 452 T-BACK</v>
          </cell>
          <cell r="C141">
            <v>7180</v>
          </cell>
          <cell r="D141">
            <v>0.47458523365721461</v>
          </cell>
        </row>
        <row r="142">
          <cell r="A142" t="str">
            <v>74V1364</v>
          </cell>
          <cell r="B142" t="str">
            <v>FASHION 575 MINI</v>
          </cell>
          <cell r="C142">
            <v>10120</v>
          </cell>
          <cell r="D142">
            <v>0.66891400621323283</v>
          </cell>
        </row>
        <row r="143">
          <cell r="A143" t="str">
            <v>74V1368</v>
          </cell>
          <cell r="B143" t="str">
            <v>FASHION 579 MINI</v>
          </cell>
          <cell r="C143">
            <v>18348</v>
          </cell>
          <cell r="D143">
            <v>1.2127701764822527</v>
          </cell>
        </row>
        <row r="144">
          <cell r="A144" t="str">
            <v>74V1213</v>
          </cell>
          <cell r="B144" t="str">
            <v>FASHION 545 LOW WAIST T-BACK</v>
          </cell>
          <cell r="C144">
            <v>17686</v>
          </cell>
          <cell r="D144">
            <v>1.1690131535461696</v>
          </cell>
        </row>
        <row r="145">
          <cell r="A145" t="str">
            <v>74V1206</v>
          </cell>
          <cell r="B145" t="str">
            <v>FASHION 545 LOW WAIST T-BACK</v>
          </cell>
          <cell r="C145">
            <v>16273</v>
          </cell>
          <cell r="D145">
            <v>1.0756163659197568</v>
          </cell>
        </row>
        <row r="146">
          <cell r="A146" t="str">
            <v>74X234</v>
          </cell>
          <cell r="B146" t="str">
            <v>MINI LACE</v>
          </cell>
          <cell r="C146">
            <v>6819</v>
          </cell>
          <cell r="D146">
            <v>0.44799947441035409</v>
          </cell>
        </row>
        <row r="147">
          <cell r="A147" t="str">
            <v>74X234A</v>
          </cell>
          <cell r="B147" t="str">
            <v>MINI LACE</v>
          </cell>
          <cell r="C147">
            <v>6819</v>
          </cell>
          <cell r="D147">
            <v>0.44799947441035409</v>
          </cell>
        </row>
        <row r="148">
          <cell r="A148" t="str">
            <v>16V310</v>
          </cell>
          <cell r="B148" t="str">
            <v>MAXIMIZER 095 MVT</v>
          </cell>
          <cell r="C148">
            <v>48488</v>
          </cell>
          <cell r="D148">
            <v>3.2049705862912288</v>
          </cell>
        </row>
        <row r="149">
          <cell r="A149" t="str">
            <v>16V256</v>
          </cell>
          <cell r="B149" t="str">
            <v>MAXIMIZER 097 MDS</v>
          </cell>
          <cell r="C149">
            <v>42584</v>
          </cell>
          <cell r="D149">
            <v>2.8147266838522045</v>
          </cell>
        </row>
        <row r="150">
          <cell r="A150" t="str">
            <v>26V489</v>
          </cell>
          <cell r="B150" t="str">
            <v>FASHION 540 F</v>
          </cell>
          <cell r="C150">
            <v>72619.199999999997</v>
          </cell>
          <cell r="D150">
            <v>4.8</v>
          </cell>
        </row>
        <row r="151">
          <cell r="A151" t="str">
            <v>74V1203</v>
          </cell>
          <cell r="B151" t="str">
            <v>FASHION 581 TANGA</v>
          </cell>
          <cell r="C151">
            <v>7284</v>
          </cell>
          <cell r="D151">
            <v>0.48145944874082885</v>
          </cell>
        </row>
        <row r="152">
          <cell r="A152" t="str">
            <v>74V1162</v>
          </cell>
          <cell r="B152" t="str">
            <v>FASHION 581 T-BACK</v>
          </cell>
          <cell r="C152">
            <v>7538</v>
          </cell>
          <cell r="D152">
            <v>0.49824839711811753</v>
          </cell>
        </row>
        <row r="153">
          <cell r="A153" t="str">
            <v>74V1167</v>
          </cell>
          <cell r="B153" t="str">
            <v>FASHION 549 LOW WAIST MINI</v>
          </cell>
          <cell r="C153">
            <v>8973</v>
          </cell>
          <cell r="D153">
            <v>0.59309934562760258</v>
          </cell>
        </row>
        <row r="154">
          <cell r="A154" t="str">
            <v>74V1202</v>
          </cell>
          <cell r="B154" t="str">
            <v>FASHION 549 LOW WAIST T-BACK</v>
          </cell>
          <cell r="C154">
            <v>5608</v>
          </cell>
          <cell r="D154">
            <v>0.37067882873950692</v>
          </cell>
        </row>
        <row r="155">
          <cell r="A155" t="str">
            <v>74V1199</v>
          </cell>
          <cell r="B155" t="str">
            <v>FASHION 540 MINI</v>
          </cell>
          <cell r="C155">
            <v>37822.5</v>
          </cell>
          <cell r="D155">
            <v>2.5</v>
          </cell>
        </row>
        <row r="156">
          <cell r="A156" t="str">
            <v>16v099</v>
          </cell>
          <cell r="C156">
            <v>63927.922014388503</v>
          </cell>
          <cell r="D156">
            <v>4.1999817367051113</v>
          </cell>
        </row>
        <row r="157">
          <cell r="A157" t="str">
            <v>17V646</v>
          </cell>
          <cell r="C157">
            <v>36571.951612903227</v>
          </cell>
          <cell r="D157">
            <v>2.4027298871889644</v>
          </cell>
        </row>
        <row r="158">
          <cell r="A158" t="str">
            <v>17V647</v>
          </cell>
          <cell r="C158">
            <v>36209</v>
          </cell>
          <cell r="D158">
            <v>2.3788844359766115</v>
          </cell>
        </row>
        <row r="159">
          <cell r="A159" t="str">
            <v>19V971</v>
          </cell>
          <cell r="C159">
            <v>26752</v>
          </cell>
          <cell r="D159">
            <v>1.7575717758360161</v>
          </cell>
        </row>
        <row r="160">
          <cell r="A160" t="str">
            <v>24V144</v>
          </cell>
          <cell r="C160">
            <v>28763</v>
          </cell>
          <cell r="D160">
            <v>1.8896918730701004</v>
          </cell>
        </row>
        <row r="161">
          <cell r="A161" t="str">
            <v>74V991</v>
          </cell>
          <cell r="C161">
            <v>33283.800000000003</v>
          </cell>
          <cell r="D161">
            <v>2.1867025819591355</v>
          </cell>
        </row>
        <row r="162">
          <cell r="A162" t="str">
            <v>74V992</v>
          </cell>
          <cell r="C162">
            <v>27232.2</v>
          </cell>
          <cell r="D162">
            <v>1.7891202943302018</v>
          </cell>
        </row>
        <row r="163">
          <cell r="A163" t="str">
            <v>74V891</v>
          </cell>
          <cell r="C163">
            <v>9474.8516129032269</v>
          </cell>
          <cell r="D163">
            <v>0.62248548800362835</v>
          </cell>
        </row>
        <row r="164">
          <cell r="A164" t="str">
            <v>Old bargain bra</v>
          </cell>
          <cell r="C164">
            <v>35321.244190319798</v>
          </cell>
          <cell r="D164">
            <v>2.3205600282714536</v>
          </cell>
        </row>
        <row r="165">
          <cell r="A165" t="str">
            <v>new bargain bra</v>
          </cell>
          <cell r="C165">
            <v>40000</v>
          </cell>
          <cell r="D165">
            <v>2.6279482294198804</v>
          </cell>
        </row>
        <row r="166">
          <cell r="A166" t="str">
            <v>Old bargain brief</v>
          </cell>
          <cell r="C166">
            <v>8119.6543276305001</v>
          </cell>
          <cell r="D166">
            <v>0.53345078034495108</v>
          </cell>
        </row>
        <row r="167">
          <cell r="A167" t="str">
            <v>new bargain brief</v>
          </cell>
          <cell r="C167">
            <v>9000</v>
          </cell>
          <cell r="D167">
            <v>0.59128835161947313</v>
          </cell>
        </row>
        <row r="168">
          <cell r="A168" t="str">
            <v>Old bargain swimwear</v>
          </cell>
          <cell r="C168">
            <v>60000</v>
          </cell>
          <cell r="D168">
            <v>3.9419223441298206</v>
          </cell>
        </row>
        <row r="169">
          <cell r="A169" t="str">
            <v>new bargain swimwear</v>
          </cell>
          <cell r="C169">
            <v>50000</v>
          </cell>
          <cell r="D169">
            <v>3.2849352867748505</v>
          </cell>
        </row>
        <row r="170">
          <cell r="A170" t="str">
            <v>5 new styles</v>
          </cell>
          <cell r="C170">
            <v>13000</v>
          </cell>
          <cell r="D170">
            <v>0.8540831745614611</v>
          </cell>
        </row>
        <row r="171">
          <cell r="A171" t="str">
            <v>16V310</v>
          </cell>
          <cell r="B171" t="str">
            <v>MAXIMIZER 095 MVT</v>
          </cell>
          <cell r="C171">
            <v>48488</v>
          </cell>
          <cell r="D171">
            <v>3.1855988437027789</v>
          </cell>
        </row>
        <row r="172">
          <cell r="A172" t="str">
            <v>16V256</v>
          </cell>
          <cell r="B172" t="str">
            <v>MAXIMIZER 097 MDS</v>
          </cell>
          <cell r="C172">
            <v>42584</v>
          </cell>
          <cell r="D172">
            <v>2.7977136850404047</v>
          </cell>
        </row>
        <row r="173">
          <cell r="A173" t="str">
            <v>5 new styles (F/W concept)</v>
          </cell>
          <cell r="C173">
            <v>13000</v>
          </cell>
          <cell r="D173">
            <v>0.8540831745614611</v>
          </cell>
        </row>
        <row r="174">
          <cell r="A174" t="str">
            <v>4 new styles (Cometic alovera)</v>
          </cell>
          <cell r="C174">
            <v>15000</v>
          </cell>
          <cell r="D174">
            <v>0.98548058603245514</v>
          </cell>
        </row>
        <row r="175">
          <cell r="A175" t="str">
            <v>4 new styles (Cream pad)</v>
          </cell>
          <cell r="C175">
            <v>15000</v>
          </cell>
          <cell r="D175">
            <v>0.98548058603245514</v>
          </cell>
        </row>
        <row r="176">
          <cell r="A176" t="str">
            <v>4 new styles (Cometic seacell)</v>
          </cell>
          <cell r="C176">
            <v>15000</v>
          </cell>
          <cell r="D176">
            <v>0.98548058603245514</v>
          </cell>
        </row>
        <row r="177">
          <cell r="A177" t="str">
            <v>4 new styles Cosmatic (alovera)</v>
          </cell>
          <cell r="C177">
            <v>55000</v>
          </cell>
          <cell r="D177">
            <v>3.6134288154523357</v>
          </cell>
        </row>
        <row r="178">
          <cell r="A178" t="str">
            <v>4 new styles Cream pad</v>
          </cell>
          <cell r="C178">
            <v>55000</v>
          </cell>
          <cell r="D178">
            <v>3.6134288154523357</v>
          </cell>
        </row>
        <row r="179">
          <cell r="A179" t="str">
            <v>4 new styles Cosmatic (seacell)</v>
          </cell>
          <cell r="C179">
            <v>55000</v>
          </cell>
          <cell r="D179">
            <v>3.6134288154523357</v>
          </cell>
        </row>
        <row r="180">
          <cell r="A180" t="str">
            <v>5 new bra styles (F/W concept)</v>
          </cell>
          <cell r="C180">
            <v>37000</v>
          </cell>
          <cell r="D180">
            <v>2.4308521122133895</v>
          </cell>
        </row>
        <row r="181">
          <cell r="A181" t="str">
            <v>old swimwear</v>
          </cell>
          <cell r="D181">
            <v>5</v>
          </cell>
        </row>
        <row r="182">
          <cell r="A182" t="str">
            <v>new swimwear</v>
          </cell>
          <cell r="D182">
            <v>4</v>
          </cell>
        </row>
        <row r="183">
          <cell r="A183" t="str">
            <v>8 new styles (trendy)</v>
          </cell>
          <cell r="C183">
            <v>9437.02</v>
          </cell>
          <cell r="D183">
            <v>0.62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REQUEST- WPP"/>
      <sheetName val="PHIEU DE NGHI THANH TOAN"/>
      <sheetName val="DOCUMENT SENDING"/>
      <sheetName val="CONTRACTS 2004"/>
      <sheetName val="BRAND"/>
      <sheetName val="Rate-card-03"/>
      <sheetName val="Rate-Card-04"/>
      <sheetName val="Contract Form (3)"/>
      <sheetName val="Hop dong TTVH"/>
      <sheetName val="CASH REQUEST- CTT"/>
      <sheetName val="SUPPLIER"/>
      <sheetName val="TRANSLATE VND"/>
      <sheetName val="Rate_Card_04"/>
      <sheetName val="DATA"/>
      <sheetName val="MUAV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 t="str">
            <v>Listerine</v>
          </cell>
          <cell r="C6" t="str">
            <v>CTT</v>
          </cell>
          <cell r="D6" t="str">
            <v>CTT</v>
          </cell>
          <cell r="E6" t="str">
            <v>Phan Minh Uyen</v>
          </cell>
          <cell r="F6" t="str">
            <v>Other</v>
          </cell>
        </row>
        <row r="7">
          <cell r="B7" t="str">
            <v>Ford Coporate</v>
          </cell>
          <cell r="C7" t="str">
            <v>FORD</v>
          </cell>
          <cell r="D7" t="str">
            <v>FORD</v>
          </cell>
          <cell r="E7" t="str">
            <v>Huynh Thanh Dao</v>
          </cell>
          <cell r="F7" t="str">
            <v>FORD</v>
          </cell>
        </row>
        <row r="8">
          <cell r="B8" t="str">
            <v>Ford Transit</v>
          </cell>
          <cell r="C8" t="str">
            <v>FORD</v>
          </cell>
          <cell r="D8" t="str">
            <v>FORD</v>
          </cell>
          <cell r="E8" t="str">
            <v>Huynh Thanh Dao</v>
          </cell>
          <cell r="F8" t="str">
            <v>FORD</v>
          </cell>
        </row>
        <row r="9">
          <cell r="B9" t="str">
            <v>BP Consumer</v>
          </cell>
          <cell r="C9" t="str">
            <v>WPP</v>
          </cell>
          <cell r="D9" t="str">
            <v>CTT</v>
          </cell>
          <cell r="E9" t="str">
            <v>Huynh Thanh Dao</v>
          </cell>
          <cell r="F9" t="str">
            <v>Other</v>
          </cell>
        </row>
        <row r="10">
          <cell r="B10" t="str">
            <v>BP Venalus</v>
          </cell>
          <cell r="C10" t="str">
            <v>WPP</v>
          </cell>
          <cell r="D10" t="str">
            <v>CTT</v>
          </cell>
          <cell r="E10" t="str">
            <v>Huynh Thanh Dao</v>
          </cell>
          <cell r="F10" t="str">
            <v>Other</v>
          </cell>
        </row>
        <row r="11">
          <cell r="B11" t="str">
            <v>BP Vistra</v>
          </cell>
          <cell r="C11" t="str">
            <v>WPP</v>
          </cell>
          <cell r="D11" t="str">
            <v>CTT</v>
          </cell>
          <cell r="E11" t="str">
            <v>Huynh Thanh Dao</v>
          </cell>
          <cell r="F11" t="str">
            <v>Other</v>
          </cell>
        </row>
        <row r="12">
          <cell r="B12" t="str">
            <v>Castrol</v>
          </cell>
          <cell r="C12" t="str">
            <v>WPP</v>
          </cell>
          <cell r="D12" t="str">
            <v>CTT</v>
          </cell>
          <cell r="E12" t="str">
            <v>Huynh Thanh Dao</v>
          </cell>
          <cell r="F12" t="str">
            <v>Other</v>
          </cell>
        </row>
        <row r="13">
          <cell r="B13" t="str">
            <v>DHL</v>
          </cell>
          <cell r="C13" t="str">
            <v>WPP</v>
          </cell>
          <cell r="D13" t="str">
            <v>CTT</v>
          </cell>
          <cell r="E13" t="str">
            <v>Phan Minh Uyen</v>
          </cell>
          <cell r="F13" t="str">
            <v>Other</v>
          </cell>
        </row>
        <row r="14">
          <cell r="B14" t="str">
            <v>DL 123</v>
          </cell>
          <cell r="C14" t="str">
            <v>WPP</v>
          </cell>
          <cell r="D14" t="str">
            <v>CTT</v>
          </cell>
          <cell r="E14" t="str">
            <v>Huynh Thanh Dao</v>
          </cell>
          <cell r="F14" t="str">
            <v>DL</v>
          </cell>
        </row>
        <row r="15">
          <cell r="B15" t="str">
            <v>DL Friso</v>
          </cell>
          <cell r="C15" t="str">
            <v>WPP</v>
          </cell>
          <cell r="D15" t="str">
            <v>CTT</v>
          </cell>
          <cell r="E15" t="str">
            <v>Huynh Thanh Dao</v>
          </cell>
          <cell r="F15" t="str">
            <v>DL</v>
          </cell>
        </row>
        <row r="16">
          <cell r="B16" t="str">
            <v>DL Mainstream</v>
          </cell>
          <cell r="C16" t="str">
            <v>WPP</v>
          </cell>
          <cell r="D16" t="str">
            <v>CTT</v>
          </cell>
          <cell r="E16" t="str">
            <v>Huynh Thanh Dao</v>
          </cell>
          <cell r="F16" t="str">
            <v>DL</v>
          </cell>
        </row>
        <row r="17">
          <cell r="B17" t="str">
            <v>DL Power</v>
          </cell>
          <cell r="C17" t="str">
            <v>WPP</v>
          </cell>
          <cell r="D17" t="str">
            <v>CTT</v>
          </cell>
          <cell r="E17" t="str">
            <v>Huynh Thanh Dao</v>
          </cell>
          <cell r="F17" t="str">
            <v>DL</v>
          </cell>
        </row>
        <row r="18">
          <cell r="B18" t="str">
            <v>DL SCM</v>
          </cell>
          <cell r="C18" t="str">
            <v>WPP</v>
          </cell>
          <cell r="D18" t="str">
            <v>CTT</v>
          </cell>
          <cell r="E18" t="str">
            <v>Huynh Thanh Dao</v>
          </cell>
          <cell r="F18" t="str">
            <v>DL</v>
          </cell>
        </row>
        <row r="19">
          <cell r="B19" t="str">
            <v>Huggies</v>
          </cell>
          <cell r="C19" t="str">
            <v>WPP</v>
          </cell>
          <cell r="D19" t="str">
            <v>CTT</v>
          </cell>
          <cell r="E19" t="str">
            <v>Huynh Thanh Dao</v>
          </cell>
          <cell r="F19" t="str">
            <v>KC</v>
          </cell>
        </row>
        <row r="20">
          <cell r="B20" t="str">
            <v>IBM</v>
          </cell>
          <cell r="C20" t="str">
            <v>WPP</v>
          </cell>
          <cell r="D20" t="str">
            <v>CTT</v>
          </cell>
          <cell r="E20" t="str">
            <v>Phan Minh Uyen</v>
          </cell>
          <cell r="F20" t="str">
            <v>Other</v>
          </cell>
        </row>
        <row r="21">
          <cell r="B21" t="str">
            <v>Kleenex</v>
          </cell>
          <cell r="C21" t="str">
            <v>WPP</v>
          </cell>
          <cell r="D21" t="str">
            <v>CTT</v>
          </cell>
          <cell r="E21" t="str">
            <v>Huynh Thanh Dao</v>
          </cell>
          <cell r="F21" t="str">
            <v>KC</v>
          </cell>
        </row>
        <row r="22">
          <cell r="B22" t="str">
            <v>Kodak</v>
          </cell>
          <cell r="C22" t="str">
            <v>WPP</v>
          </cell>
          <cell r="D22" t="str">
            <v>CTT</v>
          </cell>
          <cell r="E22" t="str">
            <v>Phan Minh Uyen</v>
          </cell>
          <cell r="F22" t="str">
            <v>Other</v>
          </cell>
        </row>
        <row r="23">
          <cell r="B23" t="str">
            <v>Kotex</v>
          </cell>
          <cell r="C23" t="str">
            <v>WPP</v>
          </cell>
          <cell r="D23" t="str">
            <v>CTT</v>
          </cell>
          <cell r="E23" t="str">
            <v>Huynh Thanh Dao</v>
          </cell>
          <cell r="F23" t="str">
            <v>KC</v>
          </cell>
        </row>
        <row r="24">
          <cell r="B24" t="str">
            <v>Lavie</v>
          </cell>
          <cell r="C24" t="str">
            <v>WPP</v>
          </cell>
          <cell r="D24" t="str">
            <v>CTT</v>
          </cell>
          <cell r="E24" t="str">
            <v>Phan Minh Uyen</v>
          </cell>
          <cell r="F24" t="str">
            <v>Other</v>
          </cell>
        </row>
        <row r="25">
          <cell r="B25" t="str">
            <v>Number 1</v>
          </cell>
          <cell r="C25" t="str">
            <v>WPP</v>
          </cell>
          <cell r="D25" t="str">
            <v>CTT</v>
          </cell>
          <cell r="E25" t="str">
            <v>Phan Minh Uyen</v>
          </cell>
          <cell r="F25" t="str">
            <v>Other</v>
          </cell>
        </row>
        <row r="26">
          <cell r="B26" t="str">
            <v>Oral B</v>
          </cell>
          <cell r="C26" t="str">
            <v>WPP</v>
          </cell>
          <cell r="D26" t="str">
            <v>CTT</v>
          </cell>
          <cell r="E26" t="str">
            <v>Phan Minh Uyen</v>
          </cell>
          <cell r="F26" t="str">
            <v>Other</v>
          </cell>
        </row>
        <row r="27">
          <cell r="B27" t="str">
            <v>Vedan</v>
          </cell>
          <cell r="C27" t="str">
            <v>WPP</v>
          </cell>
          <cell r="D27" t="str">
            <v>CTT</v>
          </cell>
          <cell r="E27" t="str">
            <v>Phan Minh Uyen</v>
          </cell>
          <cell r="F27" t="str">
            <v>Other</v>
          </cell>
        </row>
        <row r="28">
          <cell r="B28" t="str">
            <v>Yomost</v>
          </cell>
          <cell r="C28" t="str">
            <v>WPP</v>
          </cell>
          <cell r="D28" t="str">
            <v>CTT</v>
          </cell>
          <cell r="E28" t="str">
            <v>Phan Minh Uyen</v>
          </cell>
          <cell r="F28" t="str">
            <v>DL</v>
          </cell>
        </row>
        <row r="29">
          <cell r="B29" t="str">
            <v>All</v>
          </cell>
          <cell r="C29" t="str">
            <v>WPP</v>
          </cell>
          <cell r="D29" t="str">
            <v>CTT</v>
          </cell>
          <cell r="F29" t="str">
            <v>Other</v>
          </cell>
        </row>
        <row r="30">
          <cell r="B30" t="str">
            <v>DL Vitality</v>
          </cell>
          <cell r="C30" t="str">
            <v>WPP</v>
          </cell>
          <cell r="D30" t="str">
            <v>CTT</v>
          </cell>
          <cell r="E30" t="str">
            <v>Huynh Thanh Dao</v>
          </cell>
          <cell r="F30" t="str">
            <v>DL</v>
          </cell>
        </row>
        <row r="31">
          <cell r="B31" t="str">
            <v>Berocca</v>
          </cell>
          <cell r="C31" t="str">
            <v>WPP</v>
          </cell>
          <cell r="D31" t="str">
            <v>CTT</v>
          </cell>
          <cell r="E31" t="str">
            <v>Huynh Thanh Dao</v>
          </cell>
          <cell r="F31" t="str">
            <v>Other</v>
          </cell>
        </row>
        <row r="32">
          <cell r="B32" t="str">
            <v>DL Coporate</v>
          </cell>
          <cell r="C32" t="str">
            <v>WPP</v>
          </cell>
          <cell r="D32" t="str">
            <v>CTT</v>
          </cell>
          <cell r="E32" t="str">
            <v>Huynh Thanh Dao</v>
          </cell>
          <cell r="F32" t="str">
            <v>DL</v>
          </cell>
        </row>
        <row r="33">
          <cell r="B33" t="str">
            <v>Hi Potential</v>
          </cell>
          <cell r="C33" t="str">
            <v>WPP</v>
          </cell>
          <cell r="D33" t="str">
            <v>CTT</v>
          </cell>
          <cell r="E33" t="str">
            <v>Huynh Thanh Dao</v>
          </cell>
          <cell r="F33" t="str">
            <v>OtherNN (-HNM)</v>
          </cell>
        </row>
        <row r="34">
          <cell r="B34" t="str">
            <v>Bepanthen Ointment</v>
          </cell>
          <cell r="C34" t="str">
            <v>WPP</v>
          </cell>
          <cell r="D34" t="str">
            <v>CTT</v>
          </cell>
          <cell r="E34" t="str">
            <v>Phan Minh Uyen</v>
          </cell>
          <cell r="F34" t="str">
            <v>OtherNN</v>
          </cell>
        </row>
        <row r="35">
          <cell r="B35" t="str">
            <v>Bepanthen Biotine</v>
          </cell>
          <cell r="C35" t="str">
            <v>WPP</v>
          </cell>
          <cell r="D35" t="str">
            <v>CTT</v>
          </cell>
          <cell r="E35" t="str">
            <v>Phan Minh Uyen</v>
          </cell>
          <cell r="F35" t="str">
            <v>OtherNN</v>
          </cell>
        </row>
        <row r="36">
          <cell r="B36" t="str">
            <v>Motorola</v>
          </cell>
          <cell r="C36" t="str">
            <v>WPP</v>
          </cell>
          <cell r="D36" t="str">
            <v>CTT</v>
          </cell>
          <cell r="E36" t="str">
            <v>Phan Minh Uyen</v>
          </cell>
        </row>
        <row r="37">
          <cell r="B37" t="str">
            <v>Appeton Weight Gain</v>
          </cell>
          <cell r="C37" t="str">
            <v>WPP</v>
          </cell>
          <cell r="D37" t="str">
            <v>CTT</v>
          </cell>
          <cell r="E37" t="str">
            <v>Phan Minh Uyen</v>
          </cell>
        </row>
        <row r="38">
          <cell r="B38" t="str">
            <v>Appeton Taurine</v>
          </cell>
          <cell r="C38" t="str">
            <v>WPP</v>
          </cell>
          <cell r="D38" t="str">
            <v>CTT</v>
          </cell>
          <cell r="E38" t="str">
            <v>Phan Minh Uyen</v>
          </cell>
        </row>
        <row r="39">
          <cell r="B39" t="str">
            <v>DL 456</v>
          </cell>
          <cell r="C39" t="str">
            <v>WPP</v>
          </cell>
          <cell r="D39" t="str">
            <v>CTT</v>
          </cell>
          <cell r="E39" t="str">
            <v>Huynh Thanh Dao</v>
          </cell>
          <cell r="F39" t="str">
            <v>DL</v>
          </cell>
        </row>
        <row r="40">
          <cell r="B40" t="str">
            <v>Ford Roadshow</v>
          </cell>
          <cell r="C40" t="str">
            <v>FORD</v>
          </cell>
          <cell r="D40" t="str">
            <v>FORD</v>
          </cell>
          <cell r="E40" t="str">
            <v>Huynh Thanh Dao</v>
          </cell>
          <cell r="F40" t="str">
            <v>FORD</v>
          </cell>
        </row>
        <row r="41">
          <cell r="B41" t="str">
            <v>Bia Ben Thanh</v>
          </cell>
          <cell r="C41" t="str">
            <v>WPP</v>
          </cell>
          <cell r="D41" t="str">
            <v>CTT</v>
          </cell>
          <cell r="E41" t="str">
            <v>Phan Minh Uyen</v>
          </cell>
        </row>
        <row r="42">
          <cell r="B42" t="str">
            <v>Dumex</v>
          </cell>
          <cell r="C42" t="str">
            <v>WPP</v>
          </cell>
          <cell r="D42" t="str">
            <v>CTT</v>
          </cell>
          <cell r="E42" t="str">
            <v>Phan Minh Uyen</v>
          </cell>
        </row>
        <row r="43">
          <cell r="B43" t="str">
            <v>DL 123456</v>
          </cell>
          <cell r="C43" t="str">
            <v>WPP</v>
          </cell>
          <cell r="D43" t="str">
            <v>CTT</v>
          </cell>
          <cell r="E43" t="str">
            <v>Huynh Thanh Dao</v>
          </cell>
        </row>
        <row r="44">
          <cell r="B44" t="str">
            <v>OK</v>
          </cell>
          <cell r="C44" t="str">
            <v>WPP</v>
          </cell>
          <cell r="D44" t="str">
            <v>CTT</v>
          </cell>
          <cell r="E44" t="str">
            <v>Phan Minh Uyen</v>
          </cell>
        </row>
        <row r="45">
          <cell r="B45" t="str">
            <v>Cal D Vita</v>
          </cell>
          <cell r="C45" t="str">
            <v>WPP</v>
          </cell>
          <cell r="D45" t="str">
            <v>CTT</v>
          </cell>
          <cell r="E45" t="str">
            <v>Phan Minh Uyen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</sheetData>
      <sheetData sheetId="5" refreshError="1"/>
      <sheetData sheetId="6" refreshError="1">
        <row r="5">
          <cell r="F5" t="str">
            <v>FPFCInside</v>
          </cell>
          <cell r="G5" t="str">
            <v>FPFCFirst</v>
          </cell>
          <cell r="H5" t="str">
            <v>FPFCCover 2</v>
          </cell>
          <cell r="I5" t="str">
            <v>FPFCCover 3</v>
          </cell>
          <cell r="J5" t="str">
            <v>FPFCCover 4</v>
          </cell>
          <cell r="K5" t="str">
            <v>FPFCLast</v>
          </cell>
          <cell r="L5" t="str">
            <v>JPFCFirst</v>
          </cell>
          <cell r="M5" t="str">
            <v>JPFCInside</v>
          </cell>
          <cell r="N5" t="str">
            <v>VPFCInside</v>
          </cell>
          <cell r="O5" t="str">
            <v>HPFCFirst</v>
          </cell>
          <cell r="P5" t="str">
            <v>HPFCInside</v>
          </cell>
          <cell r="Q5" t="str">
            <v>VQPFCInside</v>
          </cell>
          <cell r="R5" t="str">
            <v>HQPFCInside</v>
          </cell>
          <cell r="S5" t="str">
            <v>DPFCInside</v>
          </cell>
          <cell r="T5" t="str">
            <v>FPBWInside</v>
          </cell>
          <cell r="U5" t="str">
            <v>2/3PFCInside</v>
          </cell>
          <cell r="V5" t="str">
            <v>2/3PFCCon</v>
          </cell>
        </row>
        <row r="6">
          <cell r="B6">
            <v>1</v>
          </cell>
          <cell r="F6" t="str">
            <v>Nguyeân trang trong</v>
          </cell>
          <cell r="G6" t="str">
            <v>Trang bìa 1</v>
          </cell>
          <cell r="H6" t="str">
            <v>Trang bìa 2</v>
          </cell>
          <cell r="I6" t="str">
            <v>Trang bìa 3</v>
          </cell>
          <cell r="J6" t="str">
            <v>Trang bìa 4</v>
          </cell>
          <cell r="K6" t="str">
            <v>Trang cuoái</v>
          </cell>
          <cell r="N6" t="str">
            <v>1/2 trang ñöùng</v>
          </cell>
          <cell r="O6" t="str">
            <v>1/2 bìa 1 ngang</v>
          </cell>
          <cell r="P6" t="str">
            <v>1/2 trang ngang</v>
          </cell>
          <cell r="Q6" t="str">
            <v>1/4 trang ñöùng</v>
          </cell>
          <cell r="R6" t="str">
            <v>1/4 trang ngang</v>
          </cell>
          <cell r="S6" t="str">
            <v>Trang trong ñoâi</v>
          </cell>
          <cell r="T6" t="str">
            <v>Nguyeân trang trong</v>
          </cell>
          <cell r="U6" t="str">
            <v>2/3 trang trong</v>
          </cell>
          <cell r="V6" t="str">
            <v>2/3 trang trong</v>
          </cell>
          <cell r="W6" t="str">
            <v>2/3 trang trong</v>
          </cell>
          <cell r="X6" t="str">
            <v>DL</v>
          </cell>
          <cell r="Z6" t="str">
            <v>KC</v>
          </cell>
          <cell r="AB6" t="str">
            <v>Berocca</v>
          </cell>
          <cell r="AD6" t="str">
            <v>Ford</v>
          </cell>
          <cell r="AF6" t="str">
            <v>Other</v>
          </cell>
          <cell r="AH6" t="str">
            <v>LTC</v>
          </cell>
          <cell r="AJ6" t="str">
            <v>Tel</v>
          </cell>
          <cell r="AK6" t="str">
            <v>Fax</v>
          </cell>
          <cell r="AL6" t="str">
            <v>Add</v>
          </cell>
          <cell r="AM6" t="str">
            <v>Name</v>
          </cell>
          <cell r="AN6" t="str">
            <v>Mobile</v>
          </cell>
          <cell r="AO6" t="str">
            <v>Type</v>
          </cell>
          <cell r="AP6" t="str">
            <v>Tax Code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>
            <v>29</v>
          </cell>
          <cell r="AD7">
            <v>30</v>
          </cell>
          <cell r="AE7">
            <v>31</v>
          </cell>
          <cell r="AF7">
            <v>32</v>
          </cell>
          <cell r="AG7">
            <v>33</v>
          </cell>
          <cell r="AH7">
            <v>34</v>
          </cell>
          <cell r="AI7">
            <v>35</v>
          </cell>
          <cell r="AJ7">
            <v>36</v>
          </cell>
          <cell r="AK7">
            <v>37</v>
          </cell>
          <cell r="AL7">
            <v>38</v>
          </cell>
          <cell r="AM7">
            <v>39</v>
          </cell>
          <cell r="AN7">
            <v>40</v>
          </cell>
          <cell r="AO7">
            <v>41</v>
          </cell>
          <cell r="AP7">
            <v>42</v>
          </cell>
        </row>
        <row r="8">
          <cell r="A8" t="str">
            <v>THTC</v>
          </cell>
          <cell r="B8">
            <v>3</v>
          </cell>
          <cell r="C8" t="str">
            <v>Taïp chí Tin Hoïc Taøi Chính</v>
          </cell>
          <cell r="D8" t="str">
            <v>Ban QLÖD Tin Hoïc- Boä Taøi Chính</v>
          </cell>
          <cell r="E8" t="str">
            <v>TIN HOC TAI CHINH</v>
          </cell>
          <cell r="F8">
            <v>1100</v>
          </cell>
          <cell r="H8">
            <v>13200.000000000002</v>
          </cell>
          <cell r="I8">
            <v>13200.000000000002</v>
          </cell>
          <cell r="J8">
            <v>16500</v>
          </cell>
          <cell r="T8">
            <v>8800</v>
          </cell>
          <cell r="AO8" t="str">
            <v>MO</v>
          </cell>
        </row>
        <row r="9">
          <cell r="A9" t="str">
            <v>KQD</v>
          </cell>
          <cell r="B9">
            <v>4</v>
          </cell>
          <cell r="C9" t="str">
            <v>Baùo Khaên Quaøng Ñoû</v>
          </cell>
          <cell r="D9" t="str">
            <v>Baùo Khaên Quaøng Ñoû</v>
          </cell>
          <cell r="E9" t="str">
            <v>KHAN QUANG DO</v>
          </cell>
          <cell r="F9">
            <v>7150.0000000000009</v>
          </cell>
          <cell r="X9">
            <v>0.05</v>
          </cell>
          <cell r="Z9">
            <v>0.05</v>
          </cell>
          <cell r="AB9">
            <v>0.05</v>
          </cell>
          <cell r="AD9">
            <v>0.05</v>
          </cell>
          <cell r="AF9">
            <v>0.05</v>
          </cell>
          <cell r="AJ9" t="str">
            <v>822 7369</v>
          </cell>
          <cell r="AK9" t="str">
            <v>822 5437</v>
          </cell>
          <cell r="AL9" t="str">
            <v>12 Pham Ngoc Thach, Q.3, Tp.HCM</v>
          </cell>
          <cell r="AM9" t="str">
            <v>anh Duy</v>
          </cell>
          <cell r="AN9" t="str">
            <v>0903 980879</v>
          </cell>
          <cell r="AO9" t="str">
            <v>MO</v>
          </cell>
          <cell r="AP9" t="str">
            <v>030 146 5150- 1</v>
          </cell>
        </row>
        <row r="10">
          <cell r="A10" t="str">
            <v>MT</v>
          </cell>
          <cell r="B10">
            <v>5</v>
          </cell>
          <cell r="C10" t="str">
            <v>Baùo Möïc Tím</v>
          </cell>
          <cell r="D10" t="str">
            <v>Baùo Khaên Quaøng Ñoû</v>
          </cell>
          <cell r="E10" t="str">
            <v>KQD- MUC TIM</v>
          </cell>
          <cell r="F10">
            <v>11550.000000000002</v>
          </cell>
          <cell r="I10">
            <v>12650.000000000002</v>
          </cell>
          <cell r="J10">
            <v>15950.000000000002</v>
          </cell>
          <cell r="P10">
            <v>6352.5000000000009</v>
          </cell>
          <cell r="T10">
            <v>4950</v>
          </cell>
          <cell r="X10">
            <v>0.05</v>
          </cell>
          <cell r="Z10">
            <v>0.05</v>
          </cell>
          <cell r="AB10">
            <v>0.05</v>
          </cell>
          <cell r="AD10">
            <v>0.05</v>
          </cell>
          <cell r="AF10">
            <v>0.05</v>
          </cell>
          <cell r="AJ10" t="str">
            <v>822 7369</v>
          </cell>
          <cell r="AK10" t="str">
            <v>822 5437</v>
          </cell>
          <cell r="AL10" t="str">
            <v>12 Pham Ngoc Thach, Q.3, Tp.HCM</v>
          </cell>
          <cell r="AM10" t="str">
            <v>anh Duy</v>
          </cell>
          <cell r="AN10" t="str">
            <v>0903 980879</v>
          </cell>
          <cell r="AO10" t="str">
            <v>MO</v>
          </cell>
          <cell r="AP10" t="str">
            <v>030 146 5150- 1</v>
          </cell>
        </row>
        <row r="11">
          <cell r="A11" t="str">
            <v>NDG</v>
          </cell>
          <cell r="B11">
            <v>6</v>
          </cell>
          <cell r="C11" t="str">
            <v>Baùo Nhi Ñoàng</v>
          </cell>
          <cell r="D11" t="str">
            <v>Baùo Khaên Quaøng Ñoû</v>
          </cell>
          <cell r="E11" t="str">
            <v>KQD- NHI DONG</v>
          </cell>
          <cell r="X11">
            <v>0.05</v>
          </cell>
          <cell r="Z11">
            <v>0.05</v>
          </cell>
          <cell r="AB11">
            <v>0.05</v>
          </cell>
          <cell r="AD11">
            <v>0.05</v>
          </cell>
          <cell r="AF11">
            <v>0.05</v>
          </cell>
          <cell r="AJ11" t="str">
            <v>822 7369</v>
          </cell>
          <cell r="AK11" t="str">
            <v>822 5437</v>
          </cell>
          <cell r="AL11" t="str">
            <v>12 Pham Ngoc Thach, Q.3, Tp.HCM</v>
          </cell>
          <cell r="AM11" t="str">
            <v>anh Duy</v>
          </cell>
          <cell r="AN11" t="str">
            <v>0903 980879</v>
          </cell>
          <cell r="AO11" t="str">
            <v>MO</v>
          </cell>
          <cell r="AP11" t="str">
            <v>030 146 5150- 1</v>
          </cell>
        </row>
        <row r="12">
          <cell r="A12" t="str">
            <v>PNTPNN</v>
          </cell>
          <cell r="B12">
            <v>7</v>
          </cell>
          <cell r="C12" t="str">
            <v>Baùo Phuï Nöõ Tp. HCM</v>
          </cell>
          <cell r="D12" t="str">
            <v>Baùo Phuï Nöõ Tp. HCM</v>
          </cell>
          <cell r="E12" t="str">
            <v>PHU NU TP</v>
          </cell>
          <cell r="F12">
            <v>17600</v>
          </cell>
          <cell r="G12">
            <v>21120</v>
          </cell>
          <cell r="J12">
            <v>18700</v>
          </cell>
          <cell r="M12">
            <v>10560</v>
          </cell>
          <cell r="P12">
            <v>8800</v>
          </cell>
          <cell r="R12">
            <v>5060</v>
          </cell>
          <cell r="T12">
            <v>12100</v>
          </cell>
          <cell r="X12">
            <v>0.15</v>
          </cell>
          <cell r="Z12">
            <v>0.15</v>
          </cell>
          <cell r="AB12">
            <v>0.15</v>
          </cell>
          <cell r="AD12">
            <v>0.15</v>
          </cell>
          <cell r="AF12">
            <v>0.15</v>
          </cell>
          <cell r="AJ12" t="str">
            <v>846 8715</v>
          </cell>
          <cell r="AK12" t="str">
            <v>921 6723</v>
          </cell>
          <cell r="AL12" t="str">
            <v>188 Ly Chinh Thang, q3, HCM</v>
          </cell>
          <cell r="AM12" t="str">
            <v>chò Ngoïc Lan</v>
          </cell>
          <cell r="AN12" t="str">
            <v>0903 773206</v>
          </cell>
          <cell r="AO12" t="str">
            <v>MO</v>
          </cell>
          <cell r="AP12" t="str">
            <v>030 146 3890- 1</v>
          </cell>
        </row>
        <row r="13">
          <cell r="A13" t="str">
            <v>PNTP</v>
          </cell>
          <cell r="B13">
            <v>8</v>
          </cell>
          <cell r="C13" t="str">
            <v>Baùo Phuï Nöõ Tp. HCM</v>
          </cell>
          <cell r="D13" t="str">
            <v>Baùo Phuï Nöõ Tp. HCM</v>
          </cell>
          <cell r="E13" t="str">
            <v>PHU NU TP</v>
          </cell>
          <cell r="F13">
            <v>14300</v>
          </cell>
          <cell r="J13">
            <v>15400</v>
          </cell>
          <cell r="M13">
            <v>8580</v>
          </cell>
          <cell r="P13">
            <v>7150</v>
          </cell>
          <cell r="R13">
            <v>3960</v>
          </cell>
          <cell r="T13">
            <v>9900</v>
          </cell>
          <cell r="X13">
            <v>0.15</v>
          </cell>
          <cell r="Z13">
            <v>0.15</v>
          </cell>
          <cell r="AB13">
            <v>0.15</v>
          </cell>
          <cell r="AD13">
            <v>0.15</v>
          </cell>
          <cell r="AF13">
            <v>0.15</v>
          </cell>
          <cell r="AJ13" t="str">
            <v>846 8715</v>
          </cell>
          <cell r="AK13" t="str">
            <v>921 6723</v>
          </cell>
          <cell r="AL13" t="str">
            <v>188 Ly Chinh Thang, q3, HCM</v>
          </cell>
          <cell r="AM13" t="str">
            <v>chò Ngoïc Lan</v>
          </cell>
          <cell r="AN13" t="str">
            <v>0903 773206</v>
          </cell>
          <cell r="AO13" t="str">
            <v>MO</v>
          </cell>
          <cell r="AP13" t="str">
            <v>030 146 3890- 1</v>
          </cell>
        </row>
        <row r="14">
          <cell r="A14" t="str">
            <v>PNTPW</v>
          </cell>
          <cell r="B14">
            <v>9</v>
          </cell>
          <cell r="C14" t="str">
            <v>Baùo Phuï Nöõ Chuû Nhaät</v>
          </cell>
          <cell r="D14" t="str">
            <v>Baùo Phuï Nöõ Tp. HCM</v>
          </cell>
          <cell r="E14" t="str">
            <v>PHU NU TP</v>
          </cell>
          <cell r="F14">
            <v>9900</v>
          </cell>
          <cell r="H14">
            <v>12100</v>
          </cell>
          <cell r="I14">
            <v>12100</v>
          </cell>
          <cell r="J14">
            <v>13750</v>
          </cell>
          <cell r="P14">
            <v>4950</v>
          </cell>
          <cell r="X14">
            <v>0.15</v>
          </cell>
          <cell r="Z14">
            <v>0.15</v>
          </cell>
          <cell r="AB14">
            <v>0.15</v>
          </cell>
          <cell r="AD14">
            <v>0.15</v>
          </cell>
          <cell r="AF14">
            <v>0.15</v>
          </cell>
          <cell r="AJ14" t="str">
            <v>846 8715</v>
          </cell>
          <cell r="AK14" t="str">
            <v>921 6723</v>
          </cell>
          <cell r="AL14" t="str">
            <v>188 Ly Chinh Thang, q3, HCM</v>
          </cell>
          <cell r="AM14" t="str">
            <v>chò Ngoïc Lan</v>
          </cell>
          <cell r="AN14" t="str">
            <v>0903 773206</v>
          </cell>
          <cell r="AO14" t="str">
            <v>MO</v>
          </cell>
          <cell r="AP14" t="str">
            <v>030 146 3890- 1</v>
          </cell>
        </row>
        <row r="15">
          <cell r="A15" t="str">
            <v>HPGD</v>
          </cell>
          <cell r="B15">
            <v>10</v>
          </cell>
          <cell r="C15" t="str">
            <v>Haïnh Phuùc Gia Ñình</v>
          </cell>
          <cell r="D15" t="str">
            <v>Baùo Phuï Nöõ VN</v>
          </cell>
          <cell r="E15" t="str">
            <v>PHU NU VN- HANH PHUC GIA DINH</v>
          </cell>
          <cell r="F15">
            <v>8000</v>
          </cell>
          <cell r="H15">
            <v>7500</v>
          </cell>
          <cell r="I15">
            <v>7500</v>
          </cell>
          <cell r="J15">
            <v>10000</v>
          </cell>
          <cell r="K15">
            <v>8000</v>
          </cell>
          <cell r="X15">
            <v>0.2</v>
          </cell>
          <cell r="Z15">
            <v>0.2</v>
          </cell>
          <cell r="AB15">
            <v>0.2</v>
          </cell>
          <cell r="AD15">
            <v>0.2</v>
          </cell>
          <cell r="AF15">
            <v>0.2</v>
          </cell>
          <cell r="AH15">
            <v>0.2</v>
          </cell>
          <cell r="AM15" t="str">
            <v>chò Hoàng Anh</v>
          </cell>
          <cell r="AO15" t="str">
            <v>MO</v>
          </cell>
        </row>
        <row r="16">
          <cell r="A16" t="str">
            <v>PNVN</v>
          </cell>
          <cell r="B16">
            <v>11</v>
          </cell>
          <cell r="C16" t="str">
            <v>Baùo Phuï Nöõ VN</v>
          </cell>
          <cell r="D16" t="str">
            <v>Baùo Phuï Nöõ VN</v>
          </cell>
          <cell r="E16" t="str">
            <v>PHU NU VN</v>
          </cell>
          <cell r="F16">
            <v>14000</v>
          </cell>
          <cell r="J16">
            <v>16000</v>
          </cell>
          <cell r="S16">
            <v>20000</v>
          </cell>
          <cell r="X16">
            <v>0.2</v>
          </cell>
          <cell r="Z16">
            <v>0.2</v>
          </cell>
          <cell r="AB16">
            <v>0.2</v>
          </cell>
          <cell r="AD16">
            <v>0.2</v>
          </cell>
          <cell r="AF16">
            <v>0.2</v>
          </cell>
          <cell r="AH16">
            <v>0.2</v>
          </cell>
          <cell r="AJ16" t="str">
            <v>04 9717479</v>
          </cell>
          <cell r="AK16" t="str">
            <v>04 8213202</v>
          </cell>
          <cell r="AL16" t="str">
            <v>47 Hang Chuoi, H Noi</v>
          </cell>
          <cell r="AM16" t="str">
            <v>chò Hoàng Anh</v>
          </cell>
          <cell r="AN16" t="str">
            <v>0903 468222</v>
          </cell>
          <cell r="AO16" t="str">
            <v>MO</v>
          </cell>
        </row>
        <row r="17">
          <cell r="A17" t="str">
            <v>PNVNW</v>
          </cell>
          <cell r="B17">
            <v>12</v>
          </cell>
          <cell r="C17" t="str">
            <v>Baùo Phuï Nöõ VN cuoái tuaàn</v>
          </cell>
          <cell r="D17" t="str">
            <v>Baùo Phuï Nöõ VN</v>
          </cell>
          <cell r="E17" t="str">
            <v>PHU NU VN</v>
          </cell>
          <cell r="F17">
            <v>10000</v>
          </cell>
          <cell r="H17">
            <v>11000</v>
          </cell>
          <cell r="I17">
            <v>11000</v>
          </cell>
          <cell r="J17">
            <v>12000</v>
          </cell>
          <cell r="S17">
            <v>20000</v>
          </cell>
          <cell r="X17">
            <v>0.2</v>
          </cell>
          <cell r="Z17">
            <v>0.2</v>
          </cell>
          <cell r="AB17">
            <v>0.2</v>
          </cell>
          <cell r="AD17">
            <v>0.2</v>
          </cell>
          <cell r="AF17">
            <v>0.2</v>
          </cell>
          <cell r="AH17">
            <v>0.2</v>
          </cell>
          <cell r="AJ17" t="str">
            <v>04 9717479</v>
          </cell>
          <cell r="AK17" t="str">
            <v>04 8213202</v>
          </cell>
          <cell r="AL17" t="str">
            <v>47 Hang Chuoi, H Noi</v>
          </cell>
          <cell r="AM17" t="str">
            <v>chò Hoàng Anh</v>
          </cell>
          <cell r="AN17" t="str">
            <v>0903 468222</v>
          </cell>
          <cell r="AO17" t="str">
            <v>MO</v>
          </cell>
        </row>
        <row r="18">
          <cell r="A18" t="str">
            <v>TGPN</v>
          </cell>
          <cell r="B18">
            <v>13</v>
          </cell>
          <cell r="C18" t="str">
            <v>Taïp chí Theá Giôùi Phuï Nöõ</v>
          </cell>
          <cell r="D18" t="str">
            <v>Baùo Phuï Nöõ VN</v>
          </cell>
          <cell r="E18" t="str">
            <v>PHU NU VN- THE GIOI PHU NU</v>
          </cell>
          <cell r="F18">
            <v>42900</v>
          </cell>
          <cell r="H18">
            <v>60500.000000000007</v>
          </cell>
          <cell r="I18">
            <v>51700.000000000007</v>
          </cell>
          <cell r="J18">
            <v>69300</v>
          </cell>
          <cell r="L18">
            <v>29040</v>
          </cell>
          <cell r="M18">
            <v>27500.000000000004</v>
          </cell>
          <cell r="N18">
            <v>27500</v>
          </cell>
          <cell r="P18">
            <v>27500</v>
          </cell>
          <cell r="R18">
            <v>15400.000000000002</v>
          </cell>
          <cell r="S18">
            <v>82500</v>
          </cell>
          <cell r="U18">
            <v>11900</v>
          </cell>
          <cell r="V18">
            <v>31900</v>
          </cell>
          <cell r="X18">
            <v>0.3</v>
          </cell>
          <cell r="Y18">
            <v>0.15</v>
          </cell>
          <cell r="Z18">
            <v>0.3</v>
          </cell>
          <cell r="AA18">
            <v>0.15</v>
          </cell>
          <cell r="AB18">
            <v>0.2</v>
          </cell>
          <cell r="AC18">
            <v>0.15</v>
          </cell>
          <cell r="AD18">
            <v>0.2</v>
          </cell>
          <cell r="AE18">
            <v>0.15</v>
          </cell>
          <cell r="AF18">
            <v>0.2</v>
          </cell>
          <cell r="AG18">
            <v>0.15</v>
          </cell>
          <cell r="AH18">
            <v>0.3</v>
          </cell>
          <cell r="AI18">
            <v>0.15</v>
          </cell>
          <cell r="AJ18" t="str">
            <v>930 2117</v>
          </cell>
          <cell r="AK18" t="str">
            <v>930 2116</v>
          </cell>
          <cell r="AL18" t="str">
            <v>38 Vo Van Tan, Q.3, Tp.HCM</v>
          </cell>
          <cell r="AM18" t="str">
            <v>chò Hoàng Anh</v>
          </cell>
          <cell r="AN18" t="str">
            <v>0903 605152</v>
          </cell>
          <cell r="AO18" t="str">
            <v>MO</v>
          </cell>
        </row>
        <row r="19">
          <cell r="A19" t="str">
            <v>HHT1</v>
          </cell>
          <cell r="B19">
            <v>14</v>
          </cell>
          <cell r="C19" t="str">
            <v>Hoa Hoïc Troø 1</v>
          </cell>
          <cell r="D19" t="str">
            <v>Baùo Sinh Vieân VN</v>
          </cell>
          <cell r="E19" t="str">
            <v>HOA HOC TRO 1</v>
          </cell>
          <cell r="F19">
            <v>15400</v>
          </cell>
          <cell r="H19">
            <v>16500</v>
          </cell>
          <cell r="I19">
            <v>16500</v>
          </cell>
          <cell r="P19">
            <v>7700.0000000000009</v>
          </cell>
          <cell r="R19">
            <v>4400</v>
          </cell>
          <cell r="X19">
            <v>0.1</v>
          </cell>
          <cell r="Z19">
            <v>0.1</v>
          </cell>
          <cell r="AB19">
            <v>0.1</v>
          </cell>
          <cell r="AD19">
            <v>0.1</v>
          </cell>
          <cell r="AF19">
            <v>0.1</v>
          </cell>
          <cell r="AJ19" t="str">
            <v>04 976 1148</v>
          </cell>
          <cell r="AK19" t="str">
            <v>04 978 1477</v>
          </cell>
          <cell r="AL19" t="str">
            <v>5 Hoa Ma- HN</v>
          </cell>
          <cell r="AM19" t="str">
            <v>chò Hoàng Ñaêng</v>
          </cell>
          <cell r="AN19" t="str">
            <v>0913 224279</v>
          </cell>
          <cell r="AO19" t="str">
            <v>MO</v>
          </cell>
          <cell r="AP19" t="str">
            <v>0100799643-1</v>
          </cell>
        </row>
        <row r="20">
          <cell r="A20" t="str">
            <v>HHT2</v>
          </cell>
          <cell r="B20">
            <v>15</v>
          </cell>
          <cell r="C20" t="str">
            <v>Hoa Hoïc Troø 2</v>
          </cell>
          <cell r="D20" t="str">
            <v>Baùo Sinh Vieân VN</v>
          </cell>
          <cell r="E20" t="str">
            <v>HOA HOC TRO 2</v>
          </cell>
          <cell r="F20">
            <v>19800</v>
          </cell>
          <cell r="H20">
            <v>24200.000000000004</v>
          </cell>
          <cell r="I20">
            <v>24200.000000000004</v>
          </cell>
          <cell r="J20">
            <v>30800.000000000004</v>
          </cell>
          <cell r="P20">
            <v>11000</v>
          </cell>
          <cell r="R20">
            <v>5500</v>
          </cell>
          <cell r="X20">
            <v>0.1</v>
          </cell>
          <cell r="Z20">
            <v>0.1</v>
          </cell>
          <cell r="AB20">
            <v>0.1</v>
          </cell>
          <cell r="AD20">
            <v>0.1</v>
          </cell>
          <cell r="AF20">
            <v>0.1</v>
          </cell>
          <cell r="AJ20" t="str">
            <v>04 976 1148</v>
          </cell>
          <cell r="AK20" t="str">
            <v>04 978 1477</v>
          </cell>
          <cell r="AL20" t="str">
            <v>5 Hoa Ma- HN</v>
          </cell>
          <cell r="AM20" t="str">
            <v>chò Hoàng Ñaêng</v>
          </cell>
          <cell r="AN20" t="str">
            <v>0913 224279</v>
          </cell>
          <cell r="AO20" t="str">
            <v>MO</v>
          </cell>
          <cell r="AP20" t="str">
            <v>0100799643-1</v>
          </cell>
        </row>
        <row r="21">
          <cell r="A21" t="str">
            <v>SV</v>
          </cell>
          <cell r="B21">
            <v>16</v>
          </cell>
          <cell r="C21" t="str">
            <v>Baùo Sinh Vieân VN</v>
          </cell>
          <cell r="D21" t="str">
            <v>Baùo Sinh Vieân VN</v>
          </cell>
          <cell r="E21" t="str">
            <v>SINH VIEN VN</v>
          </cell>
          <cell r="F21">
            <v>5500</v>
          </cell>
          <cell r="H21">
            <v>6600.0000000000009</v>
          </cell>
          <cell r="I21">
            <v>6600.0000000000009</v>
          </cell>
          <cell r="J21">
            <v>7700.0000000000009</v>
          </cell>
          <cell r="AJ21" t="str">
            <v>04 976 1148</v>
          </cell>
          <cell r="AK21" t="str">
            <v>04 978 1477</v>
          </cell>
          <cell r="AL21" t="str">
            <v>5 Hoa Ma- HN</v>
          </cell>
          <cell r="AM21" t="str">
            <v>chò Hoàng Ñaêng</v>
          </cell>
          <cell r="AN21" t="str">
            <v>0913 224279</v>
          </cell>
          <cell r="AO21" t="str">
            <v>MO</v>
          </cell>
          <cell r="AP21" t="str">
            <v>0100799643-1</v>
          </cell>
        </row>
        <row r="22">
          <cell r="A22" t="str">
            <v>TT-S</v>
          </cell>
          <cell r="B22">
            <v>17</v>
          </cell>
          <cell r="C22" t="str">
            <v>Baùo Tuoåi Treû</v>
          </cell>
          <cell r="D22" t="str">
            <v>Cty Quaûng caùo Saøi Goøn</v>
          </cell>
          <cell r="E22" t="str">
            <v>QCSG- TUOI TRE</v>
          </cell>
          <cell r="F22">
            <v>40000</v>
          </cell>
          <cell r="G22">
            <v>44000</v>
          </cell>
          <cell r="J22">
            <v>42000</v>
          </cell>
          <cell r="P22">
            <v>21000</v>
          </cell>
          <cell r="R22">
            <v>11000</v>
          </cell>
          <cell r="S22">
            <v>56000</v>
          </cell>
          <cell r="T22">
            <v>28000</v>
          </cell>
          <cell r="X22">
            <v>0.05</v>
          </cell>
          <cell r="Z22">
            <v>0.05</v>
          </cell>
          <cell r="AB22">
            <v>0.05</v>
          </cell>
          <cell r="AD22">
            <v>0.05</v>
          </cell>
          <cell r="AF22">
            <v>0.05</v>
          </cell>
          <cell r="AH22">
            <v>0.05</v>
          </cell>
          <cell r="AJ22" t="str">
            <v>837 0750</v>
          </cell>
          <cell r="AK22" t="str">
            <v>837 0752</v>
          </cell>
          <cell r="AL22" t="str">
            <v>385 Traàn Höng Ñaïo, Q.1, Tp.HCM</v>
          </cell>
          <cell r="AM22" t="str">
            <v>chò Hieàn</v>
          </cell>
          <cell r="AO22" t="str">
            <v>S</v>
          </cell>
        </row>
        <row r="23">
          <cell r="A23" t="str">
            <v>TTW-S</v>
          </cell>
          <cell r="B23">
            <v>18</v>
          </cell>
          <cell r="C23" t="str">
            <v>Baùo Tuoåi Treû CN</v>
          </cell>
          <cell r="D23" t="str">
            <v>Cty Quaûng caùo Saøi Goøn</v>
          </cell>
          <cell r="E23" t="str">
            <v>QCSG- TUOI TRE CN</v>
          </cell>
          <cell r="F23">
            <v>12000</v>
          </cell>
          <cell r="G23">
            <v>44000</v>
          </cell>
          <cell r="J23">
            <v>42000</v>
          </cell>
          <cell r="P23">
            <v>21000</v>
          </cell>
          <cell r="R23">
            <v>11000</v>
          </cell>
          <cell r="S23">
            <v>56000</v>
          </cell>
          <cell r="T23">
            <v>28000</v>
          </cell>
          <cell r="X23">
            <v>0.1</v>
          </cell>
          <cell r="Z23">
            <v>0.1</v>
          </cell>
          <cell r="AB23">
            <v>0.1</v>
          </cell>
          <cell r="AD23">
            <v>0.1</v>
          </cell>
          <cell r="AF23">
            <v>0.1</v>
          </cell>
          <cell r="AH23">
            <v>0.1</v>
          </cell>
          <cell r="AJ23" t="str">
            <v>837 0750</v>
          </cell>
          <cell r="AK23" t="str">
            <v>837 0752</v>
          </cell>
          <cell r="AL23" t="str">
            <v>385 Traàn Höng Ñaïo, Q.1, Tp.HCM</v>
          </cell>
          <cell r="AM23" t="str">
            <v>chò Hieàn</v>
          </cell>
          <cell r="AO23" t="str">
            <v>S</v>
          </cell>
        </row>
        <row r="24">
          <cell r="A24" t="str">
            <v>TT</v>
          </cell>
          <cell r="B24">
            <v>19</v>
          </cell>
          <cell r="C24" t="str">
            <v>Baùo Tuoåi Treû</v>
          </cell>
          <cell r="D24" t="str">
            <v>Baùo Tuoåi Treû</v>
          </cell>
          <cell r="E24" t="str">
            <v>TUOI TRE</v>
          </cell>
          <cell r="F24">
            <v>40000</v>
          </cell>
          <cell r="P24">
            <v>21000</v>
          </cell>
          <cell r="Q24">
            <v>11000</v>
          </cell>
          <cell r="R24">
            <v>11000</v>
          </cell>
          <cell r="T24">
            <v>28000</v>
          </cell>
          <cell r="X24">
            <v>5.5E-2</v>
          </cell>
          <cell r="Z24">
            <v>5.5E-2</v>
          </cell>
          <cell r="AB24">
            <v>5.5E-2</v>
          </cell>
          <cell r="AD24">
            <v>5.5E-2</v>
          </cell>
          <cell r="AF24">
            <v>5.5E-2</v>
          </cell>
          <cell r="AH24">
            <v>5.5E-2</v>
          </cell>
          <cell r="AJ24" t="str">
            <v>846 9731</v>
          </cell>
          <cell r="AK24" t="str">
            <v>846 6400</v>
          </cell>
          <cell r="AL24" t="str">
            <v>161 Ly Chinh Thang, Q.3, HCM</v>
          </cell>
          <cell r="AM24" t="str">
            <v>anh Ñöùc</v>
          </cell>
          <cell r="AN24" t="str">
            <v>0903 988300</v>
          </cell>
          <cell r="AO24" t="str">
            <v>MO</v>
          </cell>
        </row>
        <row r="25">
          <cell r="A25" t="str">
            <v>TTW</v>
          </cell>
          <cell r="B25">
            <v>20</v>
          </cell>
          <cell r="C25" t="str">
            <v>Baùo Tuoåi Treû CN</v>
          </cell>
          <cell r="D25" t="str">
            <v>Baùo Tuoåi Treû</v>
          </cell>
          <cell r="E25" t="str">
            <v>TUOI TRE CN</v>
          </cell>
          <cell r="F25">
            <v>12000</v>
          </cell>
          <cell r="H25">
            <v>15000</v>
          </cell>
          <cell r="I25">
            <v>15000</v>
          </cell>
          <cell r="J25">
            <v>18000</v>
          </cell>
          <cell r="N25">
            <v>6500</v>
          </cell>
          <cell r="P25">
            <v>6500</v>
          </cell>
          <cell r="R25">
            <v>3500</v>
          </cell>
          <cell r="T25">
            <v>8500</v>
          </cell>
          <cell r="X25">
            <v>7.0000000000000007E-2</v>
          </cell>
          <cell r="Z25">
            <v>7.0000000000000007E-2</v>
          </cell>
          <cell r="AB25">
            <v>7.0000000000000007E-2</v>
          </cell>
          <cell r="AD25">
            <v>7.0000000000000007E-2</v>
          </cell>
          <cell r="AF25">
            <v>7.0000000000000007E-2</v>
          </cell>
          <cell r="AH25">
            <v>7.0000000000000007E-2</v>
          </cell>
          <cell r="AJ25" t="str">
            <v>846 9731</v>
          </cell>
          <cell r="AK25" t="str">
            <v>846 6400</v>
          </cell>
          <cell r="AL25" t="str">
            <v>161 Ly Chinh Thang, Q.3, HCM</v>
          </cell>
          <cell r="AM25" t="str">
            <v>anh Ñöùc</v>
          </cell>
          <cell r="AN25" t="str">
            <v>0903 988300</v>
          </cell>
          <cell r="AO25" t="str">
            <v>MO</v>
          </cell>
        </row>
        <row r="26">
          <cell r="A26" t="str">
            <v>CNMS</v>
          </cell>
          <cell r="B26">
            <v>21</v>
          </cell>
          <cell r="C26" t="str">
            <v>taïp chí Caåm Nang Mua Saém</v>
          </cell>
          <cell r="D26" t="str">
            <v>Chi nhaùnh Cty TNHH Tö Vaán vaø Ñaàu Tö P.H.I</v>
          </cell>
          <cell r="E26" t="str">
            <v>PHI- CAM NANG MUA SAM</v>
          </cell>
          <cell r="F26">
            <v>11000</v>
          </cell>
          <cell r="H26">
            <v>43400</v>
          </cell>
          <cell r="I26">
            <v>43400</v>
          </cell>
          <cell r="J26">
            <v>54400</v>
          </cell>
          <cell r="P26">
            <v>6600</v>
          </cell>
          <cell r="R26">
            <v>3300</v>
          </cell>
          <cell r="S26">
            <v>19500</v>
          </cell>
          <cell r="AJ26" t="str">
            <v>9318150/51/55/57</v>
          </cell>
          <cell r="AK26">
            <v>9318449</v>
          </cell>
          <cell r="AL26" t="str">
            <v>418 Dien Bien Phu- HCM</v>
          </cell>
          <cell r="AM26" t="str">
            <v>chò Höông</v>
          </cell>
          <cell r="AN26" t="str">
            <v>0908 474047</v>
          </cell>
          <cell r="AO26" t="str">
            <v>MO</v>
          </cell>
          <cell r="AP26" t="str">
            <v>010 1166 516- 001</v>
          </cell>
        </row>
        <row r="27">
          <cell r="A27" t="str">
            <v>TTTD</v>
          </cell>
          <cell r="B27">
            <v>22</v>
          </cell>
          <cell r="C27" t="str">
            <v>Taïp chí Thò Tröôøng &amp; Tieâu Duøng</v>
          </cell>
          <cell r="D27" t="str">
            <v>Cty coå phaàn quaûng caùo Thôøi Ñaïi</v>
          </cell>
          <cell r="E27" t="str">
            <v>THOI DAI- THI TRUONG TIEU DUNG</v>
          </cell>
          <cell r="F27">
            <v>15400.000000000002</v>
          </cell>
          <cell r="H27">
            <v>33000</v>
          </cell>
          <cell r="I27">
            <v>27500.000000000004</v>
          </cell>
          <cell r="J27">
            <v>38500</v>
          </cell>
          <cell r="M27">
            <v>8250</v>
          </cell>
          <cell r="P27">
            <v>7920.0000000000009</v>
          </cell>
          <cell r="R27">
            <v>3960.0000000000005</v>
          </cell>
          <cell r="S27">
            <v>25300.000000000004</v>
          </cell>
          <cell r="X27">
            <v>0.3</v>
          </cell>
          <cell r="Z27">
            <v>0.3</v>
          </cell>
          <cell r="AB27">
            <v>0.3</v>
          </cell>
          <cell r="AD27">
            <v>0.3</v>
          </cell>
          <cell r="AF27">
            <v>0.3</v>
          </cell>
          <cell r="AJ27" t="str">
            <v>04 9332686</v>
          </cell>
          <cell r="AK27" t="str">
            <v>04 942 2063</v>
          </cell>
          <cell r="AL27" t="str">
            <v>73 Traàn Quoác Toaûn- HaøNoäi</v>
          </cell>
          <cell r="AM27" t="str">
            <v>Chò Thu Giang</v>
          </cell>
          <cell r="AN27" t="str">
            <v>0903 461009</v>
          </cell>
          <cell r="AO27" t="str">
            <v>MO</v>
          </cell>
          <cell r="AP27" t="str">
            <v>114-227</v>
          </cell>
        </row>
        <row r="28">
          <cell r="A28" t="str">
            <v>PL</v>
          </cell>
          <cell r="B28">
            <v>23</v>
          </cell>
          <cell r="C28" t="str">
            <v>Baùo Phaùp Luaät</v>
          </cell>
          <cell r="D28" t="str">
            <v>Cty coå phaàn Truyeàn Thoâng</v>
          </cell>
          <cell r="E28" t="str">
            <v>TRUYEN THONG- PHAP LUAT</v>
          </cell>
          <cell r="F28">
            <v>18700</v>
          </cell>
          <cell r="M28">
            <v>11880</v>
          </cell>
          <cell r="P28">
            <v>9900</v>
          </cell>
          <cell r="R28">
            <v>5500</v>
          </cell>
          <cell r="X28">
            <v>0.15</v>
          </cell>
          <cell r="Z28">
            <v>0.15</v>
          </cell>
          <cell r="AB28">
            <v>0.15</v>
          </cell>
          <cell r="AD28">
            <v>0.15</v>
          </cell>
          <cell r="AF28">
            <v>0.15</v>
          </cell>
          <cell r="AJ28" t="str">
            <v>827 2783</v>
          </cell>
          <cell r="AL28" t="str">
            <v>71-73-75 HBT, Q.1, 3rd floor</v>
          </cell>
          <cell r="AM28" t="str">
            <v>chò Thuyû</v>
          </cell>
          <cell r="AO28" t="str">
            <v>MO</v>
          </cell>
        </row>
        <row r="29">
          <cell r="A29" t="str">
            <v>MASK</v>
          </cell>
          <cell r="B29">
            <v>24</v>
          </cell>
          <cell r="C29" t="str">
            <v>taïp chí Maøn Aûnh Saân Khaáu</v>
          </cell>
          <cell r="D29" t="str">
            <v>Cty quaûng caùo K&amp;T</v>
          </cell>
          <cell r="E29" t="str">
            <v>K&amp;T- MASK</v>
          </cell>
          <cell r="F29">
            <v>6600.0000000000009</v>
          </cell>
          <cell r="H29">
            <v>8800</v>
          </cell>
          <cell r="I29">
            <v>8800</v>
          </cell>
          <cell r="J29">
            <v>15400.000000000002</v>
          </cell>
          <cell r="M29">
            <v>3850.0000000000005</v>
          </cell>
          <cell r="P29">
            <v>3850.0000000000005</v>
          </cell>
          <cell r="R29">
            <v>2200</v>
          </cell>
          <cell r="S29">
            <v>11880.000000000002</v>
          </cell>
          <cell r="AJ29" t="str">
            <v>923 0557</v>
          </cell>
          <cell r="AL29" t="str">
            <v>7 Le Thi Hong Gam, q.1, Tp. HCM</v>
          </cell>
          <cell r="AM29" t="str">
            <v>anh Vinh</v>
          </cell>
          <cell r="AN29" t="str">
            <v>0913 715420</v>
          </cell>
          <cell r="AO29" t="str">
            <v>MO</v>
          </cell>
          <cell r="AP29" t="str">
            <v>030 242 2329</v>
          </cell>
        </row>
        <row r="30">
          <cell r="A30" t="str">
            <v>TGNS</v>
          </cell>
          <cell r="B30">
            <v>25</v>
          </cell>
          <cell r="C30" t="str">
            <v>Taïp chí Theá Giôùi Ngheä Syõ</v>
          </cell>
          <cell r="D30" t="str">
            <v>Cty quaûng caùo K&amp;T</v>
          </cell>
          <cell r="E30" t="str">
            <v>K&amp;T- THE GIOI NGHE SY</v>
          </cell>
          <cell r="F30">
            <v>8800</v>
          </cell>
          <cell r="H30">
            <v>15400.000000000002</v>
          </cell>
          <cell r="I30">
            <v>15400.000000000002</v>
          </cell>
          <cell r="J30">
            <v>22000</v>
          </cell>
          <cell r="M30">
            <v>6050.0000000000009</v>
          </cell>
          <cell r="P30">
            <v>5500</v>
          </cell>
          <cell r="R30">
            <v>2750</v>
          </cell>
          <cell r="S30">
            <v>15840.000000000002</v>
          </cell>
          <cell r="X30">
            <v>0.2</v>
          </cell>
          <cell r="Z30">
            <v>0.2</v>
          </cell>
          <cell r="AB30">
            <v>0.2</v>
          </cell>
          <cell r="AD30">
            <v>0.2</v>
          </cell>
          <cell r="AF30">
            <v>0.2</v>
          </cell>
          <cell r="AJ30" t="str">
            <v>923 0557</v>
          </cell>
          <cell r="AL30" t="str">
            <v>7 Le Thi Hong Gam, q.1, Tp. HCM</v>
          </cell>
          <cell r="AM30" t="str">
            <v>anh Vinh</v>
          </cell>
          <cell r="AN30" t="str">
            <v>0913 715420</v>
          </cell>
          <cell r="AO30" t="str">
            <v>MO</v>
          </cell>
        </row>
        <row r="31">
          <cell r="A31" t="str">
            <v>MP</v>
          </cell>
          <cell r="B31">
            <v>26</v>
          </cell>
          <cell r="C31" t="str">
            <v>Taïp chí Myõ Phaåm</v>
          </cell>
          <cell r="D31" t="str">
            <v>Cty Tieàn Phong</v>
          </cell>
          <cell r="E31" t="str">
            <v>TIEN PHONG- MY PHAM</v>
          </cell>
          <cell r="F31">
            <v>8000</v>
          </cell>
          <cell r="H31">
            <v>10000</v>
          </cell>
          <cell r="I31">
            <v>10000</v>
          </cell>
          <cell r="J31">
            <v>12000</v>
          </cell>
          <cell r="M31">
            <v>4000</v>
          </cell>
          <cell r="R31">
            <v>2000</v>
          </cell>
          <cell r="S31">
            <v>15000</v>
          </cell>
          <cell r="AH31">
            <v>0.2</v>
          </cell>
          <cell r="AJ31" t="str">
            <v>848 1068</v>
          </cell>
          <cell r="AK31" t="str">
            <v>846 9495</v>
          </cell>
          <cell r="AL31" t="str">
            <v>384/54 NKKN, Q.3, Tp. HCM</v>
          </cell>
          <cell r="AM31" t="str">
            <v>Chò Xim</v>
          </cell>
          <cell r="AO31" t="str">
            <v>MO</v>
          </cell>
        </row>
        <row r="32">
          <cell r="A32" t="str">
            <v>NDVN</v>
          </cell>
          <cell r="B32">
            <v>27</v>
          </cell>
          <cell r="C32" t="str">
            <v>Taïp chí Ngöôøi Ñeïp VN</v>
          </cell>
          <cell r="D32" t="str">
            <v>Cty Tieàn Phong</v>
          </cell>
          <cell r="E32" t="str">
            <v>TIEN PHONG- NGUOI DEP VN</v>
          </cell>
          <cell r="F32">
            <v>12000</v>
          </cell>
          <cell r="G32">
            <v>13000</v>
          </cell>
          <cell r="H32">
            <v>14000</v>
          </cell>
          <cell r="I32">
            <v>14000</v>
          </cell>
          <cell r="J32">
            <v>16000</v>
          </cell>
          <cell r="M32">
            <v>6600</v>
          </cell>
          <cell r="N32">
            <v>6600</v>
          </cell>
          <cell r="P32">
            <v>6000</v>
          </cell>
          <cell r="R32">
            <v>3000</v>
          </cell>
          <cell r="S32">
            <v>24000</v>
          </cell>
          <cell r="T32">
            <v>12000</v>
          </cell>
          <cell r="U32">
            <v>8800</v>
          </cell>
          <cell r="V32">
            <v>8800</v>
          </cell>
          <cell r="AH32">
            <v>0.2</v>
          </cell>
          <cell r="AJ32" t="str">
            <v>848 1068</v>
          </cell>
          <cell r="AK32" t="str">
            <v>846 9495</v>
          </cell>
          <cell r="AL32" t="str">
            <v>384/54 NKKN, Q.3, Tp. HCM</v>
          </cell>
          <cell r="AM32" t="str">
            <v>Chò Xim</v>
          </cell>
          <cell r="AO32" t="str">
            <v>MO</v>
          </cell>
        </row>
        <row r="33">
          <cell r="A33" t="str">
            <v>TP</v>
          </cell>
          <cell r="B33">
            <v>28</v>
          </cell>
          <cell r="C33" t="str">
            <v>Baùo Tieàn Phong ngaøy</v>
          </cell>
          <cell r="D33" t="str">
            <v>Cty Tieàn Phong</v>
          </cell>
          <cell r="E33" t="str">
            <v>TIEN PHONG NGAY</v>
          </cell>
          <cell r="F33">
            <v>20000</v>
          </cell>
          <cell r="G33">
            <v>20000</v>
          </cell>
          <cell r="I33">
            <v>20000</v>
          </cell>
          <cell r="P33">
            <v>10000</v>
          </cell>
          <cell r="R33">
            <v>5000</v>
          </cell>
          <cell r="T33">
            <v>12000</v>
          </cell>
          <cell r="AH33">
            <v>0.2</v>
          </cell>
          <cell r="AJ33" t="str">
            <v>848 1068</v>
          </cell>
          <cell r="AK33" t="str">
            <v>846 9495</v>
          </cell>
          <cell r="AL33" t="str">
            <v>384/54 NKKN, Q.3, Tp. HCM</v>
          </cell>
          <cell r="AM33" t="str">
            <v>Chò Xim</v>
          </cell>
          <cell r="AO33" t="str">
            <v>MO</v>
          </cell>
        </row>
        <row r="34">
          <cell r="A34" t="str">
            <v>TPM</v>
          </cell>
          <cell r="B34">
            <v>29</v>
          </cell>
          <cell r="C34" t="str">
            <v>Taïp chí Tieàn Phong thaùng</v>
          </cell>
          <cell r="D34" t="str">
            <v>Cty Tieàn Phong</v>
          </cell>
          <cell r="E34" t="str">
            <v>TIEN PHONG CUOI THANG</v>
          </cell>
          <cell r="F34">
            <v>4500</v>
          </cell>
          <cell r="H34">
            <v>6000</v>
          </cell>
          <cell r="I34">
            <v>6000</v>
          </cell>
          <cell r="J34">
            <v>7000</v>
          </cell>
          <cell r="P34">
            <v>2300</v>
          </cell>
          <cell r="R34">
            <v>1100</v>
          </cell>
          <cell r="T34">
            <v>2000</v>
          </cell>
          <cell r="AH34">
            <v>0.2</v>
          </cell>
          <cell r="AJ34" t="str">
            <v>848 1068</v>
          </cell>
          <cell r="AK34" t="str">
            <v>846 9495</v>
          </cell>
          <cell r="AL34" t="str">
            <v>384/54 NKKN, Q.3, Tp. HCM</v>
          </cell>
          <cell r="AM34" t="str">
            <v>Chò Xim</v>
          </cell>
          <cell r="AO34" t="str">
            <v>MO</v>
          </cell>
        </row>
        <row r="35">
          <cell r="A35" t="str">
            <v>ND</v>
          </cell>
          <cell r="B35">
            <v>30</v>
          </cell>
          <cell r="C35" t="str">
            <v>Taïp chí Kieán Truùc Nhaø Ñeïp</v>
          </cell>
          <cell r="D35" t="str">
            <v>Cty TNHH DV Quaûng Caùo Nguyeãn Vaên Vinh</v>
          </cell>
          <cell r="E35" t="str">
            <v>NNV- NHA DEP</v>
          </cell>
          <cell r="F35">
            <v>16500</v>
          </cell>
          <cell r="H35">
            <v>22000</v>
          </cell>
          <cell r="I35">
            <v>19800</v>
          </cell>
          <cell r="J35">
            <v>24200.000000000004</v>
          </cell>
          <cell r="M35">
            <v>9900</v>
          </cell>
          <cell r="P35">
            <v>9900</v>
          </cell>
          <cell r="R35">
            <v>4125</v>
          </cell>
          <cell r="S35">
            <v>33000</v>
          </cell>
          <cell r="X35">
            <v>0.15</v>
          </cell>
          <cell r="Z35">
            <v>0.15</v>
          </cell>
          <cell r="AB35">
            <v>0.15</v>
          </cell>
          <cell r="AD35">
            <v>0.15</v>
          </cell>
          <cell r="AF35">
            <v>0.15</v>
          </cell>
          <cell r="AJ35" t="str">
            <v>823 8198</v>
          </cell>
          <cell r="AM35" t="str">
            <v>chò Hien (Ext: 105)</v>
          </cell>
          <cell r="AO35" t="str">
            <v>MO</v>
          </cell>
        </row>
        <row r="36">
          <cell r="A36" t="str">
            <v>TCGD</v>
          </cell>
          <cell r="B36">
            <v>31</v>
          </cell>
          <cell r="C36" t="str">
            <v>Taïp chí Gia Ñình</v>
          </cell>
          <cell r="D36" t="str">
            <v>Cty TNHH Huy Trung</v>
          </cell>
          <cell r="E36" t="str">
            <v>HUY TRUNG- TAP CHI GIA DINH</v>
          </cell>
          <cell r="F36">
            <v>9900</v>
          </cell>
          <cell r="H36">
            <v>17600</v>
          </cell>
          <cell r="I36">
            <v>15400.000000000002</v>
          </cell>
          <cell r="J36">
            <v>22000</v>
          </cell>
          <cell r="M36">
            <v>5500</v>
          </cell>
          <cell r="P36">
            <v>5500</v>
          </cell>
          <cell r="R36">
            <v>3300.0000000000005</v>
          </cell>
          <cell r="X36">
            <v>0.4</v>
          </cell>
          <cell r="Z36">
            <v>0.4</v>
          </cell>
          <cell r="AB36">
            <v>0.4</v>
          </cell>
          <cell r="AD36">
            <v>0.4</v>
          </cell>
          <cell r="AF36">
            <v>0.4</v>
          </cell>
          <cell r="AJ36" t="str">
            <v>989 2353</v>
          </cell>
          <cell r="AL36" t="str">
            <v>105/753 Nguyeãn Kieäm, P.3, Goø Vaáp, Tp. HCM</v>
          </cell>
          <cell r="AM36" t="str">
            <v>anh Huy</v>
          </cell>
          <cell r="AN36" t="str">
            <v>0908 339370</v>
          </cell>
          <cell r="AO36" t="str">
            <v>MO</v>
          </cell>
          <cell r="AP36" t="str">
            <v>030 288 1442</v>
          </cell>
        </row>
        <row r="37">
          <cell r="A37" t="str">
            <v>SD</v>
          </cell>
          <cell r="B37">
            <v>32</v>
          </cell>
          <cell r="C37" t="str">
            <v>taïp chí Saønh Ñieäu</v>
          </cell>
          <cell r="D37" t="str">
            <v>Cty TNHH Quaûng caùo ADPUB</v>
          </cell>
          <cell r="E37" t="str">
            <v>ADPUB- SANH DIEU</v>
          </cell>
          <cell r="F37">
            <v>24200.000000000004</v>
          </cell>
          <cell r="H37">
            <v>38500</v>
          </cell>
          <cell r="I37">
            <v>33000</v>
          </cell>
          <cell r="J37">
            <v>44000</v>
          </cell>
          <cell r="P37">
            <v>17600</v>
          </cell>
          <cell r="R37">
            <v>11000</v>
          </cell>
          <cell r="S37">
            <v>49500.000000000007</v>
          </cell>
          <cell r="X37">
            <v>0.5</v>
          </cell>
          <cell r="Z37">
            <v>0.5</v>
          </cell>
          <cell r="AB37">
            <v>0.5</v>
          </cell>
          <cell r="AD37">
            <v>0.5</v>
          </cell>
          <cell r="AF37">
            <v>0.5</v>
          </cell>
          <cell r="AO37" t="str">
            <v>MO</v>
          </cell>
        </row>
        <row r="38">
          <cell r="A38" t="str">
            <v>MTH</v>
          </cell>
          <cell r="B38">
            <v>33</v>
          </cell>
          <cell r="C38" t="str">
            <v>Taïp chí Myõ Thuaät</v>
          </cell>
          <cell r="D38" t="str">
            <v>Cty TNHH SX-TM-DV Kyû Nguyeân</v>
          </cell>
          <cell r="E38" t="str">
            <v>KY NGUYEN- MY THUAT</v>
          </cell>
          <cell r="F38">
            <v>2750</v>
          </cell>
          <cell r="H38">
            <v>4400</v>
          </cell>
          <cell r="I38">
            <v>3960.0000000000005</v>
          </cell>
          <cell r="J38">
            <v>4950</v>
          </cell>
          <cell r="P38">
            <v>1650.0000000000002</v>
          </cell>
          <cell r="R38">
            <v>1100</v>
          </cell>
          <cell r="X38">
            <v>0.15</v>
          </cell>
          <cell r="Y38">
            <v>0.15</v>
          </cell>
          <cell r="Z38">
            <v>0.15</v>
          </cell>
          <cell r="AA38">
            <v>0.15</v>
          </cell>
          <cell r="AB38">
            <v>0.15</v>
          </cell>
          <cell r="AC38">
            <v>0.15</v>
          </cell>
          <cell r="AD38">
            <v>0.15</v>
          </cell>
          <cell r="AE38">
            <v>0.15</v>
          </cell>
          <cell r="AF38">
            <v>0.15</v>
          </cell>
          <cell r="AG38">
            <v>0.15</v>
          </cell>
          <cell r="AJ38" t="str">
            <v>821 1181</v>
          </cell>
          <cell r="AK38" t="str">
            <v>821 1175</v>
          </cell>
          <cell r="AL38" t="str">
            <v>124/8A  Cong Hoa, P.4, Q.Tan Binh</v>
          </cell>
          <cell r="AM38" t="str">
            <v>chò Duyeân</v>
          </cell>
          <cell r="AO38" t="str">
            <v>MO</v>
          </cell>
        </row>
        <row r="39">
          <cell r="A39" t="str">
            <v>DEP</v>
          </cell>
          <cell r="B39">
            <v>34</v>
          </cell>
          <cell r="C39" t="str">
            <v>taïp chí Ñeïp</v>
          </cell>
          <cell r="D39" t="str">
            <v>Cty coå phaàn Truyeàn Thoâng Leâ</v>
          </cell>
          <cell r="E39" t="str">
            <v>LE- DEP</v>
          </cell>
          <cell r="F39">
            <v>25300.000000000004</v>
          </cell>
          <cell r="H39">
            <v>36300</v>
          </cell>
          <cell r="I39">
            <v>34100</v>
          </cell>
          <cell r="J39">
            <v>42900</v>
          </cell>
          <cell r="M39">
            <v>15400.000000000002</v>
          </cell>
          <cell r="P39">
            <v>15400.000000000002</v>
          </cell>
          <cell r="R39">
            <v>7920.0000000000009</v>
          </cell>
          <cell r="S39">
            <v>42900</v>
          </cell>
          <cell r="X39">
            <v>0.1</v>
          </cell>
          <cell r="Y39">
            <v>0.35</v>
          </cell>
          <cell r="Z39">
            <v>0.1</v>
          </cell>
          <cell r="AA39">
            <v>0.35</v>
          </cell>
          <cell r="AB39">
            <v>0.1</v>
          </cell>
          <cell r="AC39">
            <v>0.35</v>
          </cell>
          <cell r="AD39">
            <v>0.1</v>
          </cell>
          <cell r="AE39">
            <v>0.35</v>
          </cell>
          <cell r="AF39">
            <v>0.1</v>
          </cell>
          <cell r="AG39">
            <v>0.35</v>
          </cell>
          <cell r="AJ39" t="str">
            <v>820 7761</v>
          </cell>
          <cell r="AK39" t="str">
            <v>820 7762</v>
          </cell>
          <cell r="AL39" t="str">
            <v>Laàu 4, Toaø nhaø Green Star, 70 Phaïm Ngoïc Thaïch, Q.3, Tp.HCM</v>
          </cell>
          <cell r="AM39" t="str">
            <v>chò Phöôïng</v>
          </cell>
          <cell r="AO39" t="str">
            <v>MO</v>
          </cell>
        </row>
        <row r="40">
          <cell r="A40" t="str">
            <v>BSGD</v>
          </cell>
          <cell r="B40">
            <v>35</v>
          </cell>
          <cell r="C40" t="str">
            <v>taïp chí Baùc Syõ Gia Ñình</v>
          </cell>
          <cell r="D40" t="str">
            <v>Cty TNHH Thieâát Keá Hoaøn Haûo</v>
          </cell>
          <cell r="E40" t="str">
            <v>HOAN HAO- BAC SI GIA DINH</v>
          </cell>
          <cell r="F40">
            <v>825.00000000000011</v>
          </cell>
          <cell r="H40">
            <v>1199</v>
          </cell>
          <cell r="I40">
            <v>1199</v>
          </cell>
          <cell r="J40">
            <v>1375</v>
          </cell>
          <cell r="P40">
            <v>495.00000000000006</v>
          </cell>
          <cell r="R40">
            <v>275</v>
          </cell>
          <cell r="T40">
            <v>440.00000000000006</v>
          </cell>
          <cell r="AJ40" t="str">
            <v>833 4826</v>
          </cell>
          <cell r="AK40" t="str">
            <v>925 4752</v>
          </cell>
          <cell r="AL40" t="str">
            <v>131A/2 Nguyeãn Thò Minh Khai, Q.1, Tp.HCM</v>
          </cell>
          <cell r="AM40" t="str">
            <v>chò Tam</v>
          </cell>
          <cell r="AN40" t="str">
            <v>0908 171837</v>
          </cell>
          <cell r="AO40" t="str">
            <v>MO</v>
          </cell>
        </row>
        <row r="41">
          <cell r="A41" t="str">
            <v>TTGD</v>
          </cell>
          <cell r="B41">
            <v>36</v>
          </cell>
          <cell r="C41" t="str">
            <v>taïp chí Tieáp Thò &amp; Gia Ñình</v>
          </cell>
          <cell r="D41" t="str">
            <v>Cty TNHH Hoa Maët Trôøi</v>
          </cell>
          <cell r="E41" t="str">
            <v>HOA MAT TROI- TIEP THI GIA DINH</v>
          </cell>
          <cell r="F41">
            <v>47300.000000000007</v>
          </cell>
          <cell r="G41">
            <v>56760</v>
          </cell>
          <cell r="H41">
            <v>59125.000000000007</v>
          </cell>
          <cell r="I41">
            <v>51975.000000000007</v>
          </cell>
          <cell r="J41">
            <v>70950</v>
          </cell>
          <cell r="M41">
            <v>26125.000000000004</v>
          </cell>
          <cell r="P41">
            <v>26125.000000000004</v>
          </cell>
          <cell r="R41">
            <v>14300.000000000002</v>
          </cell>
          <cell r="S41">
            <v>85250</v>
          </cell>
          <cell r="U41">
            <v>14142</v>
          </cell>
          <cell r="V41">
            <v>33000</v>
          </cell>
          <cell r="W41">
            <v>33000</v>
          </cell>
          <cell r="X41">
            <v>0.45</v>
          </cell>
          <cell r="Y41">
            <v>0.15</v>
          </cell>
          <cell r="Z41">
            <v>0.45</v>
          </cell>
          <cell r="AA41">
            <v>0.15</v>
          </cell>
          <cell r="AB41">
            <v>0.35</v>
          </cell>
          <cell r="AC41">
            <v>0.15</v>
          </cell>
          <cell r="AD41">
            <v>0.35</v>
          </cell>
          <cell r="AE41">
            <v>0.15</v>
          </cell>
          <cell r="AF41">
            <v>0.35</v>
          </cell>
          <cell r="AG41">
            <v>0.15</v>
          </cell>
          <cell r="AH41">
            <v>0.46</v>
          </cell>
          <cell r="AI41">
            <v>0.15</v>
          </cell>
          <cell r="AJ41" t="str">
            <v>823 2420</v>
          </cell>
          <cell r="AK41" t="str">
            <v>822 3053</v>
          </cell>
          <cell r="AL41" t="str">
            <v>259 Hai Ba Trung, Q.3, Tp.HCM</v>
          </cell>
          <cell r="AM41" t="str">
            <v>anh Baèng (KT)</v>
          </cell>
          <cell r="AN41">
            <v>8232420</v>
          </cell>
          <cell r="AO41" t="str">
            <v>MO</v>
          </cell>
          <cell r="AP41" t="str">
            <v>030 188 0358</v>
          </cell>
        </row>
        <row r="42">
          <cell r="A42" t="str">
            <v>TTNN</v>
          </cell>
          <cell r="B42">
            <v>37</v>
          </cell>
          <cell r="C42" t="str">
            <v>Baùo Theå Thao Ngaøy Nay</v>
          </cell>
          <cell r="D42" t="str">
            <v>Cty TNHH Hoa Maët Trôøi</v>
          </cell>
          <cell r="E42" t="str">
            <v>HOA MAT TROI- THE THAO NGAY NAY</v>
          </cell>
          <cell r="F42">
            <v>17050</v>
          </cell>
          <cell r="M42">
            <v>11550.000000000002</v>
          </cell>
          <cell r="P42">
            <v>9900</v>
          </cell>
          <cell r="R42">
            <v>5500</v>
          </cell>
          <cell r="X42">
            <v>0.15</v>
          </cell>
          <cell r="Y42">
            <v>0.15</v>
          </cell>
          <cell r="Z42">
            <v>0.15</v>
          </cell>
          <cell r="AA42">
            <v>0.15</v>
          </cell>
          <cell r="AB42">
            <v>0.15</v>
          </cell>
          <cell r="AC42">
            <v>0.15</v>
          </cell>
          <cell r="AD42">
            <v>0.15</v>
          </cell>
          <cell r="AE42">
            <v>0.15</v>
          </cell>
          <cell r="AF42">
            <v>0.15</v>
          </cell>
          <cell r="AG42">
            <v>0.15</v>
          </cell>
          <cell r="AJ42" t="str">
            <v>823 2420</v>
          </cell>
          <cell r="AK42" t="str">
            <v>822 3053</v>
          </cell>
          <cell r="AL42" t="str">
            <v>259 Hai Ba Trung, Q.3, Tp.HCM</v>
          </cell>
          <cell r="AM42" t="str">
            <v>anh Truùc</v>
          </cell>
          <cell r="AN42">
            <v>8232420</v>
          </cell>
          <cell r="AO42" t="str">
            <v>MO</v>
          </cell>
          <cell r="AP42" t="str">
            <v>030 188 0358</v>
          </cell>
        </row>
        <row r="43">
          <cell r="A43" t="str">
            <v>AB</v>
          </cell>
          <cell r="B43">
            <v>38</v>
          </cell>
          <cell r="C43" t="str">
            <v>Baùo Phuï Nöõ Aáp Baéc</v>
          </cell>
          <cell r="D43" t="str">
            <v>Cty TNHH Thöông Maïi &amp; Dòch Vuï Quaûng Caùo Soâng Höông</v>
          </cell>
          <cell r="E43" t="str">
            <v>SONG HUONG- AP BAC</v>
          </cell>
          <cell r="F43">
            <v>7700.0000000000009</v>
          </cell>
          <cell r="P43">
            <v>4070.0000000000005</v>
          </cell>
          <cell r="AJ43">
            <v>8223040</v>
          </cell>
          <cell r="AK43" t="str">
            <v>823 2296</v>
          </cell>
          <cell r="AL43" t="str">
            <v>94 Nguyeãn Thò Minh Khai, P.6, Q.3, Tp.HCM</v>
          </cell>
          <cell r="AM43" t="str">
            <v>chuù Ñöùc</v>
          </cell>
          <cell r="AN43" t="str">
            <v>0903 724442</v>
          </cell>
          <cell r="AO43" t="str">
            <v>MO</v>
          </cell>
          <cell r="AP43" t="str">
            <v>030 232 5639</v>
          </cell>
        </row>
        <row r="44">
          <cell r="A44" t="str">
            <v>NQT</v>
          </cell>
          <cell r="B44">
            <v>39</v>
          </cell>
          <cell r="C44" t="str">
            <v>Taïp chí Nhaø Quaûn Trò</v>
          </cell>
          <cell r="D44" t="str">
            <v>Cty Toaøn Vieät Truyeàn Thoâng</v>
          </cell>
          <cell r="E44" t="str">
            <v>TOAN VIET TRUYEN THONG- NHA QUAN TRI</v>
          </cell>
          <cell r="F44">
            <v>24750</v>
          </cell>
          <cell r="H44">
            <v>24750</v>
          </cell>
          <cell r="I44">
            <v>24750</v>
          </cell>
          <cell r="J44">
            <v>24750</v>
          </cell>
          <cell r="M44">
            <v>13750</v>
          </cell>
          <cell r="P44">
            <v>12375</v>
          </cell>
          <cell r="R44">
            <v>7000</v>
          </cell>
          <cell r="T44">
            <v>13750</v>
          </cell>
          <cell r="X44">
            <v>0.4</v>
          </cell>
          <cell r="Y44">
            <v>0.15</v>
          </cell>
          <cell r="Z44">
            <v>0.4</v>
          </cell>
          <cell r="AA44">
            <v>0.15</v>
          </cell>
          <cell r="AB44">
            <v>0.4</v>
          </cell>
          <cell r="AC44">
            <v>0.15</v>
          </cell>
          <cell r="AD44">
            <v>0.4</v>
          </cell>
          <cell r="AE44">
            <v>0.15</v>
          </cell>
          <cell r="AF44">
            <v>0.4</v>
          </cell>
          <cell r="AG44">
            <v>0.15</v>
          </cell>
          <cell r="AJ44" t="str">
            <v>04 9718963</v>
          </cell>
          <cell r="AK44" t="str">
            <v>04 971 8964</v>
          </cell>
          <cell r="AL44" t="str">
            <v>7 Nguyeãn Huy Töï, Hoaøn Kieám, HN</v>
          </cell>
          <cell r="AM44" t="str">
            <v>chò Hueä</v>
          </cell>
          <cell r="AO44" t="str">
            <v>MO</v>
          </cell>
        </row>
        <row r="45">
          <cell r="A45" t="str">
            <v>PCA</v>
          </cell>
          <cell r="B45">
            <v>40</v>
          </cell>
          <cell r="C45" t="str">
            <v>Taïp chí Theá Giôùi Vi Tính A</v>
          </cell>
          <cell r="D45" t="str">
            <v>Taïp chí Theá Giôùi Vi Tính- PC World VN</v>
          </cell>
          <cell r="E45" t="str">
            <v>THE GIOI VI TINH A</v>
          </cell>
          <cell r="F45">
            <v>21560</v>
          </cell>
          <cell r="H45">
            <v>30690.000000000004</v>
          </cell>
          <cell r="I45">
            <v>25190.000000000004</v>
          </cell>
          <cell r="J45">
            <v>39600</v>
          </cell>
          <cell r="P45">
            <v>11880.000000000002</v>
          </cell>
          <cell r="T45">
            <v>10780</v>
          </cell>
          <cell r="X45">
            <v>0.1</v>
          </cell>
          <cell r="Y45">
            <v>0.15</v>
          </cell>
          <cell r="Z45">
            <v>0.1</v>
          </cell>
          <cell r="AA45">
            <v>0.15</v>
          </cell>
          <cell r="AB45">
            <v>0.1</v>
          </cell>
          <cell r="AC45">
            <v>0.15</v>
          </cell>
          <cell r="AD45">
            <v>0.1</v>
          </cell>
          <cell r="AE45">
            <v>0.15</v>
          </cell>
          <cell r="AF45">
            <v>0.1</v>
          </cell>
          <cell r="AG45">
            <v>0.15</v>
          </cell>
          <cell r="AJ45" t="str">
            <v>829 4352</v>
          </cell>
          <cell r="AK45" t="str">
            <v>822 0742</v>
          </cell>
          <cell r="AL45" t="str">
            <v>79 Truong Dinh, Q.1, HCM</v>
          </cell>
          <cell r="AM45" t="str">
            <v>chò Dieãm Trang</v>
          </cell>
          <cell r="AO45" t="str">
            <v>MO</v>
          </cell>
        </row>
        <row r="46">
          <cell r="A46" t="str">
            <v>PCB</v>
          </cell>
          <cell r="B46">
            <v>41</v>
          </cell>
          <cell r="C46" t="str">
            <v>Taïp chí Theá Giôùi Vi Tính B</v>
          </cell>
          <cell r="D46" t="str">
            <v>Taïp chí Theá Giôùi Vi Tính- PC World VN</v>
          </cell>
          <cell r="E46" t="str">
            <v>THE GIOI VI TINH B</v>
          </cell>
          <cell r="F46">
            <v>7040.0000000000009</v>
          </cell>
          <cell r="H46">
            <v>9900</v>
          </cell>
          <cell r="I46">
            <v>8250</v>
          </cell>
          <cell r="J46">
            <v>13200.000000000002</v>
          </cell>
          <cell r="P46">
            <v>3960.0000000000005</v>
          </cell>
          <cell r="X46">
            <v>0.1</v>
          </cell>
          <cell r="Y46">
            <v>0.15</v>
          </cell>
          <cell r="Z46">
            <v>0.1</v>
          </cell>
          <cell r="AA46">
            <v>0.15</v>
          </cell>
          <cell r="AB46">
            <v>0.1</v>
          </cell>
          <cell r="AC46">
            <v>0.15</v>
          </cell>
          <cell r="AD46">
            <v>0.1</v>
          </cell>
          <cell r="AE46">
            <v>0.15</v>
          </cell>
          <cell r="AF46">
            <v>0.1</v>
          </cell>
          <cell r="AG46">
            <v>0.15</v>
          </cell>
          <cell r="AJ46" t="str">
            <v>829 4352</v>
          </cell>
          <cell r="AK46" t="str">
            <v>822 0742</v>
          </cell>
          <cell r="AL46" t="str">
            <v>79 Truong Dinh, Q.1, HCM</v>
          </cell>
          <cell r="AM46" t="str">
            <v>chò Dieãm Trang</v>
          </cell>
          <cell r="AO46" t="str">
            <v>MO</v>
          </cell>
        </row>
        <row r="47">
          <cell r="A47" t="str">
            <v>CNTD</v>
          </cell>
          <cell r="B47">
            <v>42</v>
          </cell>
          <cell r="C47" t="str">
            <v>taïp chí Caåm Nang Tieâu Duøng</v>
          </cell>
          <cell r="D47" t="str">
            <v>Thôøi baùo Kinh teá Saigon</v>
          </cell>
          <cell r="E47" t="str">
            <v>CAM NANG TIEU DUNG</v>
          </cell>
          <cell r="F47">
            <v>8000</v>
          </cell>
          <cell r="H47">
            <v>14000</v>
          </cell>
          <cell r="I47">
            <v>12000</v>
          </cell>
          <cell r="J47">
            <v>16000</v>
          </cell>
          <cell r="M47">
            <v>4800</v>
          </cell>
          <cell r="P47">
            <v>4000</v>
          </cell>
          <cell r="R47">
            <v>2000</v>
          </cell>
          <cell r="X47">
            <v>0.15</v>
          </cell>
          <cell r="Z47">
            <v>0.15</v>
          </cell>
          <cell r="AB47">
            <v>0.15</v>
          </cell>
          <cell r="AD47">
            <v>0.15</v>
          </cell>
          <cell r="AF47">
            <v>0.15</v>
          </cell>
          <cell r="AJ47" t="str">
            <v>8245336- 8245337</v>
          </cell>
          <cell r="AK47" t="str">
            <v>824 5339</v>
          </cell>
          <cell r="AL47" t="str">
            <v>10 Truong Dinh, Q.3, HCM</v>
          </cell>
          <cell r="AM47" t="str">
            <v>chò Hoøa</v>
          </cell>
          <cell r="AO47" t="str">
            <v>MO</v>
          </cell>
        </row>
        <row r="48">
          <cell r="A48" t="str">
            <v>TBKTSGNN</v>
          </cell>
          <cell r="B48">
            <v>43</v>
          </cell>
          <cell r="C48" t="str">
            <v>TBKTSG</v>
          </cell>
          <cell r="D48" t="str">
            <v>Thôøi baùo Kinh teá Saigon</v>
          </cell>
          <cell r="E48" t="str">
            <v>TBKTSG</v>
          </cell>
          <cell r="F48">
            <v>18600</v>
          </cell>
          <cell r="H48">
            <v>1600</v>
          </cell>
          <cell r="I48">
            <v>1400</v>
          </cell>
          <cell r="J48">
            <v>1800</v>
          </cell>
          <cell r="P48">
            <v>700</v>
          </cell>
          <cell r="R48">
            <v>450</v>
          </cell>
          <cell r="X48">
            <v>0.15</v>
          </cell>
          <cell r="Z48">
            <v>0.15</v>
          </cell>
          <cell r="AB48">
            <v>0.15</v>
          </cell>
          <cell r="AD48">
            <v>0.15</v>
          </cell>
          <cell r="AF48">
            <v>0.15</v>
          </cell>
          <cell r="AJ48" t="str">
            <v>829 5936</v>
          </cell>
          <cell r="AK48" t="str">
            <v>829 5742</v>
          </cell>
          <cell r="AL48" t="str">
            <v>35 NKKN, Q.3, HCM</v>
          </cell>
          <cell r="AM48" t="str">
            <v>chò Trang, Höông(K.Toaùn)</v>
          </cell>
          <cell r="AO48" t="str">
            <v>MO</v>
          </cell>
          <cell r="AP48" t="str">
            <v>030 145 6357</v>
          </cell>
        </row>
        <row r="49">
          <cell r="A49" t="str">
            <v>TBKTSG</v>
          </cell>
          <cell r="B49">
            <v>44</v>
          </cell>
          <cell r="C49" t="str">
            <v>TBKTSG</v>
          </cell>
          <cell r="D49" t="str">
            <v>Thôøi baùo Kinh teá Saigon</v>
          </cell>
          <cell r="E49" t="str">
            <v>TBKTSG</v>
          </cell>
          <cell r="F49">
            <v>12000</v>
          </cell>
          <cell r="H49">
            <v>1600</v>
          </cell>
          <cell r="I49">
            <v>1400</v>
          </cell>
          <cell r="J49">
            <v>1800</v>
          </cell>
          <cell r="P49">
            <v>700</v>
          </cell>
          <cell r="R49">
            <v>450</v>
          </cell>
          <cell r="X49">
            <v>0.15</v>
          </cell>
          <cell r="Z49">
            <v>0.15</v>
          </cell>
          <cell r="AB49">
            <v>0.15</v>
          </cell>
          <cell r="AD49">
            <v>0.15</v>
          </cell>
          <cell r="AF49">
            <v>0.15</v>
          </cell>
          <cell r="AJ49" t="str">
            <v>829 5936</v>
          </cell>
          <cell r="AK49" t="str">
            <v>829 5742</v>
          </cell>
          <cell r="AL49" t="str">
            <v>35 NKKN, Q.3, HCM</v>
          </cell>
          <cell r="AM49" t="str">
            <v>chò Trang, Höông(K.Toaùn)</v>
          </cell>
          <cell r="AO49" t="str">
            <v>MO</v>
          </cell>
          <cell r="AP49" t="str">
            <v>030 145 6357</v>
          </cell>
        </row>
        <row r="50">
          <cell r="A50" t="str">
            <v>SGT</v>
          </cell>
          <cell r="B50">
            <v>45</v>
          </cell>
          <cell r="C50" t="str">
            <v>Sai Gon Times Daily</v>
          </cell>
          <cell r="D50" t="str">
            <v>Thôøi baùo Kinh teá Saigon</v>
          </cell>
          <cell r="E50" t="str">
            <v>SAIGON TIMES</v>
          </cell>
          <cell r="F50">
            <v>2200</v>
          </cell>
          <cell r="P50">
            <v>1100</v>
          </cell>
          <cell r="R50">
            <v>600</v>
          </cell>
          <cell r="T50">
            <v>1200</v>
          </cell>
          <cell r="X50">
            <v>0.15</v>
          </cell>
          <cell r="Z50">
            <v>0.15</v>
          </cell>
          <cell r="AB50">
            <v>0.15</v>
          </cell>
          <cell r="AD50">
            <v>0.15</v>
          </cell>
          <cell r="AF50">
            <v>0.15</v>
          </cell>
          <cell r="AJ50" t="str">
            <v>829 5936</v>
          </cell>
          <cell r="AK50" t="str">
            <v>829 5742</v>
          </cell>
          <cell r="AL50" t="str">
            <v>35 NKKN, Q.3, HCM</v>
          </cell>
          <cell r="AM50" t="str">
            <v>chò Trang, Höông(K.Toaùn)</v>
          </cell>
          <cell r="AO50" t="str">
            <v>MO</v>
          </cell>
        </row>
        <row r="51">
          <cell r="A51" t="str">
            <v>SGTT</v>
          </cell>
          <cell r="B51">
            <v>46</v>
          </cell>
          <cell r="C51" t="str">
            <v>Baùo Saøi Goøn Tieáp Thò</v>
          </cell>
          <cell r="D51" t="str">
            <v>Thôøi baùo Kinh teá Saigon</v>
          </cell>
          <cell r="E51" t="str">
            <v>SAI GON TIEP THI</v>
          </cell>
          <cell r="F51">
            <v>23000</v>
          </cell>
          <cell r="J51">
            <v>26000</v>
          </cell>
          <cell r="M51">
            <v>18000</v>
          </cell>
          <cell r="P51">
            <v>12000</v>
          </cell>
          <cell r="R51">
            <v>7000</v>
          </cell>
          <cell r="T51">
            <v>16000</v>
          </cell>
          <cell r="X51">
            <v>0.15</v>
          </cell>
          <cell r="Z51">
            <v>0.15</v>
          </cell>
          <cell r="AB51">
            <v>0.15</v>
          </cell>
          <cell r="AD51">
            <v>0.15</v>
          </cell>
          <cell r="AF51">
            <v>0.15</v>
          </cell>
          <cell r="AJ51" t="str">
            <v>8245336- 8245337</v>
          </cell>
          <cell r="AK51" t="str">
            <v>824 5339</v>
          </cell>
          <cell r="AL51" t="str">
            <v>10 Truong Dinh, Q.3, HCM</v>
          </cell>
          <cell r="AM51" t="str">
            <v>chò Hoøa</v>
          </cell>
          <cell r="AO51" t="str">
            <v>MO</v>
          </cell>
        </row>
        <row r="52">
          <cell r="A52" t="str">
            <v>SGTW</v>
          </cell>
          <cell r="B52">
            <v>47</v>
          </cell>
          <cell r="C52" t="str">
            <v>Sai Gon Times Weekly</v>
          </cell>
          <cell r="D52" t="str">
            <v>Thôøi baùo Kinh teá Saigon</v>
          </cell>
          <cell r="E52" t="str">
            <v>SAIGON TIMES</v>
          </cell>
          <cell r="F52">
            <v>1000</v>
          </cell>
          <cell r="H52">
            <v>1300</v>
          </cell>
          <cell r="I52">
            <v>1200</v>
          </cell>
          <cell r="J52">
            <v>1500</v>
          </cell>
          <cell r="P52">
            <v>600</v>
          </cell>
          <cell r="T52">
            <v>800</v>
          </cell>
          <cell r="AJ52" t="str">
            <v>829 5936</v>
          </cell>
          <cell r="AK52" t="str">
            <v>829 5742</v>
          </cell>
          <cell r="AL52" t="str">
            <v>35 NKKN, Q.3, HCM</v>
          </cell>
          <cell r="AM52" t="str">
            <v>chò Trang, Höông(K.Toaùn)</v>
          </cell>
          <cell r="AO52" t="str">
            <v>MO</v>
          </cell>
        </row>
        <row r="53">
          <cell r="A53" t="str">
            <v>TBKTVN</v>
          </cell>
          <cell r="B53">
            <v>48</v>
          </cell>
          <cell r="C53" t="str">
            <v>TBKTVN</v>
          </cell>
          <cell r="D53" t="str">
            <v>Thôøi baùo Kinh Teá VN</v>
          </cell>
          <cell r="E53" t="str">
            <v>TBKTVN</v>
          </cell>
          <cell r="F53">
            <v>50490</v>
          </cell>
          <cell r="J53">
            <v>58905</v>
          </cell>
          <cell r="M53">
            <v>35343</v>
          </cell>
          <cell r="P53">
            <v>30294</v>
          </cell>
          <cell r="R53">
            <v>18176.400000000001</v>
          </cell>
          <cell r="T53">
            <v>38709</v>
          </cell>
          <cell r="X53">
            <v>0.4</v>
          </cell>
          <cell r="Y53">
            <v>0.15</v>
          </cell>
          <cell r="Z53">
            <v>0.4</v>
          </cell>
          <cell r="AA53">
            <v>0.15</v>
          </cell>
          <cell r="AB53">
            <v>0.5</v>
          </cell>
          <cell r="AC53">
            <v>0.15</v>
          </cell>
          <cell r="AD53">
            <v>0.5</v>
          </cell>
          <cell r="AE53">
            <v>0.15</v>
          </cell>
          <cell r="AF53">
            <v>0.4</v>
          </cell>
          <cell r="AG53">
            <v>0.15</v>
          </cell>
          <cell r="AJ53" t="str">
            <v>04 7552060</v>
          </cell>
          <cell r="AK53" t="str">
            <v>04 7552046</v>
          </cell>
          <cell r="AL53" t="str">
            <v>96 Hoaøng Quoác Vieät- Caàu Giaáy- HN</v>
          </cell>
          <cell r="AM53" t="str">
            <v>chò Höông (Ext 131)</v>
          </cell>
          <cell r="AN53" t="str">
            <v>0903 225653</v>
          </cell>
          <cell r="AO53" t="str">
            <v>MO</v>
          </cell>
        </row>
        <row r="54">
          <cell r="A54" t="str">
            <v>TVTD</v>
          </cell>
          <cell r="B54">
            <v>49</v>
          </cell>
          <cell r="C54" t="str">
            <v>taïp chí Tö Vaán Tieâu Duøng</v>
          </cell>
          <cell r="D54" t="str">
            <v>Thôøi baùo Kinh Teá VN</v>
          </cell>
          <cell r="E54" t="str">
            <v>TBKTVN- TU VAN TIEU DUNG</v>
          </cell>
          <cell r="F54">
            <v>1760.0000000000002</v>
          </cell>
          <cell r="H54">
            <v>2200</v>
          </cell>
          <cell r="I54">
            <v>1980.0000000000002</v>
          </cell>
          <cell r="J54">
            <v>2420</v>
          </cell>
          <cell r="P54">
            <v>990.00000000000011</v>
          </cell>
          <cell r="R54">
            <v>660</v>
          </cell>
          <cell r="T54">
            <v>1100</v>
          </cell>
          <cell r="AJ54" t="str">
            <v>04 7552060</v>
          </cell>
          <cell r="AK54" t="str">
            <v>04 7552046</v>
          </cell>
          <cell r="AL54" t="str">
            <v>96 Hoaøng Quoác Vieät- Caàu Giaáy- HN</v>
          </cell>
          <cell r="AM54" t="str">
            <v>chò Höông (Ext 131)</v>
          </cell>
          <cell r="AN54" t="str">
            <v>0903 225653</v>
          </cell>
          <cell r="AO54" t="str">
            <v>MO</v>
          </cell>
        </row>
        <row r="55">
          <cell r="A55" t="str">
            <v>TTVH</v>
          </cell>
          <cell r="B55">
            <v>50</v>
          </cell>
          <cell r="C55" t="str">
            <v>Baùo Theå Thao Vaên Hoaù</v>
          </cell>
          <cell r="D55" t="str">
            <v>Vaên phoøng ñaïi dieän thoâng taán xaõ VN taïi TP.HCM</v>
          </cell>
          <cell r="E55" t="str">
            <v>THE THAO VH</v>
          </cell>
          <cell r="F55">
            <v>10000</v>
          </cell>
          <cell r="J55">
            <v>12000</v>
          </cell>
          <cell r="P55">
            <v>5000</v>
          </cell>
          <cell r="R55">
            <v>2500</v>
          </cell>
          <cell r="T55">
            <v>6000</v>
          </cell>
          <cell r="X55">
            <v>0.2</v>
          </cell>
          <cell r="Z55">
            <v>0.2</v>
          </cell>
          <cell r="AB55">
            <v>0.2</v>
          </cell>
          <cell r="AD55">
            <v>0.2</v>
          </cell>
          <cell r="AF55">
            <v>0.2</v>
          </cell>
          <cell r="AJ55" t="str">
            <v>930 5922</v>
          </cell>
          <cell r="AK55" t="str">
            <v>930 3332</v>
          </cell>
          <cell r="AL55" t="str">
            <v>120 Nguyeãn Thò Minh Khai, Q.3, HCM</v>
          </cell>
          <cell r="AM55" t="str">
            <v>chuù Tò</v>
          </cell>
          <cell r="AN55" t="str">
            <v>0913 601129</v>
          </cell>
          <cell r="AO55" t="str">
            <v>MO</v>
          </cell>
          <cell r="AP55" t="str">
            <v>030 148 3671</v>
          </cell>
        </row>
        <row r="56">
          <cell r="A56" t="str">
            <v>SKDS</v>
          </cell>
          <cell r="B56">
            <v>51</v>
          </cell>
          <cell r="C56" t="str">
            <v>taïp chí Söùc khoeû vaø Ñôøi soáng</v>
          </cell>
          <cell r="D56" t="str">
            <v>Vaên phoøng ñaïi dieän tuaàn baùo Söùc khoûe vaø Ñôøi soáng</v>
          </cell>
          <cell r="E56" t="str">
            <v>SUC KHOE &amp; DOI SONG</v>
          </cell>
          <cell r="F56">
            <v>8500</v>
          </cell>
          <cell r="H56">
            <v>9000</v>
          </cell>
          <cell r="I56">
            <v>8500</v>
          </cell>
          <cell r="J56">
            <v>14000</v>
          </cell>
          <cell r="P56">
            <v>4500</v>
          </cell>
          <cell r="X56">
            <v>0.15</v>
          </cell>
          <cell r="Z56">
            <v>0.15</v>
          </cell>
          <cell r="AB56">
            <v>0.15</v>
          </cell>
          <cell r="AD56">
            <v>0.15</v>
          </cell>
          <cell r="AF56">
            <v>0.15</v>
          </cell>
          <cell r="AJ56" t="str">
            <v>822 9942</v>
          </cell>
          <cell r="AM56" t="str">
            <v>chò Nhaät Thanh</v>
          </cell>
          <cell r="AN56" t="str">
            <v>0903 312245</v>
          </cell>
          <cell r="AO56" t="str">
            <v>MO</v>
          </cell>
        </row>
        <row r="57">
          <cell r="A57" t="str">
            <v>ANTD</v>
          </cell>
          <cell r="B57">
            <v>52</v>
          </cell>
          <cell r="C57" t="str">
            <v>Baùo An Ninh Thuû Ñoâ</v>
          </cell>
          <cell r="D57" t="str">
            <v>Baùo An Ninh Thuû Ñoâ</v>
          </cell>
          <cell r="E57" t="str">
            <v>AN NINH THU DO</v>
          </cell>
          <cell r="F57">
            <v>15300</v>
          </cell>
          <cell r="M57">
            <v>8500</v>
          </cell>
          <cell r="P57">
            <v>7500</v>
          </cell>
          <cell r="R57">
            <v>4000</v>
          </cell>
          <cell r="T57">
            <v>10300</v>
          </cell>
          <cell r="X57">
            <v>0.25</v>
          </cell>
          <cell r="Z57">
            <v>0.25</v>
          </cell>
          <cell r="AB57">
            <v>0.25</v>
          </cell>
          <cell r="AD57">
            <v>0.25</v>
          </cell>
          <cell r="AF57">
            <v>0.25</v>
          </cell>
          <cell r="AJ57" t="str">
            <v>04 9426355</v>
          </cell>
          <cell r="AK57" t="str">
            <v>04 9426354</v>
          </cell>
          <cell r="AL57" t="str">
            <v>82 Lyù Thöôøng Kieät, Hoaøn Kieám, HN</v>
          </cell>
          <cell r="AM57" t="str">
            <v>anh Huøng</v>
          </cell>
          <cell r="AN57" t="str">
            <v>0913 228733</v>
          </cell>
          <cell r="AO57" t="str">
            <v>MO</v>
          </cell>
          <cell r="AP57" t="str">
            <v>01-001-09748</v>
          </cell>
        </row>
        <row r="58">
          <cell r="A58" t="str">
            <v>ANTG</v>
          </cell>
          <cell r="B58">
            <v>53</v>
          </cell>
          <cell r="C58" t="str">
            <v>Baùo An Ninh Theá Giôùi</v>
          </cell>
          <cell r="D58" t="str">
            <v>Baùo Coâng An Nhaân Daân</v>
          </cell>
          <cell r="E58" t="str">
            <v>AN NINH THE GIOI</v>
          </cell>
          <cell r="F58">
            <v>19500</v>
          </cell>
          <cell r="R58">
            <v>4875</v>
          </cell>
          <cell r="T58">
            <v>12500</v>
          </cell>
          <cell r="X58">
            <v>0.1</v>
          </cell>
          <cell r="Z58">
            <v>0.1</v>
          </cell>
          <cell r="AB58">
            <v>0.1</v>
          </cell>
          <cell r="AD58">
            <v>0.1</v>
          </cell>
          <cell r="AF58">
            <v>0.1</v>
          </cell>
          <cell r="AJ58" t="str">
            <v>8 373 602/ 04 8220035</v>
          </cell>
          <cell r="AK58" t="str">
            <v>8 373 603/ 06 943641</v>
          </cell>
          <cell r="AL58" t="str">
            <v>373D Nguyeãn Traõi- Q.1- Tp.HCM/ 100 Yeát Kieâu- Haø Noäi</v>
          </cell>
          <cell r="AM58" t="str">
            <v>anh Cöông</v>
          </cell>
          <cell r="AN58" t="str">
            <v>0903 703126</v>
          </cell>
          <cell r="AO58" t="str">
            <v>MO</v>
          </cell>
          <cell r="AP58" t="str">
            <v>01 0011 09691</v>
          </cell>
        </row>
        <row r="59">
          <cell r="A59" t="str">
            <v>CADN</v>
          </cell>
          <cell r="B59">
            <v>54</v>
          </cell>
          <cell r="C59" t="str">
            <v>Baùo Coâng an Tp. Ñaø Naüng</v>
          </cell>
          <cell r="D59" t="str">
            <v>Baùo Coâng an Tp. Ñaø Naüng</v>
          </cell>
          <cell r="E59" t="str">
            <v>CONG AN TPDN</v>
          </cell>
          <cell r="F59">
            <v>15000</v>
          </cell>
          <cell r="M59">
            <v>8000</v>
          </cell>
          <cell r="P59">
            <v>8000</v>
          </cell>
          <cell r="R59">
            <v>4500</v>
          </cell>
          <cell r="T59">
            <v>6000</v>
          </cell>
          <cell r="AJ59" t="str">
            <v>0511 822626</v>
          </cell>
          <cell r="AK59" t="str">
            <v>0511 822795</v>
          </cell>
          <cell r="AL59" t="str">
            <v>62 Phan Chaâu Trinh- Daø Naüng</v>
          </cell>
          <cell r="AM59" t="str">
            <v>anh Phuùc</v>
          </cell>
          <cell r="AN59" t="str">
            <v>0903 924405</v>
          </cell>
          <cell r="AO59" t="str">
            <v>MO</v>
          </cell>
        </row>
        <row r="60">
          <cell r="A60" t="str">
            <v>CADN-M</v>
          </cell>
          <cell r="B60">
            <v>55</v>
          </cell>
          <cell r="C60" t="str">
            <v>Baùo Coâng an Tp. Ñaø Naüng (Nguyeät san)</v>
          </cell>
          <cell r="D60" t="str">
            <v>Baùo Coâng an Tp. Ñaø Naüng</v>
          </cell>
          <cell r="E60" t="str">
            <v>CONG AN TPDN</v>
          </cell>
          <cell r="F60">
            <v>5000</v>
          </cell>
          <cell r="M60">
            <v>3000</v>
          </cell>
          <cell r="P60">
            <v>3000</v>
          </cell>
          <cell r="T60">
            <v>3500</v>
          </cell>
          <cell r="AJ60" t="str">
            <v>0511 822626</v>
          </cell>
          <cell r="AK60" t="str">
            <v>0511 822795</v>
          </cell>
          <cell r="AL60" t="str">
            <v>62 Phan Chaâu Trinh- Daø Naüng</v>
          </cell>
          <cell r="AM60" t="str">
            <v>anh Phuùc</v>
          </cell>
          <cell r="AN60" t="str">
            <v>0903 924405</v>
          </cell>
          <cell r="AO60" t="str">
            <v>MO</v>
          </cell>
        </row>
        <row r="61">
          <cell r="A61" t="str">
            <v>CNGD</v>
          </cell>
          <cell r="B61">
            <v>56</v>
          </cell>
          <cell r="C61" t="str">
            <v>Caåm Nang Gia Ñình</v>
          </cell>
          <cell r="E61" t="str">
            <v>CAM NANG GIA DINH</v>
          </cell>
          <cell r="F61">
            <v>5500</v>
          </cell>
          <cell r="H61">
            <v>7700.0000000000009</v>
          </cell>
          <cell r="I61">
            <v>6600.0000000000009</v>
          </cell>
          <cell r="J61">
            <v>13200.000000000002</v>
          </cell>
          <cell r="P61">
            <v>2970.0000000000005</v>
          </cell>
          <cell r="R61">
            <v>2200</v>
          </cell>
          <cell r="AJ61" t="str">
            <v>8393 249</v>
          </cell>
          <cell r="AK61" t="str">
            <v>8393 249</v>
          </cell>
          <cell r="AL61" t="str">
            <v>412 Vo Van Tan- HCM</v>
          </cell>
          <cell r="AM61" t="str">
            <v>anh Minh</v>
          </cell>
          <cell r="AN61" t="str">
            <v>0903 743025</v>
          </cell>
          <cell r="AO61" t="str">
            <v>MO</v>
          </cell>
        </row>
        <row r="62">
          <cell r="A62" t="str">
            <v>CT</v>
          </cell>
          <cell r="B62">
            <v>57</v>
          </cell>
          <cell r="C62" t="str">
            <v>Baùo Caàn Thô</v>
          </cell>
          <cell r="D62" t="str">
            <v>Baùo Caàn Thô</v>
          </cell>
          <cell r="E62" t="str">
            <v>CAN THO</v>
          </cell>
          <cell r="F62">
            <v>27500</v>
          </cell>
          <cell r="M62">
            <v>17160</v>
          </cell>
          <cell r="P62">
            <v>14300</v>
          </cell>
          <cell r="R62">
            <v>7150</v>
          </cell>
          <cell r="T62">
            <v>20900</v>
          </cell>
          <cell r="AJ62" t="str">
            <v>071 830 098</v>
          </cell>
          <cell r="AK62" t="str">
            <v>071 830 561</v>
          </cell>
          <cell r="AL62" t="str">
            <v>62 Lyù Töï Troïng- Tp. Caàn Thô</v>
          </cell>
          <cell r="AM62" t="str">
            <v>chò Ñaøo</v>
          </cell>
          <cell r="AO62" t="str">
            <v>MO</v>
          </cell>
        </row>
        <row r="63">
          <cell r="A63" t="str">
            <v>DAKT</v>
          </cell>
          <cell r="B63">
            <v>58</v>
          </cell>
          <cell r="C63" t="str">
            <v>Taïp chí Ñieän Aûnh Kòch Tröôøng</v>
          </cell>
          <cell r="E63" t="str">
            <v>DIEN ANH KICH TRUONG</v>
          </cell>
          <cell r="F63">
            <v>8000</v>
          </cell>
          <cell r="H63">
            <v>10000</v>
          </cell>
          <cell r="I63">
            <v>10000</v>
          </cell>
          <cell r="J63">
            <v>12000</v>
          </cell>
          <cell r="P63">
            <v>4300</v>
          </cell>
          <cell r="R63">
            <v>2600</v>
          </cell>
          <cell r="X63">
            <v>0.4</v>
          </cell>
          <cell r="Z63">
            <v>0.4</v>
          </cell>
          <cell r="AB63">
            <v>0.4</v>
          </cell>
          <cell r="AD63">
            <v>0.4</v>
          </cell>
          <cell r="AF63">
            <v>0.4</v>
          </cell>
          <cell r="AJ63" t="str">
            <v>995 0713</v>
          </cell>
          <cell r="AK63" t="str">
            <v>825 0750</v>
          </cell>
          <cell r="AL63" t="str">
            <v>59F Tran Quoc Toan, q3, HCM</v>
          </cell>
          <cell r="AM63" t="str">
            <v>Chò Nhaïn</v>
          </cell>
          <cell r="AN63" t="str">
            <v>0903 668496</v>
          </cell>
          <cell r="AO63" t="str">
            <v>MO</v>
          </cell>
        </row>
        <row r="64">
          <cell r="A64" t="str">
            <v>DAKTVN</v>
          </cell>
          <cell r="B64">
            <v>59</v>
          </cell>
          <cell r="C64" t="str">
            <v>Taïp chí Ñieän Aûnh Kòch Tröôøng VN</v>
          </cell>
          <cell r="E64" t="str">
            <v>DIEN ANH KICH TRUONG VN</v>
          </cell>
          <cell r="F64">
            <v>15000</v>
          </cell>
          <cell r="H64">
            <v>20000</v>
          </cell>
          <cell r="I64">
            <v>18000</v>
          </cell>
          <cell r="J64">
            <v>25000</v>
          </cell>
          <cell r="M64">
            <v>8000</v>
          </cell>
          <cell r="P64">
            <v>8000</v>
          </cell>
          <cell r="R64">
            <v>4000</v>
          </cell>
          <cell r="S64">
            <v>30000</v>
          </cell>
          <cell r="X64">
            <v>0.15</v>
          </cell>
          <cell r="Z64">
            <v>0.15</v>
          </cell>
          <cell r="AB64">
            <v>0.15</v>
          </cell>
          <cell r="AD64">
            <v>0.15</v>
          </cell>
          <cell r="AF64">
            <v>0.15</v>
          </cell>
          <cell r="AO64" t="str">
            <v>MO</v>
          </cell>
        </row>
        <row r="65">
          <cell r="A65" t="str">
            <v>DATP</v>
          </cell>
          <cell r="B65">
            <v>60</v>
          </cell>
          <cell r="C65" t="str">
            <v>Taïp chí Ñieän Aûnh Tp. HCM</v>
          </cell>
          <cell r="E65" t="str">
            <v>DIEN ANH TP</v>
          </cell>
          <cell r="F65">
            <v>15000</v>
          </cell>
          <cell r="H65">
            <v>20000</v>
          </cell>
          <cell r="I65">
            <v>20000</v>
          </cell>
          <cell r="J65">
            <v>29000</v>
          </cell>
          <cell r="P65">
            <v>8000</v>
          </cell>
          <cell r="X65">
            <v>0.3</v>
          </cell>
          <cell r="Z65">
            <v>0.3</v>
          </cell>
          <cell r="AB65">
            <v>0.3</v>
          </cell>
          <cell r="AD65">
            <v>0.3</v>
          </cell>
          <cell r="AF65">
            <v>0.3</v>
          </cell>
          <cell r="AJ65" t="str">
            <v>932 1259</v>
          </cell>
          <cell r="AK65" t="str">
            <v>932 1249</v>
          </cell>
          <cell r="AM65" t="str">
            <v>anh Cöù</v>
          </cell>
          <cell r="AN65" t="str">
            <v>0903 616321</v>
          </cell>
          <cell r="AO65" t="str">
            <v>MO</v>
          </cell>
        </row>
        <row r="66">
          <cell r="A66" t="str">
            <v>DDSK</v>
          </cell>
          <cell r="B66">
            <v>61</v>
          </cell>
          <cell r="C66" t="str">
            <v>Dinh Döôõng &amp; Söùc Khoeû</v>
          </cell>
          <cell r="D66" t="str">
            <v>Cty TNHH Saùch Vieät</v>
          </cell>
          <cell r="E66" t="str">
            <v>SACH VIET- DINH DUONG &amp; SUC KHOE</v>
          </cell>
          <cell r="F66">
            <v>6600.0000000000009</v>
          </cell>
          <cell r="H66">
            <v>13200.000000000002</v>
          </cell>
          <cell r="I66">
            <v>13200.000000000002</v>
          </cell>
          <cell r="J66">
            <v>16500</v>
          </cell>
          <cell r="M66">
            <v>4400</v>
          </cell>
          <cell r="P66">
            <v>4400</v>
          </cell>
          <cell r="R66">
            <v>2750</v>
          </cell>
          <cell r="S66">
            <v>12100.000000000002</v>
          </cell>
          <cell r="AM66" t="str">
            <v>anh Phuù</v>
          </cell>
          <cell r="AN66" t="str">
            <v>0903 713836</v>
          </cell>
          <cell r="AO66" t="str">
            <v>MO</v>
          </cell>
        </row>
        <row r="67">
          <cell r="A67" t="str">
            <v>TSK-S</v>
          </cell>
          <cell r="B67">
            <v>62</v>
          </cell>
          <cell r="C67" t="str">
            <v>Tia Saùng Khoeû</v>
          </cell>
          <cell r="D67" t="str">
            <v>Cty TNHH Saùch Vieät</v>
          </cell>
          <cell r="E67" t="str">
            <v>SACH VIET- TIA SANG KHOE</v>
          </cell>
          <cell r="F67">
            <v>6600.0000000000009</v>
          </cell>
          <cell r="G67">
            <v>10000</v>
          </cell>
          <cell r="H67">
            <v>13200.000000000002</v>
          </cell>
          <cell r="I67">
            <v>6000</v>
          </cell>
          <cell r="J67">
            <v>16500</v>
          </cell>
          <cell r="M67">
            <v>4400</v>
          </cell>
          <cell r="P67">
            <v>4400</v>
          </cell>
          <cell r="R67">
            <v>2750</v>
          </cell>
          <cell r="S67">
            <v>12100.000000000002</v>
          </cell>
          <cell r="X67">
            <v>0.15</v>
          </cell>
          <cell r="Z67">
            <v>0.15</v>
          </cell>
          <cell r="AB67">
            <v>0.15</v>
          </cell>
          <cell r="AD67">
            <v>0.15</v>
          </cell>
          <cell r="AF67">
            <v>0.15</v>
          </cell>
          <cell r="AH67">
            <v>0.15</v>
          </cell>
          <cell r="AJ67" t="str">
            <v>845 0598</v>
          </cell>
          <cell r="AL67" t="str">
            <v>185 Nguyeãn Ñình Chính, Phuù Nhuaän</v>
          </cell>
          <cell r="AM67" t="str">
            <v>anh Phuù</v>
          </cell>
          <cell r="AN67" t="str">
            <v>0903 713836</v>
          </cell>
          <cell r="AO67" t="str">
            <v>MO</v>
          </cell>
          <cell r="AP67" t="str">
            <v>030 239 7312</v>
          </cell>
        </row>
        <row r="68">
          <cell r="A68" t="str">
            <v>DDDN</v>
          </cell>
          <cell r="B68">
            <v>63</v>
          </cell>
          <cell r="C68" t="str">
            <v>Dieãn Ñaøn Doanh Nghieäp</v>
          </cell>
          <cell r="E68" t="str">
            <v>DIEN DAN DOANH NGHIEP</v>
          </cell>
          <cell r="F68">
            <v>10000</v>
          </cell>
          <cell r="J68">
            <v>12000</v>
          </cell>
          <cell r="M68">
            <v>6000</v>
          </cell>
          <cell r="N68">
            <v>6000</v>
          </cell>
          <cell r="P68">
            <v>5000</v>
          </cell>
          <cell r="R68">
            <v>3000</v>
          </cell>
          <cell r="T68">
            <v>6000</v>
          </cell>
          <cell r="AJ68">
            <v>9321702</v>
          </cell>
          <cell r="AK68">
            <v>9321704</v>
          </cell>
          <cell r="AL68" t="str">
            <v>171 Voõ Thò Saùu, P.7, Q.3, Tp. HCM</v>
          </cell>
          <cell r="AM68" t="str">
            <v>chò Phan</v>
          </cell>
          <cell r="AN68" t="str">
            <v>0903 973146</v>
          </cell>
          <cell r="AO68" t="str">
            <v>MO</v>
          </cell>
          <cell r="AP68" t="str">
            <v>01 001 483911</v>
          </cell>
        </row>
        <row r="69">
          <cell r="A69" t="str">
            <v>DM</v>
          </cell>
          <cell r="B69">
            <v>64</v>
          </cell>
          <cell r="C69" t="str">
            <v>Baùo aûnh Ñaát Muõi</v>
          </cell>
          <cell r="D69" t="str">
            <v>Baùo aûnh Ñaát Muõi</v>
          </cell>
          <cell r="E69" t="str">
            <v>DAT MUI</v>
          </cell>
          <cell r="F69">
            <v>17500</v>
          </cell>
          <cell r="H69">
            <v>22000</v>
          </cell>
          <cell r="I69">
            <v>22000</v>
          </cell>
          <cell r="J69">
            <v>26000</v>
          </cell>
          <cell r="M69">
            <v>10000</v>
          </cell>
          <cell r="P69">
            <v>10000</v>
          </cell>
          <cell r="X69">
            <v>0.2</v>
          </cell>
          <cell r="Z69">
            <v>0.2</v>
          </cell>
          <cell r="AB69">
            <v>0.2</v>
          </cell>
          <cell r="AD69">
            <v>0.2</v>
          </cell>
          <cell r="AF69">
            <v>0.2</v>
          </cell>
          <cell r="AJ69" t="str">
            <v>857 8163</v>
          </cell>
          <cell r="AK69" t="str">
            <v>853 8500</v>
          </cell>
          <cell r="AL69" t="str">
            <v>161 Nguyeãn Tri Phöông, p.8, q.5, HCM</v>
          </cell>
          <cell r="AM69" t="str">
            <v>chò Anh Thö</v>
          </cell>
          <cell r="AN69" t="str">
            <v>0903 713688</v>
          </cell>
          <cell r="AO69" t="str">
            <v>MO</v>
          </cell>
        </row>
        <row r="70">
          <cell r="A70" t="str">
            <v>DT</v>
          </cell>
          <cell r="B70">
            <v>65</v>
          </cell>
          <cell r="C70" t="str">
            <v>Baùo Ñaàu Tö</v>
          </cell>
          <cell r="D70" t="str">
            <v>Baùo Ñaàu Tö</v>
          </cell>
          <cell r="E70" t="str">
            <v>DAU TU</v>
          </cell>
          <cell r="F70">
            <v>19800</v>
          </cell>
          <cell r="M70">
            <v>11550.000000000002</v>
          </cell>
          <cell r="P70">
            <v>11550.000000000002</v>
          </cell>
          <cell r="R70">
            <v>6050.0000000000009</v>
          </cell>
          <cell r="T70">
            <v>15400.000000000002</v>
          </cell>
          <cell r="AJ70" t="str">
            <v>823 8325</v>
          </cell>
          <cell r="AK70" t="str">
            <v>823 8323</v>
          </cell>
          <cell r="AL70" t="str">
            <v>2A-7A Ton Duc Thang, lau 12, Q.1</v>
          </cell>
          <cell r="AM70" t="str">
            <v>chò Huyeàn</v>
          </cell>
          <cell r="AO70" t="str">
            <v>MO</v>
          </cell>
        </row>
        <row r="71">
          <cell r="A71" t="str">
            <v>GDTE</v>
          </cell>
          <cell r="B71">
            <v>66</v>
          </cell>
          <cell r="C71" t="str">
            <v>Gia Ñình &amp; Treû Em</v>
          </cell>
          <cell r="D71" t="str">
            <v>Taïp chí Gia Ñình &amp; Treû Em</v>
          </cell>
          <cell r="E71" t="str">
            <v>GIA DINH &amp; TRE EM</v>
          </cell>
          <cell r="X71">
            <v>0.15</v>
          </cell>
          <cell r="Z71">
            <v>0.15</v>
          </cell>
          <cell r="AB71">
            <v>0.15</v>
          </cell>
          <cell r="AD71">
            <v>0.15</v>
          </cell>
          <cell r="AF71">
            <v>0.15</v>
          </cell>
          <cell r="AJ71" t="str">
            <v>04 8463263</v>
          </cell>
          <cell r="AL71" t="str">
            <v>12 Ngoâ Taát Toá, Ñoáng Ña, HN</v>
          </cell>
          <cell r="AM71" t="str">
            <v>chò Sao Chi</v>
          </cell>
          <cell r="AO71" t="str">
            <v>MO</v>
          </cell>
        </row>
        <row r="72">
          <cell r="A72" t="str">
            <v>HER</v>
          </cell>
          <cell r="B72">
            <v>67</v>
          </cell>
          <cell r="C72" t="str">
            <v>Heritage</v>
          </cell>
          <cell r="E72" t="str">
            <v>HERITAGE</v>
          </cell>
          <cell r="F72">
            <v>5060</v>
          </cell>
          <cell r="H72">
            <v>7700.0000000000009</v>
          </cell>
          <cell r="I72">
            <v>7700.0000000000009</v>
          </cell>
          <cell r="J72">
            <v>9460</v>
          </cell>
          <cell r="P72">
            <v>3036.0000000000005</v>
          </cell>
          <cell r="R72">
            <v>1694.0000000000002</v>
          </cell>
          <cell r="X72">
            <v>0.15</v>
          </cell>
          <cell r="Z72">
            <v>0.15</v>
          </cell>
          <cell r="AB72">
            <v>0.15</v>
          </cell>
          <cell r="AD72">
            <v>0.15</v>
          </cell>
          <cell r="AF72">
            <v>0.15</v>
          </cell>
          <cell r="AJ72" t="str">
            <v>811 8706 (Ext: 309)</v>
          </cell>
          <cell r="AK72" t="str">
            <v>811 7408</v>
          </cell>
          <cell r="AL72" t="str">
            <v>1/1 Hoang Viet- HCM</v>
          </cell>
          <cell r="AM72" t="str">
            <v>chò Mai Phöông</v>
          </cell>
          <cell r="AN72" t="str">
            <v>0903 813040</v>
          </cell>
          <cell r="AO72" t="str">
            <v>MO</v>
          </cell>
        </row>
        <row r="73">
          <cell r="A73" t="str">
            <v>HERF</v>
          </cell>
          <cell r="B73">
            <v>68</v>
          </cell>
          <cell r="C73" t="str">
            <v>Heritage Fashion</v>
          </cell>
          <cell r="E73" t="str">
            <v>HERITAGE FASHION</v>
          </cell>
          <cell r="F73">
            <v>4953.3</v>
          </cell>
          <cell r="H73">
            <v>8192.8000000000011</v>
          </cell>
          <cell r="I73">
            <v>7538.3</v>
          </cell>
          <cell r="J73">
            <v>9308.2000000000007</v>
          </cell>
          <cell r="P73">
            <v>2972.2000000000003</v>
          </cell>
          <cell r="R73">
            <v>1658.8000000000002</v>
          </cell>
          <cell r="S73">
            <v>8615.2000000000007</v>
          </cell>
          <cell r="X73">
            <v>0.1</v>
          </cell>
          <cell r="Y73">
            <v>0.05</v>
          </cell>
          <cell r="Z73">
            <v>0.1</v>
          </cell>
          <cell r="AA73">
            <v>0.05</v>
          </cell>
          <cell r="AB73">
            <v>0.1</v>
          </cell>
          <cell r="AC73">
            <v>0.05</v>
          </cell>
          <cell r="AD73">
            <v>0.1</v>
          </cell>
          <cell r="AE73">
            <v>0.05</v>
          </cell>
          <cell r="AF73">
            <v>0.1</v>
          </cell>
          <cell r="AG73">
            <v>0.05</v>
          </cell>
          <cell r="AL73" t="str">
            <v>146AB Pasteur, Q.1, Tp. HCM (2nd floor)</v>
          </cell>
          <cell r="AM73" t="str">
            <v>chò Minh Trang</v>
          </cell>
          <cell r="AO73" t="str">
            <v>MO</v>
          </cell>
        </row>
        <row r="74">
          <cell r="A74" t="str">
            <v>HNMNN</v>
          </cell>
          <cell r="B74">
            <v>69</v>
          </cell>
          <cell r="C74" t="str">
            <v>Hanoi Môùi</v>
          </cell>
          <cell r="D74" t="str">
            <v>Baùo Haø Noäi Môùi</v>
          </cell>
          <cell r="E74" t="str">
            <v>HANOI MOI</v>
          </cell>
          <cell r="M74">
            <v>24000</v>
          </cell>
          <cell r="P74">
            <v>13000</v>
          </cell>
          <cell r="Q74">
            <v>6500</v>
          </cell>
          <cell r="R74">
            <v>8000</v>
          </cell>
          <cell r="T74">
            <v>20000</v>
          </cell>
          <cell r="X74">
            <v>0.03</v>
          </cell>
          <cell r="Z74">
            <v>0.03</v>
          </cell>
          <cell r="AB74">
            <v>0.03</v>
          </cell>
          <cell r="AD74">
            <v>0.03</v>
          </cell>
          <cell r="AF74">
            <v>0.03</v>
          </cell>
          <cell r="AJ74" t="str">
            <v>04 828 7335</v>
          </cell>
          <cell r="AK74" t="str">
            <v>04 828 7327</v>
          </cell>
          <cell r="AL74" t="str">
            <v>44 Leâ Thaùi Toå- HN</v>
          </cell>
          <cell r="AM74" t="str">
            <v>chò Lan Höông</v>
          </cell>
          <cell r="AO74" t="str">
            <v>MO</v>
          </cell>
          <cell r="AP74" t="str">
            <v>010 011 0486- 1</v>
          </cell>
        </row>
        <row r="75">
          <cell r="A75" t="str">
            <v>HNM</v>
          </cell>
          <cell r="B75">
            <v>70</v>
          </cell>
          <cell r="C75" t="str">
            <v>Hanoi Môùi</v>
          </cell>
          <cell r="D75" t="str">
            <v>Baùo Haø Noäi Môùi</v>
          </cell>
          <cell r="E75" t="str">
            <v>HANOI MOI</v>
          </cell>
          <cell r="F75">
            <v>24000</v>
          </cell>
          <cell r="M75">
            <v>16000</v>
          </cell>
          <cell r="P75">
            <v>13000</v>
          </cell>
          <cell r="Q75">
            <v>6500</v>
          </cell>
          <cell r="R75">
            <v>8000</v>
          </cell>
          <cell r="T75">
            <v>20000</v>
          </cell>
          <cell r="X75">
            <v>0.03</v>
          </cell>
          <cell r="Z75">
            <v>0.03</v>
          </cell>
          <cell r="AB75">
            <v>0.03</v>
          </cell>
          <cell r="AD75">
            <v>0.03</v>
          </cell>
          <cell r="AF75">
            <v>0.03</v>
          </cell>
          <cell r="AJ75" t="str">
            <v>04 828 7335 (ext: 121)</v>
          </cell>
          <cell r="AK75" t="str">
            <v>04 828 7327</v>
          </cell>
          <cell r="AL75" t="str">
            <v>44 Leâ Thaùi Toå- HN</v>
          </cell>
          <cell r="AM75" t="str">
            <v>chò Lan Höông</v>
          </cell>
          <cell r="AO75" t="str">
            <v>MO</v>
          </cell>
          <cell r="AP75" t="str">
            <v>010 011 0486- 1</v>
          </cell>
        </row>
        <row r="76">
          <cell r="A76" t="str">
            <v>HTV</v>
          </cell>
          <cell r="B76">
            <v>71</v>
          </cell>
          <cell r="C76" t="str">
            <v>Baûn Tin HTV</v>
          </cell>
          <cell r="E76" t="str">
            <v>BAN TIN HTV</v>
          </cell>
          <cell r="F76">
            <v>8800</v>
          </cell>
          <cell r="H76">
            <v>11000</v>
          </cell>
          <cell r="I76">
            <v>11000</v>
          </cell>
          <cell r="J76">
            <v>13200.000000000002</v>
          </cell>
          <cell r="P76">
            <v>5500</v>
          </cell>
          <cell r="R76">
            <v>3300.0000000000005</v>
          </cell>
          <cell r="AO76" t="str">
            <v>MO</v>
          </cell>
        </row>
        <row r="77">
          <cell r="A77" t="str">
            <v>KTGD</v>
          </cell>
          <cell r="B77">
            <v>72</v>
          </cell>
          <cell r="C77" t="str">
            <v>KT Gia Ñình</v>
          </cell>
          <cell r="E77" t="str">
            <v>KT GIA DINH</v>
          </cell>
          <cell r="F77">
            <v>13200.000000000002</v>
          </cell>
          <cell r="H77">
            <v>16500</v>
          </cell>
          <cell r="I77">
            <v>16500</v>
          </cell>
          <cell r="J77">
            <v>19800</v>
          </cell>
          <cell r="M77">
            <v>7700.0000000000009</v>
          </cell>
          <cell r="P77">
            <v>6600.0000000000009</v>
          </cell>
          <cell r="R77">
            <v>3850.0000000000005</v>
          </cell>
          <cell r="S77">
            <v>25850.000000000004</v>
          </cell>
          <cell r="AO77" t="str">
            <v>MO</v>
          </cell>
        </row>
        <row r="78">
          <cell r="A78" t="str">
            <v>KTNN</v>
          </cell>
          <cell r="B78">
            <v>73</v>
          </cell>
          <cell r="C78" t="str">
            <v>Taïp chí Kieán Thöùc Ngaøy Nay</v>
          </cell>
          <cell r="D78" t="str">
            <v>Taïp chí Kieán Thöùc Ngaøy Nay</v>
          </cell>
          <cell r="E78" t="str">
            <v>KIEN THUC NGAY NAY</v>
          </cell>
          <cell r="F78">
            <v>8000</v>
          </cell>
          <cell r="H78">
            <v>12000</v>
          </cell>
          <cell r="I78">
            <v>10000</v>
          </cell>
          <cell r="X78">
            <v>0.15</v>
          </cell>
          <cell r="Z78">
            <v>0.15</v>
          </cell>
          <cell r="AB78">
            <v>0.15</v>
          </cell>
          <cell r="AD78">
            <v>0.15</v>
          </cell>
          <cell r="AF78">
            <v>0.15</v>
          </cell>
          <cell r="AJ78" t="str">
            <v>836 8361</v>
          </cell>
          <cell r="AK78" t="str">
            <v>836 8005</v>
          </cell>
          <cell r="AL78" t="str">
            <v>68 Tran Hung Dao, Q.1, Tp.HCM</v>
          </cell>
          <cell r="AM78" t="str">
            <v>anh Khanh</v>
          </cell>
          <cell r="AO78" t="str">
            <v>MO</v>
          </cell>
        </row>
        <row r="79">
          <cell r="A79" t="str">
            <v>LD</v>
          </cell>
          <cell r="B79">
            <v>74</v>
          </cell>
          <cell r="C79" t="str">
            <v>Baùo Lao Ñoäng</v>
          </cell>
          <cell r="D79" t="str">
            <v>Baùo Lao Ñoäng</v>
          </cell>
          <cell r="E79" t="str">
            <v>LAO DONG</v>
          </cell>
          <cell r="F79">
            <v>23100</v>
          </cell>
          <cell r="J79">
            <v>26400</v>
          </cell>
          <cell r="M79">
            <v>13860</v>
          </cell>
          <cell r="P79">
            <v>11550</v>
          </cell>
          <cell r="R79">
            <v>5775</v>
          </cell>
          <cell r="T79">
            <v>17600</v>
          </cell>
          <cell r="X79">
            <v>0.1</v>
          </cell>
          <cell r="Z79">
            <v>0.1</v>
          </cell>
          <cell r="AB79">
            <v>0.1</v>
          </cell>
          <cell r="AD79">
            <v>0.1</v>
          </cell>
          <cell r="AF79">
            <v>0.1</v>
          </cell>
          <cell r="AJ79" t="str">
            <v>04 8252 442</v>
          </cell>
          <cell r="AK79" t="str">
            <v>04 8 288 658</v>
          </cell>
          <cell r="AL79" t="str">
            <v>51 Hang Bo, HN</v>
          </cell>
          <cell r="AM79" t="str">
            <v>chò Quyønh Mai</v>
          </cell>
          <cell r="AN79" t="str">
            <v>0903 445060</v>
          </cell>
          <cell r="AO79" t="str">
            <v>MO</v>
          </cell>
        </row>
        <row r="80">
          <cell r="A80" t="str">
            <v>LDRP</v>
          </cell>
          <cell r="B80">
            <v>75</v>
          </cell>
          <cell r="C80" t="str">
            <v>Baùo Lao Ñoäng</v>
          </cell>
          <cell r="D80" t="str">
            <v>Baùo Lao Ñoäng</v>
          </cell>
          <cell r="E80" t="str">
            <v>LAO DONG</v>
          </cell>
          <cell r="F80">
            <v>27720</v>
          </cell>
          <cell r="J80">
            <v>31680</v>
          </cell>
          <cell r="M80">
            <v>16632</v>
          </cell>
          <cell r="P80">
            <v>13860</v>
          </cell>
          <cell r="R80">
            <v>6930</v>
          </cell>
          <cell r="T80">
            <v>21120</v>
          </cell>
          <cell r="X80">
            <v>0.1</v>
          </cell>
          <cell r="Z80">
            <v>0.1</v>
          </cell>
          <cell r="AB80">
            <v>0.1</v>
          </cell>
          <cell r="AD80">
            <v>0.1</v>
          </cell>
          <cell r="AF80">
            <v>0.1</v>
          </cell>
          <cell r="AJ80" t="str">
            <v>04 8252 442</v>
          </cell>
          <cell r="AK80" t="str">
            <v>04 8 288 658</v>
          </cell>
          <cell r="AL80" t="str">
            <v>51 Hang Bo, HN</v>
          </cell>
          <cell r="AM80" t="str">
            <v>chò Quyønh Mai</v>
          </cell>
          <cell r="AN80" t="str">
            <v>0903 445060</v>
          </cell>
          <cell r="AO80" t="str">
            <v>MO</v>
          </cell>
        </row>
        <row r="81">
          <cell r="A81" t="str">
            <v>MODE</v>
          </cell>
          <cell r="B81">
            <v>76</v>
          </cell>
          <cell r="C81" t="str">
            <v>Mot VN</v>
          </cell>
          <cell r="E81" t="str">
            <v>MOT VN</v>
          </cell>
          <cell r="F81">
            <v>8000</v>
          </cell>
          <cell r="H81">
            <v>10000</v>
          </cell>
          <cell r="I81">
            <v>9000</v>
          </cell>
          <cell r="J81">
            <v>12000</v>
          </cell>
          <cell r="P81">
            <v>4000</v>
          </cell>
          <cell r="X81">
            <v>0.15</v>
          </cell>
          <cell r="Z81">
            <v>0.15</v>
          </cell>
          <cell r="AB81">
            <v>0.15</v>
          </cell>
          <cell r="AD81">
            <v>0.15</v>
          </cell>
          <cell r="AF81">
            <v>0.15</v>
          </cell>
          <cell r="AO81" t="str">
            <v>MO</v>
          </cell>
        </row>
        <row r="82">
          <cell r="A82" t="str">
            <v>NC</v>
          </cell>
          <cell r="B82">
            <v>77</v>
          </cell>
          <cell r="C82" t="str">
            <v>Nhòp Caàu</v>
          </cell>
          <cell r="E82" t="str">
            <v>NHIP CAU</v>
          </cell>
          <cell r="F82">
            <v>17600</v>
          </cell>
          <cell r="H82">
            <v>19800</v>
          </cell>
          <cell r="I82">
            <v>19800</v>
          </cell>
          <cell r="J82">
            <v>30800.000000000004</v>
          </cell>
          <cell r="P82">
            <v>8800</v>
          </cell>
          <cell r="R82">
            <v>4400</v>
          </cell>
          <cell r="AO82" t="str">
            <v>MO</v>
          </cell>
        </row>
        <row r="83">
          <cell r="A83" t="str">
            <v>NHN</v>
          </cell>
          <cell r="B83">
            <v>78</v>
          </cell>
          <cell r="C83" t="str">
            <v>Ngöôøi HN cuoái tuaàn</v>
          </cell>
          <cell r="E83" t="str">
            <v>NGUOI HA NOI</v>
          </cell>
          <cell r="F83">
            <v>11000</v>
          </cell>
          <cell r="P83">
            <v>6600.0000000000009</v>
          </cell>
          <cell r="R83">
            <v>3300.0000000000005</v>
          </cell>
          <cell r="S83">
            <v>17600</v>
          </cell>
          <cell r="AO83" t="str">
            <v>MO</v>
          </cell>
        </row>
        <row r="84">
          <cell r="A84" t="str">
            <v>NLD</v>
          </cell>
          <cell r="B84">
            <v>79</v>
          </cell>
          <cell r="C84" t="str">
            <v>Baùo Ngöôøi Lao Ñoäng</v>
          </cell>
          <cell r="D84" t="str">
            <v>Baùo Ngöôøi Lao Ñoäng</v>
          </cell>
          <cell r="E84" t="str">
            <v>NGUOI LAO DONG</v>
          </cell>
          <cell r="F84">
            <v>14000</v>
          </cell>
          <cell r="M84">
            <v>8400</v>
          </cell>
          <cell r="P84">
            <v>7000</v>
          </cell>
          <cell r="R84">
            <v>3500</v>
          </cell>
          <cell r="T84">
            <v>9000</v>
          </cell>
          <cell r="X84">
            <v>0.15</v>
          </cell>
          <cell r="Z84">
            <v>0.15</v>
          </cell>
          <cell r="AB84">
            <v>0.15</v>
          </cell>
          <cell r="AD84">
            <v>0.15</v>
          </cell>
          <cell r="AF84">
            <v>0.15</v>
          </cell>
          <cell r="AJ84" t="str">
            <v>9306706- 9303574</v>
          </cell>
          <cell r="AK84" t="str">
            <v>830 4707</v>
          </cell>
          <cell r="AL84" t="str">
            <v>123-127 Vo Van Tan, Q.3, HCM</v>
          </cell>
          <cell r="AM84" t="str">
            <v>chò Dung</v>
          </cell>
          <cell r="AN84" t="str">
            <v>0903 777734</v>
          </cell>
          <cell r="AO84" t="str">
            <v>MO</v>
          </cell>
        </row>
        <row r="85">
          <cell r="A85" t="str">
            <v>PCV</v>
          </cell>
          <cell r="B85">
            <v>80</v>
          </cell>
          <cell r="C85" t="str">
            <v>Phong Cach Viet</v>
          </cell>
          <cell r="F85">
            <v>26400.000000000004</v>
          </cell>
          <cell r="H85">
            <v>38500</v>
          </cell>
          <cell r="I85">
            <v>38500</v>
          </cell>
          <cell r="J85">
            <v>38500</v>
          </cell>
          <cell r="AO85" t="str">
            <v>MO</v>
          </cell>
        </row>
        <row r="86">
          <cell r="A86" t="str">
            <v>PNTD</v>
          </cell>
          <cell r="B86">
            <v>81</v>
          </cell>
          <cell r="C86" t="str">
            <v>Baùo Phuï Nöõ Thuû Ñoâ</v>
          </cell>
          <cell r="E86" t="str">
            <v>PHU NU THU DO</v>
          </cell>
          <cell r="F86">
            <v>8800</v>
          </cell>
          <cell r="G86">
            <v>8800</v>
          </cell>
          <cell r="J86">
            <v>11000</v>
          </cell>
          <cell r="M86">
            <v>5500</v>
          </cell>
          <cell r="P86">
            <v>4400</v>
          </cell>
          <cell r="X86">
            <v>0.35</v>
          </cell>
          <cell r="Z86">
            <v>0.35</v>
          </cell>
          <cell r="AB86">
            <v>0.35</v>
          </cell>
          <cell r="AD86">
            <v>0.35</v>
          </cell>
          <cell r="AF86">
            <v>0.35</v>
          </cell>
          <cell r="AJ86" t="str">
            <v>04 9421865</v>
          </cell>
          <cell r="AK86" t="str">
            <v>04 8223898</v>
          </cell>
          <cell r="AL86" t="str">
            <v>72 Quan Su, Hnoi</v>
          </cell>
          <cell r="AM86" t="str">
            <v>chò Vaân Anh</v>
          </cell>
          <cell r="AN86" t="str">
            <v>0913 389177</v>
          </cell>
          <cell r="AO86" t="str">
            <v>MO</v>
          </cell>
          <cell r="AP86" t="str">
            <v>010 078 272- 1</v>
          </cell>
        </row>
        <row r="87">
          <cell r="A87" t="str">
            <v>SGDN</v>
          </cell>
          <cell r="B87">
            <v>82</v>
          </cell>
          <cell r="C87" t="str">
            <v>Sai Gon Doanh Nhan Cuoi Tuan</v>
          </cell>
          <cell r="E87" t="str">
            <v>SG DOANH NHAN CUOI TUAN</v>
          </cell>
          <cell r="F87">
            <v>18000</v>
          </cell>
          <cell r="H87">
            <v>20000</v>
          </cell>
          <cell r="I87">
            <v>20000</v>
          </cell>
          <cell r="J87">
            <v>22000</v>
          </cell>
          <cell r="M87">
            <v>12000</v>
          </cell>
          <cell r="P87">
            <v>10000</v>
          </cell>
          <cell r="R87">
            <v>5500</v>
          </cell>
          <cell r="S87">
            <v>35000</v>
          </cell>
          <cell r="X87">
            <v>0.4</v>
          </cell>
          <cell r="Z87">
            <v>0.4</v>
          </cell>
          <cell r="AB87">
            <v>0.4</v>
          </cell>
          <cell r="AD87">
            <v>0.4</v>
          </cell>
          <cell r="AF87">
            <v>0.4</v>
          </cell>
          <cell r="AO87" t="str">
            <v>MO</v>
          </cell>
        </row>
        <row r="88">
          <cell r="A88" t="str">
            <v>SGGP</v>
          </cell>
          <cell r="B88">
            <v>83</v>
          </cell>
          <cell r="C88" t="str">
            <v>Baùo Saøi Goøn Giaûi Phoùng</v>
          </cell>
          <cell r="D88" t="str">
            <v>Baùo Saøi Goøn Giaûi Phoùng</v>
          </cell>
          <cell r="E88" t="str">
            <v>SAI GON GIAI PHONG</v>
          </cell>
          <cell r="F88">
            <v>33000</v>
          </cell>
          <cell r="M88">
            <v>16500</v>
          </cell>
          <cell r="P88">
            <v>16500</v>
          </cell>
          <cell r="R88">
            <v>8500</v>
          </cell>
          <cell r="T88">
            <v>22000</v>
          </cell>
          <cell r="X88">
            <v>7.0000000000000007E-2</v>
          </cell>
          <cell r="Z88">
            <v>7.0000000000000007E-2</v>
          </cell>
          <cell r="AB88">
            <v>7.0000000000000007E-2</v>
          </cell>
          <cell r="AD88">
            <v>7.0000000000000007E-2</v>
          </cell>
          <cell r="AF88">
            <v>7.0000000000000007E-2</v>
          </cell>
          <cell r="AJ88" t="str">
            <v>833 4185</v>
          </cell>
          <cell r="AK88" t="str">
            <v>834 1062</v>
          </cell>
          <cell r="AL88" t="str">
            <v>432 NTMK, Q.3, HCM</v>
          </cell>
          <cell r="AM88" t="str">
            <v>anh Nam (K.Toaùn)</v>
          </cell>
          <cell r="AO88" t="str">
            <v>MO</v>
          </cell>
        </row>
        <row r="89">
          <cell r="A89" t="str">
            <v>STNT</v>
          </cell>
          <cell r="B89">
            <v>84</v>
          </cell>
          <cell r="C89" t="str">
            <v>Soå Tay Noäi Trôï</v>
          </cell>
          <cell r="E89" t="str">
            <v>SO TAY NOI TRO</v>
          </cell>
          <cell r="F89">
            <v>4400</v>
          </cell>
          <cell r="H89">
            <v>6600.0000000000009</v>
          </cell>
          <cell r="I89">
            <v>5500</v>
          </cell>
          <cell r="J89">
            <v>8800</v>
          </cell>
          <cell r="P89">
            <v>2200</v>
          </cell>
          <cell r="R89">
            <v>1650.0000000000002</v>
          </cell>
          <cell r="AO89" t="str">
            <v>MO</v>
          </cell>
        </row>
        <row r="90">
          <cell r="A90" t="str">
            <v>TGDA</v>
          </cell>
          <cell r="B90">
            <v>85</v>
          </cell>
          <cell r="C90" t="str">
            <v>Taïp chí Theá Giôùi Ñieän Aûnh</v>
          </cell>
          <cell r="D90" t="str">
            <v>Taïp chí Theá Giôùi Ñieän Aûnh</v>
          </cell>
          <cell r="E90" t="str">
            <v>THE GIOI DIEN ANH</v>
          </cell>
          <cell r="F90">
            <v>15000</v>
          </cell>
          <cell r="H90">
            <v>17500</v>
          </cell>
          <cell r="I90">
            <v>17500</v>
          </cell>
          <cell r="J90">
            <v>20500</v>
          </cell>
          <cell r="P90">
            <v>8000</v>
          </cell>
          <cell r="R90">
            <v>45000</v>
          </cell>
          <cell r="X90">
            <v>0.2</v>
          </cell>
          <cell r="Z90">
            <v>0.2</v>
          </cell>
          <cell r="AB90">
            <v>0.2</v>
          </cell>
          <cell r="AD90">
            <v>0.2</v>
          </cell>
          <cell r="AF90">
            <v>0.2</v>
          </cell>
          <cell r="AJ90" t="str">
            <v>857 8163</v>
          </cell>
          <cell r="AK90" t="str">
            <v>853 8500</v>
          </cell>
          <cell r="AL90" t="str">
            <v>161 Nguyeãn Tri Phöông, p.8, q.5, HCM</v>
          </cell>
          <cell r="AM90" t="str">
            <v>chò Anh Thö</v>
          </cell>
          <cell r="AN90" t="str">
            <v>0903 713688</v>
          </cell>
          <cell r="AO90" t="str">
            <v>MO</v>
          </cell>
        </row>
        <row r="91">
          <cell r="A91" t="str">
            <v>THDS</v>
          </cell>
          <cell r="B91">
            <v>86</v>
          </cell>
          <cell r="C91" t="str">
            <v>Taïp chí Tin hoïc &amp; Ñôøi soáng</v>
          </cell>
          <cell r="E91" t="str">
            <v>TIN HOC DOI SONG</v>
          </cell>
          <cell r="F91">
            <v>5000</v>
          </cell>
          <cell r="H91">
            <v>7000</v>
          </cell>
          <cell r="I91">
            <v>7000</v>
          </cell>
          <cell r="J91">
            <v>9000</v>
          </cell>
          <cell r="M91">
            <v>3000</v>
          </cell>
          <cell r="P91">
            <v>3000</v>
          </cell>
          <cell r="R91">
            <v>1500</v>
          </cell>
          <cell r="X91">
            <v>0.15</v>
          </cell>
          <cell r="Z91">
            <v>0.15</v>
          </cell>
          <cell r="AB91">
            <v>0.15</v>
          </cell>
          <cell r="AD91">
            <v>0.15</v>
          </cell>
          <cell r="AF91">
            <v>0.15</v>
          </cell>
          <cell r="AJ91" t="str">
            <v>930 2154</v>
          </cell>
          <cell r="AK91" t="str">
            <v>930 4155</v>
          </cell>
          <cell r="AL91" t="str">
            <v>270 Nguyeãn Ñình Chieåu</v>
          </cell>
          <cell r="AM91" t="str">
            <v>anh Laâm</v>
          </cell>
          <cell r="AN91" t="str">
            <v>0903 631051</v>
          </cell>
          <cell r="AO91" t="str">
            <v>MO</v>
          </cell>
        </row>
        <row r="92">
          <cell r="A92" t="str">
            <v>TM</v>
          </cell>
          <cell r="B92">
            <v>87</v>
          </cell>
          <cell r="C92" t="str">
            <v>Thöông Maïi</v>
          </cell>
          <cell r="E92" t="str">
            <v>THUONG MAI</v>
          </cell>
          <cell r="F92">
            <v>6000</v>
          </cell>
          <cell r="H92">
            <v>7500</v>
          </cell>
          <cell r="I92">
            <v>7000</v>
          </cell>
          <cell r="J92">
            <v>9000</v>
          </cell>
          <cell r="P92">
            <v>3500</v>
          </cell>
          <cell r="AO92" t="str">
            <v>MO</v>
          </cell>
        </row>
        <row r="93">
          <cell r="A93" t="str">
            <v>TN</v>
          </cell>
          <cell r="B93">
            <v>88</v>
          </cell>
          <cell r="C93" t="str">
            <v>Baùo Thanh Nieân</v>
          </cell>
          <cell r="D93" t="str">
            <v>Baùo Thanh Nieân</v>
          </cell>
          <cell r="E93" t="str">
            <v>THANH NIEN</v>
          </cell>
          <cell r="F93">
            <v>26000</v>
          </cell>
          <cell r="M93">
            <v>13000</v>
          </cell>
          <cell r="P93">
            <v>13000</v>
          </cell>
          <cell r="R93">
            <v>6500</v>
          </cell>
          <cell r="T93">
            <v>22000</v>
          </cell>
          <cell r="X93">
            <v>0.1</v>
          </cell>
          <cell r="Z93">
            <v>0.1</v>
          </cell>
          <cell r="AB93">
            <v>0.1</v>
          </cell>
          <cell r="AD93">
            <v>0.1</v>
          </cell>
          <cell r="AF93">
            <v>0.1</v>
          </cell>
          <cell r="AJ93" t="str">
            <v>8322 026</v>
          </cell>
          <cell r="AK93" t="str">
            <v>8322 025</v>
          </cell>
          <cell r="AL93" t="str">
            <v>248 Coáng Quyønh, Q.1, HCM</v>
          </cell>
          <cell r="AM93" t="str">
            <v>anh Tuù</v>
          </cell>
          <cell r="AN93" t="str">
            <v>0903 801266</v>
          </cell>
          <cell r="AO93" t="str">
            <v>MO</v>
          </cell>
          <cell r="AP93" t="str">
            <v>030 122 1524- 1</v>
          </cell>
        </row>
        <row r="94">
          <cell r="A94" t="str">
            <v>TNTP</v>
          </cell>
          <cell r="B94">
            <v>89</v>
          </cell>
          <cell r="C94" t="str">
            <v>Baùo Thieáu Nieân Tieàn Phong</v>
          </cell>
          <cell r="E94" t="str">
            <v>THIEU NIEN TIEN PHONG</v>
          </cell>
          <cell r="F94">
            <v>1500</v>
          </cell>
          <cell r="H94">
            <v>4000</v>
          </cell>
          <cell r="I94">
            <v>4000</v>
          </cell>
          <cell r="J94">
            <v>6000</v>
          </cell>
          <cell r="P94">
            <v>750</v>
          </cell>
          <cell r="R94">
            <v>400</v>
          </cell>
          <cell r="AJ94" t="str">
            <v>830 6884</v>
          </cell>
          <cell r="AK94" t="str">
            <v>839 2563</v>
          </cell>
          <cell r="AL94" t="str">
            <v>1 Cao Thang, Q.3, Tp. HCM</v>
          </cell>
          <cell r="AM94" t="str">
            <v>chò Höông</v>
          </cell>
          <cell r="AO94" t="str">
            <v>MO</v>
          </cell>
        </row>
        <row r="95">
          <cell r="A95" t="str">
            <v>TSK</v>
          </cell>
          <cell r="B95">
            <v>90</v>
          </cell>
          <cell r="C95" t="str">
            <v>Taïp chí Thuoác &amp; Söùc Khoeû</v>
          </cell>
          <cell r="D95" t="str">
            <v>Taïp chí Thuoác &amp; Söùc Khoeû</v>
          </cell>
          <cell r="E95" t="str">
            <v>THUOC &amp; SUC KHOE</v>
          </cell>
          <cell r="F95">
            <v>6000</v>
          </cell>
          <cell r="H95">
            <v>8000</v>
          </cell>
          <cell r="I95">
            <v>8000</v>
          </cell>
          <cell r="J95">
            <v>14000</v>
          </cell>
          <cell r="P95">
            <v>3000</v>
          </cell>
          <cell r="R95">
            <v>2000</v>
          </cell>
          <cell r="X95">
            <v>0.15</v>
          </cell>
          <cell r="Z95">
            <v>0.15</v>
          </cell>
          <cell r="AB95">
            <v>0.15</v>
          </cell>
          <cell r="AD95">
            <v>0.15</v>
          </cell>
          <cell r="AF95">
            <v>0.15</v>
          </cell>
          <cell r="AO95" t="str">
            <v>MO</v>
          </cell>
        </row>
        <row r="96">
          <cell r="A96" t="str">
            <v>TTT</v>
          </cell>
          <cell r="B96">
            <v>91</v>
          </cell>
          <cell r="C96" t="str">
            <v>Taïp chí Thôøi Trang Treû</v>
          </cell>
          <cell r="D96" t="str">
            <v>Taïp chí Thôøi Trang Treû</v>
          </cell>
          <cell r="E96" t="str">
            <v>THOI TRANG TRE</v>
          </cell>
          <cell r="F96">
            <v>27500.000000000004</v>
          </cell>
          <cell r="H96">
            <v>37400</v>
          </cell>
          <cell r="I96">
            <v>35750</v>
          </cell>
          <cell r="J96">
            <v>41800</v>
          </cell>
          <cell r="M96">
            <v>16500</v>
          </cell>
          <cell r="P96">
            <v>16500</v>
          </cell>
          <cell r="R96">
            <v>9900</v>
          </cell>
          <cell r="S96">
            <v>46750.000000000007</v>
          </cell>
          <cell r="T96">
            <v>28000</v>
          </cell>
          <cell r="X96">
            <v>0.15</v>
          </cell>
          <cell r="Y96">
            <v>0.15</v>
          </cell>
          <cell r="Z96">
            <v>0.15</v>
          </cell>
          <cell r="AA96">
            <v>0.22</v>
          </cell>
          <cell r="AF96">
            <v>0.15</v>
          </cell>
          <cell r="AG96">
            <v>0.1</v>
          </cell>
          <cell r="AJ96" t="str">
            <v>995 2646/ 995 2647</v>
          </cell>
          <cell r="AK96" t="str">
            <v>995 2645</v>
          </cell>
          <cell r="AL96" t="str">
            <v>8 Hoang Van Thu, P.8, Q. Phu Nhuan</v>
          </cell>
          <cell r="AM96" t="str">
            <v>chò Cô</v>
          </cell>
          <cell r="AO96" t="str">
            <v>MO</v>
          </cell>
          <cell r="AP96" t="str">
            <v>010 077 4568- 1</v>
          </cell>
        </row>
        <row r="97">
          <cell r="A97" t="str">
            <v>TTVN</v>
          </cell>
          <cell r="B97">
            <v>92</v>
          </cell>
          <cell r="C97" t="str">
            <v>Baùo Theå Thao VN</v>
          </cell>
          <cell r="D97" t="str">
            <v>Baùo Theå Thao VN</v>
          </cell>
          <cell r="E97" t="str">
            <v>THE THAO VN</v>
          </cell>
          <cell r="F97">
            <v>26400.000000000004</v>
          </cell>
          <cell r="M97">
            <v>15840.000000000002</v>
          </cell>
          <cell r="P97">
            <v>13200.000000000002</v>
          </cell>
          <cell r="T97">
            <v>13200.000000000002</v>
          </cell>
          <cell r="X97">
            <v>0.15</v>
          </cell>
          <cell r="Z97">
            <v>0.15</v>
          </cell>
          <cell r="AB97">
            <v>0.15</v>
          </cell>
          <cell r="AD97">
            <v>0.15</v>
          </cell>
          <cell r="AF97">
            <v>0.15</v>
          </cell>
          <cell r="AJ97" t="str">
            <v>910 2539</v>
          </cell>
          <cell r="AK97" t="str">
            <v>822 2143</v>
          </cell>
          <cell r="AL97" t="str">
            <v>48 Nguyeãn Dinh Chieu, Q.3, Tp.HCM</v>
          </cell>
          <cell r="AM97" t="str">
            <v>Chò Yeán</v>
          </cell>
          <cell r="AN97" t="str">
            <v>0903 735445</v>
          </cell>
          <cell r="AO97" t="str">
            <v>MO</v>
          </cell>
        </row>
        <row r="98">
          <cell r="A98" t="str">
            <v>TTHN</v>
          </cell>
          <cell r="B98">
            <v>93</v>
          </cell>
          <cell r="C98" t="str">
            <v>Baùo Theå Thao Haøng Ngaøy</v>
          </cell>
          <cell r="D98" t="str">
            <v>Baùo Theå Thao VN</v>
          </cell>
          <cell r="E98" t="str">
            <v>THE THAO VN- THE THAO HANG NGAY</v>
          </cell>
          <cell r="F98">
            <v>20000</v>
          </cell>
          <cell r="H98">
            <v>28000</v>
          </cell>
          <cell r="I98">
            <v>26000</v>
          </cell>
          <cell r="J98">
            <v>30000</v>
          </cell>
          <cell r="M98">
            <v>14400</v>
          </cell>
          <cell r="N98">
            <v>10500</v>
          </cell>
          <cell r="O98">
            <v>10500</v>
          </cell>
          <cell r="P98">
            <v>10500</v>
          </cell>
          <cell r="Q98">
            <v>5500</v>
          </cell>
          <cell r="R98">
            <v>5500</v>
          </cell>
          <cell r="S98">
            <v>36000</v>
          </cell>
          <cell r="T98">
            <v>13200.000000000002</v>
          </cell>
          <cell r="X98">
            <v>0.15</v>
          </cell>
          <cell r="Z98">
            <v>0.15</v>
          </cell>
          <cell r="AB98">
            <v>0.15</v>
          </cell>
          <cell r="AD98">
            <v>0.15</v>
          </cell>
          <cell r="AF98">
            <v>0.15</v>
          </cell>
          <cell r="AJ98" t="str">
            <v>910 2539</v>
          </cell>
          <cell r="AK98" t="str">
            <v>822 2143</v>
          </cell>
          <cell r="AL98" t="str">
            <v>48 Nguyeãn Dinh Chieu, Q.3, Tp.HCM</v>
          </cell>
          <cell r="AM98" t="str">
            <v>Chò Yeán</v>
          </cell>
          <cell r="AN98" t="str">
            <v>0903 735445</v>
          </cell>
          <cell r="AO98" t="str">
            <v>MO</v>
          </cell>
        </row>
        <row r="99">
          <cell r="A99" t="str">
            <v>PNTT</v>
          </cell>
          <cell r="B99">
            <v>94</v>
          </cell>
          <cell r="C99" t="str">
            <v>Taïp chí Phuï Nöõ &amp; Theå Thao</v>
          </cell>
          <cell r="D99" t="str">
            <v>Baùo Theå Thao VN</v>
          </cell>
          <cell r="E99" t="str">
            <v>THE THAO VN- PHU NU &amp; THE THAO</v>
          </cell>
          <cell r="F99">
            <v>26400.000000000004</v>
          </cell>
          <cell r="M99">
            <v>15840.000000000002</v>
          </cell>
          <cell r="P99">
            <v>13200.000000000002</v>
          </cell>
          <cell r="T99">
            <v>13200.000000000002</v>
          </cell>
          <cell r="X99">
            <v>0.15</v>
          </cell>
          <cell r="Z99">
            <v>0.15</v>
          </cell>
          <cell r="AB99">
            <v>0.15</v>
          </cell>
          <cell r="AD99">
            <v>0.15</v>
          </cell>
          <cell r="AF99">
            <v>0.15</v>
          </cell>
          <cell r="AJ99" t="str">
            <v>910 2539</v>
          </cell>
          <cell r="AK99" t="str">
            <v>822 2143</v>
          </cell>
          <cell r="AL99" t="str">
            <v>48 Nguyeãn Dinh Chieu, Q.3, Tp.HCM</v>
          </cell>
          <cell r="AM99" t="str">
            <v>Chò Yeán</v>
          </cell>
          <cell r="AN99" t="str">
            <v>0903 735445</v>
          </cell>
          <cell r="AO99" t="str">
            <v>MO</v>
          </cell>
        </row>
        <row r="100">
          <cell r="A100" t="str">
            <v>TTVN</v>
          </cell>
          <cell r="B100">
            <v>95</v>
          </cell>
          <cell r="C100" t="str">
            <v>Tieáp Thò VN</v>
          </cell>
          <cell r="E100" t="str">
            <v>TIEP THI VN</v>
          </cell>
          <cell r="F100">
            <v>13200.000000000002</v>
          </cell>
          <cell r="H100">
            <v>14300.000000000002</v>
          </cell>
          <cell r="I100">
            <v>14300.000000000002</v>
          </cell>
          <cell r="J100">
            <v>16500</v>
          </cell>
          <cell r="M100">
            <v>7260.0000000000009</v>
          </cell>
          <cell r="P100">
            <v>7260.0000000000009</v>
          </cell>
          <cell r="R100">
            <v>3850.0000000000005</v>
          </cell>
          <cell r="S100">
            <v>25850.000000000004</v>
          </cell>
          <cell r="AO100" t="str">
            <v>MO</v>
          </cell>
        </row>
        <row r="101">
          <cell r="A101" t="str">
            <v>VEN</v>
          </cell>
          <cell r="B101">
            <v>96</v>
          </cell>
          <cell r="C101" t="str">
            <v>Vietnam Economic News</v>
          </cell>
          <cell r="E101" t="str">
            <v>VIETNAM ECONOMICS NEWS</v>
          </cell>
          <cell r="F101">
            <v>5500</v>
          </cell>
          <cell r="H101">
            <v>9900</v>
          </cell>
          <cell r="I101">
            <v>8800</v>
          </cell>
          <cell r="J101">
            <v>11000</v>
          </cell>
          <cell r="M101">
            <v>2750</v>
          </cell>
          <cell r="P101">
            <v>2750</v>
          </cell>
          <cell r="AO101" t="str">
            <v>MO</v>
          </cell>
        </row>
        <row r="102">
          <cell r="A102" t="str">
            <v>VET</v>
          </cell>
          <cell r="B102">
            <v>97</v>
          </cell>
          <cell r="C102" t="str">
            <v>Vietnam Economic Times</v>
          </cell>
          <cell r="E102" t="str">
            <v>VIETNAM ECONOMICS TIMES</v>
          </cell>
          <cell r="F102" t="str">
            <v>3465USD</v>
          </cell>
          <cell r="J102" t="str">
            <v>4675USD</v>
          </cell>
          <cell r="P102" t="str">
            <v>2090USD</v>
          </cell>
          <cell r="R102" t="str">
            <v>1265USD</v>
          </cell>
          <cell r="S102" t="str">
            <v>5885USD</v>
          </cell>
          <cell r="X102">
            <v>0.15</v>
          </cell>
          <cell r="Z102">
            <v>0.15</v>
          </cell>
          <cell r="AB102">
            <v>0.15</v>
          </cell>
          <cell r="AD102">
            <v>0.15</v>
          </cell>
          <cell r="AF102">
            <v>0.15</v>
          </cell>
          <cell r="AO102" t="str">
            <v>MO</v>
          </cell>
        </row>
        <row r="103">
          <cell r="A103" t="str">
            <v>VIR</v>
          </cell>
          <cell r="B103">
            <v>98</v>
          </cell>
          <cell r="C103" t="str">
            <v>Vietnam Investment Review</v>
          </cell>
          <cell r="D103" t="str">
            <v>Baùo Ñaàu Tö</v>
          </cell>
          <cell r="E103" t="str">
            <v>DAU TU- VIR</v>
          </cell>
          <cell r="F103">
            <v>3245.0000000000005</v>
          </cell>
          <cell r="M103">
            <v>1925.0000000000002</v>
          </cell>
          <cell r="P103">
            <v>1925.0000000000002</v>
          </cell>
          <cell r="R103">
            <v>1045</v>
          </cell>
          <cell r="T103">
            <v>2145</v>
          </cell>
          <cell r="X103">
            <v>0.5</v>
          </cell>
          <cell r="Y103">
            <v>0.15</v>
          </cell>
          <cell r="Z103">
            <v>0.5</v>
          </cell>
          <cell r="AA103">
            <v>0.15</v>
          </cell>
          <cell r="AB103">
            <v>0.5</v>
          </cell>
          <cell r="AC103">
            <v>0.15</v>
          </cell>
          <cell r="AD103">
            <v>0.5</v>
          </cell>
          <cell r="AE103">
            <v>0.15</v>
          </cell>
          <cell r="AF103">
            <v>0.5</v>
          </cell>
          <cell r="AG103">
            <v>0.15</v>
          </cell>
          <cell r="AO103" t="str">
            <v>MO</v>
          </cell>
        </row>
        <row r="104">
          <cell r="A104" t="str">
            <v>VNN</v>
          </cell>
          <cell r="B104">
            <v>99</v>
          </cell>
          <cell r="C104" t="str">
            <v>Vietnam News</v>
          </cell>
          <cell r="D104" t="str">
            <v>Phoøng Ñaïi Dieän Vieät Nam News</v>
          </cell>
          <cell r="E104" t="str">
            <v>VIETNAM NEWS</v>
          </cell>
          <cell r="F104">
            <v>2000</v>
          </cell>
          <cell r="M104">
            <v>1000</v>
          </cell>
          <cell r="P104">
            <v>1000</v>
          </cell>
          <cell r="R104">
            <v>500</v>
          </cell>
          <cell r="T104">
            <v>730</v>
          </cell>
          <cell r="X104">
            <v>0.25</v>
          </cell>
          <cell r="Z104">
            <v>0.25</v>
          </cell>
          <cell r="AB104">
            <v>0.25</v>
          </cell>
          <cell r="AD104">
            <v>0.25</v>
          </cell>
          <cell r="AF104">
            <v>0.25</v>
          </cell>
          <cell r="AJ104" t="str">
            <v>930 3740</v>
          </cell>
          <cell r="AK104" t="str">
            <v>930 3408</v>
          </cell>
          <cell r="AM104" t="str">
            <v>Anh Tröïc</v>
          </cell>
          <cell r="AN104" t="str">
            <v>0903 927740</v>
          </cell>
          <cell r="AO104" t="str">
            <v>MO</v>
          </cell>
        </row>
        <row r="105">
          <cell r="A105" t="str">
            <v>VTV</v>
          </cell>
          <cell r="B105">
            <v>100</v>
          </cell>
          <cell r="C105" t="str">
            <v>Baûn tin VTV</v>
          </cell>
          <cell r="D105" t="str">
            <v>Taïp chí Truyeàn Hình</v>
          </cell>
          <cell r="E105" t="str">
            <v>BAN TIN VTV</v>
          </cell>
          <cell r="F105">
            <v>7000</v>
          </cell>
          <cell r="H105">
            <v>12000</v>
          </cell>
          <cell r="I105">
            <v>12000</v>
          </cell>
          <cell r="X105">
            <v>0.2</v>
          </cell>
          <cell r="Z105">
            <v>0.2</v>
          </cell>
          <cell r="AB105">
            <v>0.2</v>
          </cell>
          <cell r="AD105">
            <v>0.2</v>
          </cell>
          <cell r="AF105">
            <v>0.2</v>
          </cell>
          <cell r="AJ105" t="str">
            <v>04 7718267</v>
          </cell>
          <cell r="AK105" t="str">
            <v>04 7716433</v>
          </cell>
          <cell r="AM105" t="str">
            <v>Chò Nga</v>
          </cell>
          <cell r="AN105" t="str">
            <v>0903 261705</v>
          </cell>
          <cell r="AO105" t="str">
            <v>MO</v>
          </cell>
        </row>
        <row r="106">
          <cell r="A106" t="str">
            <v>HHT1-S</v>
          </cell>
          <cell r="B106">
            <v>101</v>
          </cell>
          <cell r="C106" t="str">
            <v>Hoa Hoïc Troø 1</v>
          </cell>
          <cell r="D106" t="str">
            <v>Cty QC- TM Cöôøng Phong</v>
          </cell>
          <cell r="E106" t="str">
            <v>CUONG PHONG- HOA HOC TRO 1</v>
          </cell>
          <cell r="AJ106" t="str">
            <v>04 7753512</v>
          </cell>
          <cell r="AL106" t="str">
            <v>16 Chuøa Laùng- Ñoáng Ña- Haø Noäi</v>
          </cell>
          <cell r="AM106" t="str">
            <v>anh Phong</v>
          </cell>
          <cell r="AN106" t="str">
            <v>0912 031122</v>
          </cell>
          <cell r="AO106" t="str">
            <v>MO</v>
          </cell>
          <cell r="AP106" t="str">
            <v>010 137 4971</v>
          </cell>
        </row>
        <row r="107">
          <cell r="A107" t="str">
            <v>HHT2-S</v>
          </cell>
          <cell r="B107">
            <v>102</v>
          </cell>
          <cell r="C107" t="str">
            <v>Hoa Hoïc Troø 2</v>
          </cell>
          <cell r="D107" t="str">
            <v>Cty QC- TM Cöôøng Phong</v>
          </cell>
          <cell r="E107" t="str">
            <v>CUONG PHONG- HOA HOC TRO 2</v>
          </cell>
          <cell r="AJ107" t="str">
            <v>04 7753512</v>
          </cell>
          <cell r="AL107" t="str">
            <v>16 Chuøa Laùng- Ñoáng Ña- Haø Noäi</v>
          </cell>
          <cell r="AM107" t="str">
            <v>anh Phong</v>
          </cell>
          <cell r="AN107" t="str">
            <v>0912 031122</v>
          </cell>
          <cell r="AO107" t="str">
            <v>MO</v>
          </cell>
          <cell r="AP107" t="str">
            <v>010 137 4971</v>
          </cell>
        </row>
        <row r="108">
          <cell r="B108">
            <v>103</v>
          </cell>
          <cell r="C108" t="str">
            <v>Nhi Dong</v>
          </cell>
          <cell r="E108" t="str">
            <v>NHI DONG</v>
          </cell>
          <cell r="F108">
            <v>6600.0000000000009</v>
          </cell>
          <cell r="I108">
            <v>8800</v>
          </cell>
          <cell r="M108">
            <v>3630.0000000000005</v>
          </cell>
          <cell r="P108">
            <v>3630.0000000000005</v>
          </cell>
        </row>
        <row r="109">
          <cell r="A109" t="str">
            <v>THDS-S</v>
          </cell>
          <cell r="B109">
            <v>104</v>
          </cell>
          <cell r="C109" t="str">
            <v>Taïp chí Tin hoïc &amp; Ñôøi soáng</v>
          </cell>
          <cell r="D109" t="str">
            <v>Cty TNHH Quaûng Caùo Theá Kyû Môùi</v>
          </cell>
          <cell r="E109" t="str">
            <v>THE KY MOI- TIN HOC &amp; DOI SONG</v>
          </cell>
          <cell r="AJ109" t="str">
            <v>04 5657394</v>
          </cell>
          <cell r="AK109" t="str">
            <v>04 5657397</v>
          </cell>
          <cell r="AL109" t="str">
            <v>282 Hoaøng Vaên Thaùi- Quaän Thanh Xuaân- HN</v>
          </cell>
          <cell r="AM109" t="str">
            <v>chò Thu Höông</v>
          </cell>
          <cell r="AO109" t="str">
            <v>MO</v>
          </cell>
        </row>
        <row r="110">
          <cell r="A110" t="str">
            <v>SGDN-S</v>
          </cell>
          <cell r="B110">
            <v>105</v>
          </cell>
          <cell r="C110" t="str">
            <v>Saigon Doanh Nhan</v>
          </cell>
          <cell r="D110" t="str">
            <v>Cty TNHH TM-DV Quaûng Caùo MY</v>
          </cell>
          <cell r="E110" t="str">
            <v xml:space="preserve">MY- SAIGON DOANH NHAN </v>
          </cell>
          <cell r="AJ110">
            <v>8238198</v>
          </cell>
          <cell r="AK110">
            <v>8238200</v>
          </cell>
          <cell r="AL110" t="str">
            <v>18 Ter Nguyeãn Thò Minh Khai, Q.1, Tp. HCM</v>
          </cell>
          <cell r="AM110" t="str">
            <v>chò Hieàn- Ext: 105</v>
          </cell>
          <cell r="AO110" t="str">
            <v>MO</v>
          </cell>
        </row>
        <row r="111">
          <cell r="A111" t="str">
            <v>BGD</v>
          </cell>
          <cell r="B111">
            <v>106</v>
          </cell>
          <cell r="C111" t="str">
            <v>Bep Gia Dinh</v>
          </cell>
          <cell r="D111" t="str">
            <v>Adnet Ltd</v>
          </cell>
          <cell r="E111" t="str">
            <v>ADNET- BEP GIA DINH</v>
          </cell>
          <cell r="AJ111" t="str">
            <v>04 5657394</v>
          </cell>
          <cell r="AK111" t="str">
            <v>04 5657397</v>
          </cell>
          <cell r="AL111" t="str">
            <v>282 Hoaøng Vaên Thaùi- Quaän Thanh Xuaân- HN</v>
          </cell>
          <cell r="AM111" t="str">
            <v>Chò Thu Höông</v>
          </cell>
          <cell r="AO111" t="str">
            <v>MO</v>
          </cell>
        </row>
        <row r="112">
          <cell r="A112" t="str">
            <v>VNEX</v>
          </cell>
          <cell r="B112">
            <v>107</v>
          </cell>
          <cell r="C112" t="str">
            <v>VnExpress</v>
          </cell>
          <cell r="D112" t="str">
            <v>Chi nhaùnh Truyeàn Thoâng Cty coå phaàn Phaùt Trieån Ñaàu Tö- Coâng ngheä FPT</v>
          </cell>
          <cell r="E112" t="str">
            <v>FPT- VNEXPRESS</v>
          </cell>
          <cell r="X112">
            <v>0.1</v>
          </cell>
          <cell r="Z112">
            <v>0.1</v>
          </cell>
          <cell r="AB112">
            <v>0.1</v>
          </cell>
          <cell r="AD112">
            <v>0.1</v>
          </cell>
          <cell r="AF112">
            <v>0.1</v>
          </cell>
          <cell r="AH112">
            <v>0.1</v>
          </cell>
          <cell r="AJ112">
            <v>9330360</v>
          </cell>
          <cell r="AK112">
            <v>9330362</v>
          </cell>
          <cell r="AL112" t="str">
            <v>68 Voõ Vaên Taàn, Q.3, Tp. HCM</v>
          </cell>
          <cell r="AM112" t="str">
            <v>chò Thu</v>
          </cell>
          <cell r="AO112" t="str">
            <v>MO</v>
          </cell>
          <cell r="AP112" t="str">
            <v>010 124 8141- 010</v>
          </cell>
        </row>
        <row r="113">
          <cell r="A113" t="str">
            <v>VHTT</v>
          </cell>
          <cell r="B113">
            <v>108</v>
          </cell>
          <cell r="C113" t="str">
            <v>taïp chí Thoâng Tin Vaên Hoaù</v>
          </cell>
          <cell r="D113" t="str">
            <v>Cty TNHH Hoa Maët Trôøi</v>
          </cell>
          <cell r="E113" t="str">
            <v>HOA MAT TROI- THONG TIN VAN HOA</v>
          </cell>
          <cell r="F113">
            <v>47300.000000000007</v>
          </cell>
          <cell r="G113">
            <v>56760</v>
          </cell>
          <cell r="H113">
            <v>59125.000000000007</v>
          </cell>
          <cell r="I113">
            <v>51975.000000000007</v>
          </cell>
          <cell r="J113">
            <v>70950</v>
          </cell>
          <cell r="M113">
            <v>26125.000000000004</v>
          </cell>
          <cell r="P113">
            <v>26125.000000000004</v>
          </cell>
          <cell r="R113">
            <v>14300.000000000002</v>
          </cell>
          <cell r="S113">
            <v>85250</v>
          </cell>
          <cell r="U113">
            <v>14142</v>
          </cell>
          <cell r="V113">
            <v>33000</v>
          </cell>
          <cell r="W113">
            <v>33000</v>
          </cell>
          <cell r="X113">
            <v>0.45</v>
          </cell>
          <cell r="Y113">
            <v>0.15</v>
          </cell>
          <cell r="Z113">
            <v>0.45</v>
          </cell>
          <cell r="AA113">
            <v>0.15</v>
          </cell>
          <cell r="AB113">
            <v>0.35</v>
          </cell>
          <cell r="AC113">
            <v>0.15</v>
          </cell>
          <cell r="AD113">
            <v>0.35</v>
          </cell>
          <cell r="AE113">
            <v>0.15</v>
          </cell>
          <cell r="AF113">
            <v>0.35</v>
          </cell>
          <cell r="AG113">
            <v>0.15</v>
          </cell>
          <cell r="AH113">
            <v>0.46</v>
          </cell>
          <cell r="AI113">
            <v>0.15</v>
          </cell>
          <cell r="AJ113" t="str">
            <v>823 2420</v>
          </cell>
          <cell r="AK113" t="str">
            <v>822 3053</v>
          </cell>
          <cell r="AL113" t="str">
            <v>259 Hai Ba Trung, Q.3, Tp.HCM</v>
          </cell>
          <cell r="AM113" t="str">
            <v>anh Truùc</v>
          </cell>
          <cell r="AN113">
            <v>8232420</v>
          </cell>
          <cell r="AO113" t="str">
            <v>MO</v>
          </cell>
          <cell r="AP113" t="str">
            <v>030 188 0358</v>
          </cell>
        </row>
        <row r="114">
          <cell r="A114" t="str">
            <v>BMEB</v>
          </cell>
          <cell r="B114">
            <v>109</v>
          </cell>
          <cell r="C114" t="str">
            <v>Caåm Nang Chaêm Soùc Baø Meï &amp; Em Beù</v>
          </cell>
          <cell r="D114" t="str">
            <v>Cty Vaên Hoaù- Saùng Taïo Trí Vieät</v>
          </cell>
          <cell r="E114" t="str">
            <v>TRI VIET- CN CHAM SOC BA ME &amp; EM BE</v>
          </cell>
          <cell r="AJ114">
            <v>8227979</v>
          </cell>
          <cell r="AK114">
            <v>8224560</v>
          </cell>
          <cell r="AL114" t="str">
            <v>11H Nguyeãn Thò Minh Khai, Q.1, Tp.HCM</v>
          </cell>
          <cell r="AM114" t="str">
            <v>chò Ngoïc</v>
          </cell>
          <cell r="AN114" t="str">
            <v>0903 990518</v>
          </cell>
          <cell r="AO114" t="str">
            <v>MO</v>
          </cell>
        </row>
        <row r="115">
          <cell r="A115" t="str">
            <v>BDG</v>
          </cell>
          <cell r="B115">
            <v>110</v>
          </cell>
          <cell r="C115" t="str">
            <v>Trung taâm TT- CQ &amp; PH baùo Bình Döông</v>
          </cell>
          <cell r="D115" t="str">
            <v>Trung taâm TT- CQ &amp; PH baùo Bình Döông</v>
          </cell>
          <cell r="E115" t="str">
            <v>BAO BINH DUONG</v>
          </cell>
          <cell r="AJ115" t="str">
            <v>0650 822135</v>
          </cell>
          <cell r="AK115" t="str">
            <v>0650 859600</v>
          </cell>
          <cell r="AL115" t="str">
            <v>15 Baïch Ñaèng- TX Thuû Daàu 1, Bình Döông</v>
          </cell>
          <cell r="AM115" t="str">
            <v>anh Leâ Quang</v>
          </cell>
          <cell r="AO115" t="str">
            <v>MO</v>
          </cell>
          <cell r="AP115" t="str">
            <v>3700 144034</v>
          </cell>
        </row>
        <row r="116">
          <cell r="A116" t="str">
            <v>TV</v>
          </cell>
          <cell r="B116">
            <v>111</v>
          </cell>
          <cell r="C116" t="str">
            <v>Baùo Traø Vinh</v>
          </cell>
          <cell r="D116" t="str">
            <v>Baùo Traø Vinh</v>
          </cell>
          <cell r="E116" t="str">
            <v>BAO TRA VINH</v>
          </cell>
          <cell r="AJ116" t="str">
            <v>074 852549</v>
          </cell>
          <cell r="AL116" t="str">
            <v>18A Leâ Lôïi, P.1, TX Traø Vinh</v>
          </cell>
          <cell r="AM116" t="str">
            <v>chò Trang</v>
          </cell>
          <cell r="AO116" t="str">
            <v>MO</v>
          </cell>
          <cell r="AP116" t="str">
            <v>3700 144034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4"/>
      <sheetName val="P3"/>
      <sheetName val="#REF"/>
      <sheetName val="2 in 1"/>
      <sheetName val="Plan"/>
      <sheetName val="Q3"/>
      <sheetName val="weight"/>
      <sheetName val="P4 (cost)"/>
      <sheetName val="_REF"/>
      <sheetName val=""/>
      <sheetName val="DATA"/>
      <sheetName val="MUAVA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 Estimator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P3"/>
      <sheetName val="DC"/>
    </sheetNames>
    <sheetDataSet>
      <sheetData sheetId="0" refreshError="1"/>
      <sheetData sheetId="1" refreshError="1">
        <row r="7">
          <cell r="C7">
            <v>4.9399544560764421E-3</v>
          </cell>
        </row>
        <row r="8">
          <cell r="C8">
            <v>111.22054243455166</v>
          </cell>
        </row>
        <row r="10">
          <cell r="C10" t="str">
            <v>Est</v>
          </cell>
        </row>
        <row r="11">
          <cell r="A1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&amp;P-BG08"/>
      <sheetName val="760XX-0708"/>
      <sheetName val="477XX-0708"/>
      <sheetName val="Sheet4"/>
      <sheetName val="Sheet1"/>
      <sheetName val="477XX-0808"/>
      <sheetName val="760XX-0808"/>
      <sheetName val="760-A&amp;P COST"/>
      <sheetName val="AUG.08"/>
      <sheetName val="JAN-AUG08"/>
      <sheetName val="data"/>
      <sheetName val="08_N"/>
      <sheetName val="08"/>
      <sheetName val="760-A&amp;P_COST"/>
      <sheetName val="AUG_08"/>
      <sheetName val="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el 104"/>
      <sheetName val="PRINT (2)"/>
      <sheetName val="Ratecard"/>
      <sheetName val="Calculation- PRINT"/>
      <sheetName val="Sheet1"/>
      <sheetName val="Calculation- PRINT (2)"/>
      <sheetName val="Rate-Card-04"/>
      <sheetName val="BRAND"/>
    </sheetNames>
    <sheetDataSet>
      <sheetData sheetId="0" refreshError="1"/>
      <sheetData sheetId="1" refreshError="1"/>
      <sheetData sheetId="2" refreshError="1">
        <row r="5">
          <cell r="AG5">
            <v>33</v>
          </cell>
        </row>
        <row r="7">
          <cell r="A7" t="str">
            <v>P001</v>
          </cell>
          <cell r="B7" t="str">
            <v>TUOI TRE DAILY</v>
          </cell>
          <cell r="C7">
            <v>8440212</v>
          </cell>
          <cell r="D7">
            <v>9974949</v>
          </cell>
          <cell r="E7" t="str">
            <v>60A, Hoang Van Thu, Phu Nhuan</v>
          </cell>
          <cell r="F7" t="str">
            <v>Mr Toan 0913 919494</v>
          </cell>
          <cell r="G7" t="str">
            <v>Daily</v>
          </cell>
          <cell r="H7">
            <v>300000</v>
          </cell>
          <cell r="I7">
            <v>0.08</v>
          </cell>
          <cell r="K7" t="str">
            <v>P001InsideFPFC</v>
          </cell>
          <cell r="L7" t="str">
            <v>Inside</v>
          </cell>
          <cell r="M7" t="str">
            <v>FPFC</v>
          </cell>
          <cell r="N7" t="str">
            <v>26X37.5</v>
          </cell>
          <cell r="P7">
            <v>45000</v>
          </cell>
          <cell r="Q7">
            <v>0.05</v>
          </cell>
          <cell r="R7">
            <v>0</v>
          </cell>
          <cell r="S7">
            <v>0.05</v>
          </cell>
          <cell r="U7">
            <v>0.05</v>
          </cell>
          <cell r="W7">
            <v>0.05</v>
          </cell>
          <cell r="Y7">
            <v>0.05</v>
          </cell>
          <cell r="AA7">
            <v>0.05</v>
          </cell>
          <cell r="AC7">
            <v>15</v>
          </cell>
          <cell r="AD7">
            <v>10</v>
          </cell>
          <cell r="AE7">
            <v>130</v>
          </cell>
          <cell r="AF7" t="str">
            <v>CD</v>
          </cell>
          <cell r="AG7">
            <v>1</v>
          </cell>
        </row>
        <row r="8">
          <cell r="A8" t="str">
            <v>P001</v>
          </cell>
          <cell r="B8" t="str">
            <v>2E</v>
          </cell>
          <cell r="K8" t="str">
            <v>P001InsideHPFC</v>
          </cell>
          <cell r="L8" t="str">
            <v>Inside</v>
          </cell>
          <cell r="M8" t="str">
            <v>HPFC</v>
          </cell>
          <cell r="N8" t="str">
            <v>26X18.5</v>
          </cell>
          <cell r="P8">
            <v>24000</v>
          </cell>
          <cell r="AG8">
            <v>2</v>
          </cell>
        </row>
        <row r="9">
          <cell r="A9" t="str">
            <v>P001</v>
          </cell>
          <cell r="K9" t="str">
            <v>P001InsideHPBW</v>
          </cell>
          <cell r="L9" t="str">
            <v>Inside</v>
          </cell>
          <cell r="M9" t="str">
            <v>HPBW</v>
          </cell>
          <cell r="N9" t="str">
            <v>26X18.5</v>
          </cell>
          <cell r="P9">
            <v>17000</v>
          </cell>
          <cell r="AG9">
            <v>3</v>
          </cell>
        </row>
        <row r="10">
          <cell r="A10" t="str">
            <v>P001</v>
          </cell>
          <cell r="K10" t="str">
            <v>P001InsideFPBW</v>
          </cell>
          <cell r="L10" t="str">
            <v>Inside</v>
          </cell>
          <cell r="M10" t="str">
            <v>FPBW</v>
          </cell>
          <cell r="N10" t="str">
            <v>26X37.5</v>
          </cell>
          <cell r="P10">
            <v>32000</v>
          </cell>
          <cell r="AG10">
            <v>4</v>
          </cell>
        </row>
        <row r="11">
          <cell r="A11" t="str">
            <v>P001</v>
          </cell>
          <cell r="K11" t="str">
            <v>P001InsideQPFC</v>
          </cell>
          <cell r="L11" t="str">
            <v>Inside</v>
          </cell>
          <cell r="M11" t="str">
            <v>QPFC</v>
          </cell>
          <cell r="N11" t="str">
            <v>12.7X18.5</v>
          </cell>
          <cell r="P11">
            <v>13000</v>
          </cell>
          <cell r="AG11">
            <v>5</v>
          </cell>
        </row>
        <row r="12">
          <cell r="A12" t="str">
            <v>P001</v>
          </cell>
          <cell r="K12" t="str">
            <v>P001InsideQPBW</v>
          </cell>
          <cell r="L12" t="str">
            <v>Inside</v>
          </cell>
          <cell r="M12" t="str">
            <v>QPBW</v>
          </cell>
          <cell r="N12" t="str">
            <v>12.7X18.5</v>
          </cell>
          <cell r="P12">
            <v>9000</v>
          </cell>
          <cell r="AG12">
            <v>6</v>
          </cell>
        </row>
        <row r="13">
          <cell r="A13" t="str">
            <v>P001</v>
          </cell>
          <cell r="K13" t="str">
            <v>P001FirstFPFC</v>
          </cell>
          <cell r="L13" t="str">
            <v>First</v>
          </cell>
          <cell r="M13" t="str">
            <v>FPFC</v>
          </cell>
          <cell r="N13" t="str">
            <v>26X32.5</v>
          </cell>
          <cell r="P13">
            <v>49500.000000000007</v>
          </cell>
          <cell r="AG13">
            <v>7</v>
          </cell>
        </row>
        <row r="14">
          <cell r="A14" t="str">
            <v>P001</v>
          </cell>
          <cell r="K14" t="str">
            <v>P001LastFPFC</v>
          </cell>
          <cell r="L14" t="str">
            <v>Last</v>
          </cell>
          <cell r="M14" t="str">
            <v>FPFC</v>
          </cell>
          <cell r="N14" t="str">
            <v>26X37.5</v>
          </cell>
          <cell r="P14">
            <v>47250</v>
          </cell>
          <cell r="AG14">
            <v>8</v>
          </cell>
        </row>
        <row r="15">
          <cell r="A15" t="str">
            <v>TUOI TRE DAILY</v>
          </cell>
          <cell r="K15" t="str">
            <v>TUOI TRE DAILY</v>
          </cell>
          <cell r="AG15">
            <v>9</v>
          </cell>
        </row>
        <row r="16">
          <cell r="A16" t="str">
            <v>P002</v>
          </cell>
          <cell r="B16" t="str">
            <v>TUOI TRE CN</v>
          </cell>
          <cell r="D16">
            <v>9974949</v>
          </cell>
          <cell r="E16" t="str">
            <v>60A, Hoang Van Thu, Phu Nhuan</v>
          </cell>
          <cell r="F16" t="str">
            <v>Mr Toan 0913 919494</v>
          </cell>
          <cell r="G16" t="str">
            <v>Weekly</v>
          </cell>
          <cell r="H16">
            <v>150000</v>
          </cell>
          <cell r="I16">
            <v>0.1</v>
          </cell>
          <cell r="K16" t="str">
            <v>P002Cover 4FPFC</v>
          </cell>
          <cell r="L16" t="str">
            <v>Cover 4</v>
          </cell>
          <cell r="M16" t="str">
            <v>FPFC</v>
          </cell>
          <cell r="N16" t="str">
            <v>18X26</v>
          </cell>
          <cell r="P16">
            <v>18000</v>
          </cell>
          <cell r="Q16">
            <v>0.1</v>
          </cell>
          <cell r="AC16">
            <v>15</v>
          </cell>
          <cell r="AG16">
            <v>10</v>
          </cell>
        </row>
        <row r="17">
          <cell r="A17" t="str">
            <v>P002</v>
          </cell>
          <cell r="B17" t="str">
            <v>2E</v>
          </cell>
          <cell r="K17" t="str">
            <v>P002Cover 4FPBW</v>
          </cell>
          <cell r="L17" t="str">
            <v>Cover 4</v>
          </cell>
          <cell r="M17" t="str">
            <v>FPBW</v>
          </cell>
          <cell r="N17" t="str">
            <v>18X26</v>
          </cell>
          <cell r="P17" t="str">
            <v>NA</v>
          </cell>
          <cell r="AG17">
            <v>11</v>
          </cell>
        </row>
        <row r="18">
          <cell r="A18" t="str">
            <v>P002</v>
          </cell>
          <cell r="K18" t="str">
            <v>P002Cover 2FPFC</v>
          </cell>
          <cell r="L18" t="str">
            <v>Cover 2</v>
          </cell>
          <cell r="M18" t="str">
            <v>FPFC</v>
          </cell>
          <cell r="N18" t="str">
            <v>18X26</v>
          </cell>
          <cell r="P18">
            <v>15000</v>
          </cell>
          <cell r="AG18">
            <v>12</v>
          </cell>
        </row>
        <row r="19">
          <cell r="A19" t="str">
            <v>P002</v>
          </cell>
          <cell r="K19" t="str">
            <v>P002Cover 2FPBW</v>
          </cell>
          <cell r="L19" t="str">
            <v>Cover 2</v>
          </cell>
          <cell r="M19" t="str">
            <v>FPBW</v>
          </cell>
          <cell r="N19" t="str">
            <v>18X26</v>
          </cell>
          <cell r="P19" t="str">
            <v>NA</v>
          </cell>
          <cell r="AG19">
            <v>13</v>
          </cell>
        </row>
        <row r="20">
          <cell r="A20" t="str">
            <v>P002</v>
          </cell>
          <cell r="K20" t="str">
            <v>P002InsideFPFC</v>
          </cell>
          <cell r="L20" t="str">
            <v>Inside</v>
          </cell>
          <cell r="M20" t="str">
            <v>FPFC</v>
          </cell>
          <cell r="N20" t="str">
            <v>17.5X25.5</v>
          </cell>
          <cell r="P20">
            <v>10000</v>
          </cell>
          <cell r="AG20">
            <v>14</v>
          </cell>
        </row>
        <row r="21">
          <cell r="A21" t="str">
            <v>P002</v>
          </cell>
          <cell r="K21" t="str">
            <v>P002InsideFPBW</v>
          </cell>
          <cell r="L21" t="str">
            <v>Inside</v>
          </cell>
          <cell r="M21" t="str">
            <v>FPBW</v>
          </cell>
          <cell r="N21" t="str">
            <v>17.5X25.5</v>
          </cell>
          <cell r="P21">
            <v>7000</v>
          </cell>
          <cell r="AG21">
            <v>15</v>
          </cell>
        </row>
        <row r="22">
          <cell r="A22" t="str">
            <v>P002</v>
          </cell>
          <cell r="K22" t="str">
            <v>P002InsideHPFC</v>
          </cell>
          <cell r="L22" t="str">
            <v>Inside</v>
          </cell>
          <cell r="M22" t="str">
            <v>HPFC</v>
          </cell>
          <cell r="N22" t="str">
            <v>17.5X12.3</v>
          </cell>
          <cell r="P22">
            <v>5500</v>
          </cell>
          <cell r="AG22">
            <v>16</v>
          </cell>
        </row>
        <row r="23">
          <cell r="A23" t="str">
            <v>P002</v>
          </cell>
          <cell r="K23" t="str">
            <v>P002InsideHPBW</v>
          </cell>
          <cell r="L23" t="str">
            <v>Inside</v>
          </cell>
          <cell r="M23" t="str">
            <v>HPBW</v>
          </cell>
          <cell r="N23" t="str">
            <v>17.5X12.3</v>
          </cell>
          <cell r="P23">
            <v>3800</v>
          </cell>
          <cell r="AG23">
            <v>17</v>
          </cell>
        </row>
        <row r="24">
          <cell r="A24" t="str">
            <v>TUOI TRE CN</v>
          </cell>
          <cell r="K24" t="str">
            <v>TUOI TRE CN</v>
          </cell>
          <cell r="AG24">
            <v>18</v>
          </cell>
        </row>
        <row r="25">
          <cell r="A25" t="str">
            <v>P003</v>
          </cell>
          <cell r="B25" t="str">
            <v>THANH NIEN</v>
          </cell>
          <cell r="C25">
            <v>8322295</v>
          </cell>
          <cell r="D25">
            <v>9250249</v>
          </cell>
          <cell r="E25" t="str">
            <v xml:space="preserve">248 Cong Quynh Q1 </v>
          </cell>
          <cell r="F25" t="str">
            <v>Ms Van 0918398892</v>
          </cell>
          <cell r="G25" t="str">
            <v>Daily</v>
          </cell>
          <cell r="H25">
            <v>300000</v>
          </cell>
          <cell r="I25">
            <v>0.1</v>
          </cell>
          <cell r="K25" t="str">
            <v>P003InsideFPFC</v>
          </cell>
          <cell r="L25" t="str">
            <v>Inside</v>
          </cell>
          <cell r="M25" t="str">
            <v>FPFC</v>
          </cell>
          <cell r="N25" t="str">
            <v>25.5X37</v>
          </cell>
          <cell r="P25">
            <v>33000</v>
          </cell>
          <cell r="Q25">
            <v>0.1</v>
          </cell>
          <cell r="R25">
            <v>0</v>
          </cell>
          <cell r="U25">
            <v>0.1</v>
          </cell>
          <cell r="AC25">
            <v>15</v>
          </cell>
          <cell r="AD25">
            <v>10</v>
          </cell>
          <cell r="AE25">
            <v>100</v>
          </cell>
          <cell r="AF25" t="str">
            <v>CD</v>
          </cell>
          <cell r="AG25">
            <v>19</v>
          </cell>
        </row>
        <row r="26">
          <cell r="A26" t="str">
            <v>P003</v>
          </cell>
          <cell r="B26" t="str">
            <v>1E</v>
          </cell>
          <cell r="K26" t="str">
            <v>P003InsideFPBW</v>
          </cell>
          <cell r="L26" t="str">
            <v>Inside</v>
          </cell>
          <cell r="M26" t="str">
            <v>FPBW</v>
          </cell>
          <cell r="N26" t="str">
            <v>25.5X37</v>
          </cell>
          <cell r="P26">
            <v>28000</v>
          </cell>
          <cell r="AG26">
            <v>20</v>
          </cell>
        </row>
        <row r="27">
          <cell r="A27" t="str">
            <v>P003</v>
          </cell>
          <cell r="K27" t="str">
            <v>P003InsideHPFC</v>
          </cell>
          <cell r="L27" t="str">
            <v>Inside</v>
          </cell>
          <cell r="M27" t="str">
            <v>HPFC</v>
          </cell>
          <cell r="N27" t="str">
            <v>25.5X18</v>
          </cell>
          <cell r="P27">
            <v>17000</v>
          </cell>
          <cell r="AG27">
            <v>21</v>
          </cell>
        </row>
        <row r="28">
          <cell r="A28" t="str">
            <v>P003</v>
          </cell>
          <cell r="K28" t="str">
            <v>P003InsideHPBW</v>
          </cell>
          <cell r="L28" t="str">
            <v>Inside</v>
          </cell>
          <cell r="M28" t="str">
            <v>HPBW</v>
          </cell>
          <cell r="N28" t="str">
            <v>25.5X18</v>
          </cell>
          <cell r="P28">
            <v>14000</v>
          </cell>
          <cell r="AG28">
            <v>22</v>
          </cell>
        </row>
        <row r="29">
          <cell r="A29" t="str">
            <v>P003</v>
          </cell>
          <cell r="K29" t="str">
            <v>P003InsideVPFC</v>
          </cell>
          <cell r="L29" t="str">
            <v>Inside</v>
          </cell>
          <cell r="M29" t="str">
            <v>VPFC</v>
          </cell>
          <cell r="N29" t="str">
            <v>19X27</v>
          </cell>
          <cell r="P29">
            <v>20000</v>
          </cell>
          <cell r="AG29">
            <v>23</v>
          </cell>
        </row>
        <row r="30">
          <cell r="A30" t="str">
            <v>P003</v>
          </cell>
          <cell r="K30" t="str">
            <v>P003InsideVPBW</v>
          </cell>
          <cell r="L30" t="str">
            <v>Inside</v>
          </cell>
          <cell r="M30" t="str">
            <v>VPBW</v>
          </cell>
          <cell r="N30" t="str">
            <v>19X27</v>
          </cell>
          <cell r="P30">
            <v>15000</v>
          </cell>
          <cell r="AG30">
            <v>24</v>
          </cell>
        </row>
        <row r="31">
          <cell r="A31" t="str">
            <v>P003</v>
          </cell>
          <cell r="K31" t="str">
            <v>P003Strip adFC</v>
          </cell>
          <cell r="L31" t="str">
            <v>Strip ad</v>
          </cell>
          <cell r="M31" t="str">
            <v>FC</v>
          </cell>
          <cell r="N31" t="str">
            <v>25.5X2</v>
          </cell>
          <cell r="P31">
            <v>3500</v>
          </cell>
          <cell r="AG31">
            <v>25</v>
          </cell>
        </row>
        <row r="32">
          <cell r="A32" t="str">
            <v>P003</v>
          </cell>
          <cell r="K32" t="str">
            <v>P003Strip adBW</v>
          </cell>
          <cell r="L32" t="str">
            <v>Strip ad</v>
          </cell>
          <cell r="M32" t="str">
            <v>BW</v>
          </cell>
          <cell r="N32" t="str">
            <v>25.5X2</v>
          </cell>
          <cell r="P32">
            <v>2000</v>
          </cell>
          <cell r="AG32">
            <v>26</v>
          </cell>
        </row>
        <row r="33">
          <cell r="A33" t="str">
            <v>P003</v>
          </cell>
          <cell r="K33" t="str">
            <v>P003FirstFPFC</v>
          </cell>
          <cell r="L33" t="str">
            <v>First</v>
          </cell>
          <cell r="M33" t="str">
            <v>FPFC</v>
          </cell>
          <cell r="N33" t="str">
            <v>25.5X33</v>
          </cell>
          <cell r="P33">
            <v>36300</v>
          </cell>
          <cell r="AG33">
            <v>27</v>
          </cell>
        </row>
        <row r="34">
          <cell r="A34" t="str">
            <v>P003</v>
          </cell>
          <cell r="K34" t="str">
            <v>P003LastFPFC</v>
          </cell>
          <cell r="L34" t="str">
            <v>Last</v>
          </cell>
          <cell r="M34" t="str">
            <v>FPFC</v>
          </cell>
          <cell r="N34" t="str">
            <v>25.5X37</v>
          </cell>
          <cell r="P34">
            <v>36300</v>
          </cell>
          <cell r="AG34">
            <v>28</v>
          </cell>
        </row>
        <row r="35">
          <cell r="A35" t="str">
            <v>P003</v>
          </cell>
          <cell r="K35" t="str">
            <v>P003Inside- AppendixFPFC</v>
          </cell>
          <cell r="L35" t="str">
            <v>Inside- Appendix</v>
          </cell>
          <cell r="M35" t="str">
            <v>FPFC</v>
          </cell>
          <cell r="N35" t="str">
            <v>25.5X37</v>
          </cell>
          <cell r="P35">
            <v>35000</v>
          </cell>
          <cell r="AG35">
            <v>29</v>
          </cell>
        </row>
        <row r="36">
          <cell r="A36" t="str">
            <v>P003</v>
          </cell>
          <cell r="K36" t="str">
            <v>P003ContentFPFC</v>
          </cell>
          <cell r="L36" t="str">
            <v>Content</v>
          </cell>
          <cell r="M36" t="str">
            <v>FPFC</v>
          </cell>
          <cell r="N36" t="str">
            <v>25.5X37</v>
          </cell>
          <cell r="P36">
            <v>40000</v>
          </cell>
          <cell r="AG36">
            <v>30</v>
          </cell>
        </row>
        <row r="37">
          <cell r="A37" t="str">
            <v>P003</v>
          </cell>
          <cell r="K37" t="str">
            <v>P003ContentHPFC</v>
          </cell>
          <cell r="L37" t="str">
            <v>Content</v>
          </cell>
          <cell r="M37" t="str">
            <v>HPFC</v>
          </cell>
          <cell r="N37" t="str">
            <v>25.5X18</v>
          </cell>
          <cell r="P37">
            <v>28000</v>
          </cell>
          <cell r="AG37">
            <v>31</v>
          </cell>
        </row>
        <row r="38">
          <cell r="A38" t="str">
            <v>P003</v>
          </cell>
          <cell r="K38" t="str">
            <v>P003ContentStrip ad</v>
          </cell>
          <cell r="L38" t="str">
            <v>Content</v>
          </cell>
          <cell r="M38" t="str">
            <v>Strip ad</v>
          </cell>
          <cell r="N38" t="str">
            <v>25.5X4</v>
          </cell>
          <cell r="P38">
            <v>20000</v>
          </cell>
          <cell r="AG38">
            <v>32</v>
          </cell>
        </row>
        <row r="39">
          <cell r="A39" t="str">
            <v>THANH NIEN</v>
          </cell>
          <cell r="K39" t="str">
            <v>THANH NIEN</v>
          </cell>
          <cell r="AG39">
            <v>33</v>
          </cell>
        </row>
        <row r="40">
          <cell r="A40" t="str">
            <v>P004</v>
          </cell>
          <cell r="B40" t="str">
            <v>THANH NIEN Mag.</v>
          </cell>
          <cell r="C40">
            <v>8322295</v>
          </cell>
          <cell r="D40">
            <v>9250249</v>
          </cell>
          <cell r="E40" t="str">
            <v xml:space="preserve">248 Cong Quynh Q1 </v>
          </cell>
          <cell r="F40" t="str">
            <v>Ms Van 0918398892</v>
          </cell>
          <cell r="G40" t="str">
            <v>10,20,30/ Monthly</v>
          </cell>
          <cell r="H40">
            <v>120000</v>
          </cell>
          <cell r="I40">
            <v>0.1</v>
          </cell>
          <cell r="K40" t="str">
            <v>P004Cover 4FPFC</v>
          </cell>
          <cell r="L40" t="str">
            <v>Cover 4</v>
          </cell>
          <cell r="M40" t="str">
            <v>FPFC</v>
          </cell>
          <cell r="N40" t="str">
            <v>23X29</v>
          </cell>
          <cell r="P40">
            <v>52800.000000000007</v>
          </cell>
          <cell r="AC40">
            <v>15</v>
          </cell>
          <cell r="AD40">
            <v>10</v>
          </cell>
          <cell r="AE40">
            <v>100</v>
          </cell>
          <cell r="AF40" t="str">
            <v>CD</v>
          </cell>
          <cell r="AG40">
            <v>34</v>
          </cell>
        </row>
        <row r="41">
          <cell r="A41" t="str">
            <v>P004</v>
          </cell>
          <cell r="B41" t="str">
            <v>1E</v>
          </cell>
          <cell r="K41" t="str">
            <v>P004Cover 2FPFC</v>
          </cell>
          <cell r="L41" t="str">
            <v>Cover 2</v>
          </cell>
          <cell r="M41" t="str">
            <v>FPFC</v>
          </cell>
          <cell r="N41" t="str">
            <v>23X29</v>
          </cell>
          <cell r="P41">
            <v>46200.000000000007</v>
          </cell>
          <cell r="AG41">
            <v>35</v>
          </cell>
        </row>
        <row r="42">
          <cell r="A42" t="str">
            <v>P004</v>
          </cell>
          <cell r="K42" t="str">
            <v>P004Cover 3FPFC</v>
          </cell>
          <cell r="L42" t="str">
            <v>Cover 3</v>
          </cell>
          <cell r="M42" t="str">
            <v>FPFC</v>
          </cell>
          <cell r="N42" t="str">
            <v>23X29</v>
          </cell>
          <cell r="P42">
            <v>44000</v>
          </cell>
          <cell r="AG42">
            <v>36</v>
          </cell>
        </row>
        <row r="43">
          <cell r="A43" t="str">
            <v>P004</v>
          </cell>
          <cell r="K43" t="str">
            <v>P004InsideFPFC</v>
          </cell>
          <cell r="L43" t="str">
            <v>Inside</v>
          </cell>
          <cell r="M43" t="str">
            <v>FPFC</v>
          </cell>
          <cell r="N43" t="str">
            <v>23X29</v>
          </cell>
          <cell r="P43">
            <v>35200</v>
          </cell>
          <cell r="AG43">
            <v>37</v>
          </cell>
        </row>
        <row r="44">
          <cell r="A44" t="str">
            <v>P004</v>
          </cell>
          <cell r="K44" t="str">
            <v>P004InsideHPFC</v>
          </cell>
          <cell r="L44" t="str">
            <v>Inside</v>
          </cell>
          <cell r="M44" t="str">
            <v>HPFC</v>
          </cell>
          <cell r="N44" t="str">
            <v>23X14</v>
          </cell>
          <cell r="P44">
            <v>18700</v>
          </cell>
          <cell r="AG44">
            <v>38</v>
          </cell>
        </row>
        <row r="45">
          <cell r="A45" t="str">
            <v>P004</v>
          </cell>
          <cell r="K45" t="str">
            <v>P004InsideVQPFC</v>
          </cell>
          <cell r="L45" t="str">
            <v>Inside</v>
          </cell>
          <cell r="M45" t="str">
            <v>VQPFC</v>
          </cell>
          <cell r="N45" t="str">
            <v>11X14</v>
          </cell>
          <cell r="P45">
            <v>9900</v>
          </cell>
          <cell r="AG45">
            <v>39</v>
          </cell>
        </row>
        <row r="46">
          <cell r="A46" t="str">
            <v>THANH NIEN Mag.</v>
          </cell>
          <cell r="K46" t="str">
            <v>THANH NIEN Mag.</v>
          </cell>
          <cell r="AG46">
            <v>40</v>
          </cell>
        </row>
        <row r="47">
          <cell r="A47" t="str">
            <v>P005</v>
          </cell>
          <cell r="B47" t="str">
            <v>TIEP THI &amp; GIA DINH W</v>
          </cell>
          <cell r="C47">
            <v>8232417</v>
          </cell>
          <cell r="E47" t="str">
            <v>259 Hai Ba Trung, Q1, Tp.HCM</v>
          </cell>
          <cell r="F47" t="str">
            <v>Ms Ha 0908241489 (ext: 204)</v>
          </cell>
          <cell r="G47" t="str">
            <v>Tue/ Weekly</v>
          </cell>
          <cell r="H47">
            <v>70000</v>
          </cell>
          <cell r="I47">
            <v>0.4</v>
          </cell>
          <cell r="J47">
            <v>0.15</v>
          </cell>
          <cell r="K47" t="str">
            <v>P005Cover 2FPFC</v>
          </cell>
          <cell r="L47" t="str">
            <v>Cover 2</v>
          </cell>
          <cell r="M47" t="str">
            <v>FPFC</v>
          </cell>
          <cell r="N47" t="str">
            <v>21X27</v>
          </cell>
          <cell r="O47" t="str">
            <v>23.3X29.6</v>
          </cell>
          <cell r="P47">
            <v>59400.000000000007</v>
          </cell>
          <cell r="Q47">
            <v>0.3</v>
          </cell>
          <cell r="R47">
            <v>0.15</v>
          </cell>
          <cell r="AC47">
            <v>15</v>
          </cell>
          <cell r="AD47">
            <v>10</v>
          </cell>
          <cell r="AE47" t="str">
            <v>350 DPI</v>
          </cell>
          <cell r="AF47" t="str">
            <v>CD- DPF/ EPF</v>
          </cell>
          <cell r="AG47">
            <v>41</v>
          </cell>
        </row>
        <row r="48">
          <cell r="A48" t="str">
            <v>P005</v>
          </cell>
          <cell r="B48" t="str">
            <v>11F</v>
          </cell>
          <cell r="K48" t="str">
            <v>P005Cover 3FPFC</v>
          </cell>
          <cell r="L48" t="str">
            <v>Cover 3</v>
          </cell>
          <cell r="M48" t="str">
            <v>FPFC</v>
          </cell>
          <cell r="N48" t="str">
            <v>21X27</v>
          </cell>
          <cell r="O48" t="str">
            <v>23.3X29.6</v>
          </cell>
          <cell r="P48">
            <v>52250.000000000007</v>
          </cell>
          <cell r="AG48">
            <v>42</v>
          </cell>
        </row>
        <row r="49">
          <cell r="A49" t="str">
            <v>P005</v>
          </cell>
          <cell r="K49" t="str">
            <v>P005Cover 4FPFC</v>
          </cell>
          <cell r="L49" t="str">
            <v>Cover 4</v>
          </cell>
          <cell r="M49" t="str">
            <v>FPFC</v>
          </cell>
          <cell r="N49" t="str">
            <v>21X27</v>
          </cell>
          <cell r="O49" t="str">
            <v>23.3X29.6</v>
          </cell>
          <cell r="P49">
            <v>71500</v>
          </cell>
          <cell r="AG49">
            <v>43</v>
          </cell>
        </row>
        <row r="50">
          <cell r="A50" t="str">
            <v>P005</v>
          </cell>
          <cell r="K50" t="str">
            <v>P005InsideFPFC</v>
          </cell>
          <cell r="L50" t="str">
            <v>Inside</v>
          </cell>
          <cell r="M50" t="str">
            <v>FPFC</v>
          </cell>
          <cell r="N50" t="str">
            <v>21X27</v>
          </cell>
          <cell r="O50" t="str">
            <v>23.3X29.6</v>
          </cell>
          <cell r="P50">
            <v>49500.000000000007</v>
          </cell>
          <cell r="AG50">
            <v>44</v>
          </cell>
        </row>
        <row r="51">
          <cell r="A51" t="str">
            <v>P005</v>
          </cell>
          <cell r="K51" t="str">
            <v>P005FirstFPFC</v>
          </cell>
          <cell r="L51" t="str">
            <v>First</v>
          </cell>
          <cell r="M51" t="str">
            <v>FPFC</v>
          </cell>
          <cell r="N51" t="str">
            <v>21X27</v>
          </cell>
          <cell r="O51" t="str">
            <v>23.3X29.6</v>
          </cell>
          <cell r="P51">
            <v>59400.000000000007</v>
          </cell>
          <cell r="AG51">
            <v>45</v>
          </cell>
        </row>
        <row r="52">
          <cell r="A52" t="str">
            <v>P005</v>
          </cell>
          <cell r="K52" t="str">
            <v>P005Inside2/3VPFC</v>
          </cell>
          <cell r="L52" t="str">
            <v>Inside</v>
          </cell>
          <cell r="M52" t="str">
            <v>2/3VPFC</v>
          </cell>
          <cell r="N52" t="str">
            <v>13.6X27</v>
          </cell>
          <cell r="P52">
            <v>49500.000000000007</v>
          </cell>
          <cell r="AG52">
            <v>46</v>
          </cell>
        </row>
        <row r="53">
          <cell r="A53" t="str">
            <v>P005</v>
          </cell>
          <cell r="K53" t="str">
            <v>P005Inside2/3HPFC</v>
          </cell>
          <cell r="L53" t="str">
            <v>Inside</v>
          </cell>
          <cell r="M53" t="str">
            <v>2/3HPFC</v>
          </cell>
          <cell r="N53" t="str">
            <v>21X17.6</v>
          </cell>
          <cell r="P53">
            <v>49500.000000000007</v>
          </cell>
          <cell r="AG53">
            <v>47</v>
          </cell>
        </row>
        <row r="54">
          <cell r="A54" t="str">
            <v>P005</v>
          </cell>
          <cell r="K54" t="str">
            <v>P005InsideVPFC</v>
          </cell>
          <cell r="L54" t="str">
            <v>Inside</v>
          </cell>
          <cell r="M54" t="str">
            <v>VPFC</v>
          </cell>
          <cell r="N54" t="str">
            <v>10X27</v>
          </cell>
          <cell r="P54">
            <v>32725.000000000004</v>
          </cell>
          <cell r="AG54">
            <v>48</v>
          </cell>
        </row>
        <row r="55">
          <cell r="A55" t="str">
            <v>P005</v>
          </cell>
          <cell r="K55" t="str">
            <v>P005InsideHPFC</v>
          </cell>
          <cell r="L55" t="str">
            <v>Inside</v>
          </cell>
          <cell r="M55" t="str">
            <v>HPFC</v>
          </cell>
          <cell r="N55" t="str">
            <v>21X13</v>
          </cell>
          <cell r="P55">
            <v>32725.000000000004</v>
          </cell>
          <cell r="AG55">
            <v>49</v>
          </cell>
        </row>
        <row r="56">
          <cell r="A56" t="str">
            <v>P005</v>
          </cell>
          <cell r="K56" t="str">
            <v>P005Inside1/3VPFC</v>
          </cell>
          <cell r="L56" t="str">
            <v>Inside</v>
          </cell>
          <cell r="M56" t="str">
            <v>1/3VPFC</v>
          </cell>
          <cell r="N56" t="str">
            <v>6.4X27</v>
          </cell>
          <cell r="P56">
            <v>24750.000000000004</v>
          </cell>
          <cell r="AG56">
            <v>50</v>
          </cell>
        </row>
        <row r="57">
          <cell r="A57" t="str">
            <v>P005</v>
          </cell>
          <cell r="K57" t="str">
            <v>P005Inside1/3HPFC</v>
          </cell>
          <cell r="L57" t="str">
            <v>Inside</v>
          </cell>
          <cell r="M57" t="str">
            <v>1/3HPFC</v>
          </cell>
          <cell r="N57" t="str">
            <v>21X8.4</v>
          </cell>
          <cell r="P57">
            <v>24750.000000000004</v>
          </cell>
          <cell r="AG57">
            <v>51</v>
          </cell>
        </row>
        <row r="58">
          <cell r="A58" t="str">
            <v>P005</v>
          </cell>
          <cell r="K58" t="str">
            <v>P005Inside1/4C</v>
          </cell>
          <cell r="L58" t="str">
            <v>Inside</v>
          </cell>
          <cell r="M58" t="str">
            <v>1/4C</v>
          </cell>
          <cell r="N58" t="str">
            <v>10X13</v>
          </cell>
          <cell r="P58">
            <v>19800</v>
          </cell>
          <cell r="AG58">
            <v>52</v>
          </cell>
        </row>
        <row r="59">
          <cell r="A59" t="str">
            <v>P005</v>
          </cell>
          <cell r="K59" t="str">
            <v>P005Inside1/4HPFC</v>
          </cell>
          <cell r="L59" t="str">
            <v>Inside</v>
          </cell>
          <cell r="M59" t="str">
            <v>1/4HPFC</v>
          </cell>
          <cell r="N59" t="str">
            <v>21X6</v>
          </cell>
          <cell r="P59">
            <v>19800</v>
          </cell>
          <cell r="AG59">
            <v>53</v>
          </cell>
        </row>
        <row r="60">
          <cell r="A60" t="str">
            <v>P005</v>
          </cell>
          <cell r="K60" t="str">
            <v>P005InsideDPFC</v>
          </cell>
          <cell r="L60" t="str">
            <v>Inside</v>
          </cell>
          <cell r="M60" t="str">
            <v>DPFC</v>
          </cell>
          <cell r="N60" t="str">
            <v>44X27</v>
          </cell>
          <cell r="O60" t="str">
            <v>46.6X29.6</v>
          </cell>
          <cell r="P60">
            <v>89100</v>
          </cell>
          <cell r="AG60">
            <v>54</v>
          </cell>
        </row>
        <row r="61">
          <cell r="A61" t="str">
            <v>P005</v>
          </cell>
          <cell r="K61" t="str">
            <v>P005InsideGatefold</v>
          </cell>
          <cell r="L61" t="str">
            <v>Inside</v>
          </cell>
          <cell r="M61" t="str">
            <v>Gatefold</v>
          </cell>
          <cell r="O61" t="str">
            <v>46.1X29.6</v>
          </cell>
          <cell r="P61" t="str">
            <v>FPFC-dis+FPFC*2</v>
          </cell>
          <cell r="AG61">
            <v>55</v>
          </cell>
        </row>
        <row r="62">
          <cell r="A62" t="str">
            <v>TIEP THI &amp; GIA DINH W</v>
          </cell>
          <cell r="B62" t="str">
            <v>THE GIOI PHU NU</v>
          </cell>
          <cell r="C62">
            <v>9302117</v>
          </cell>
          <cell r="D62">
            <v>9303430</v>
          </cell>
          <cell r="E62" t="str">
            <v>38 vo VanTan Q3</v>
          </cell>
          <cell r="F62" t="str">
            <v>Ms Thu 0913722394</v>
          </cell>
          <cell r="G62" t="str">
            <v>Mon/ Weekly</v>
          </cell>
          <cell r="H62">
            <v>115000</v>
          </cell>
          <cell r="I62">
            <v>0.3</v>
          </cell>
          <cell r="J62">
            <v>0.15</v>
          </cell>
          <cell r="K62" t="str">
            <v>TIEP THI &amp; GIA DINH W</v>
          </cell>
          <cell r="L62" t="str">
            <v>Inside</v>
          </cell>
          <cell r="M62" t="str">
            <v>FPFC</v>
          </cell>
          <cell r="N62" t="str">
            <v>22X28</v>
          </cell>
          <cell r="O62" t="str">
            <v>23.5X29.5</v>
          </cell>
          <cell r="P62">
            <v>42900</v>
          </cell>
          <cell r="Q62">
            <v>0.2</v>
          </cell>
          <cell r="R62">
            <v>0.15</v>
          </cell>
          <cell r="AC62">
            <v>15</v>
          </cell>
          <cell r="AD62">
            <v>10</v>
          </cell>
          <cell r="AE62">
            <v>100</v>
          </cell>
          <cell r="AF62" t="str">
            <v>CD &amp; Film</v>
          </cell>
          <cell r="AG62">
            <v>56</v>
          </cell>
        </row>
        <row r="63">
          <cell r="A63" t="str">
            <v>P006</v>
          </cell>
          <cell r="B63" t="str">
            <v>THE GIOI PHU NU</v>
          </cell>
          <cell r="C63">
            <v>9302117</v>
          </cell>
          <cell r="D63">
            <v>9303430</v>
          </cell>
          <cell r="E63" t="str">
            <v>38 vo VanTan Q3</v>
          </cell>
          <cell r="F63" t="str">
            <v>Ms Thu 0913722394</v>
          </cell>
          <cell r="G63" t="str">
            <v>Mon/ Weekly</v>
          </cell>
          <cell r="H63">
            <v>115000</v>
          </cell>
          <cell r="I63">
            <v>0.3</v>
          </cell>
          <cell r="J63">
            <v>0.15</v>
          </cell>
          <cell r="K63" t="str">
            <v>P006InsideFPFC</v>
          </cell>
          <cell r="L63" t="str">
            <v>Inside</v>
          </cell>
          <cell r="M63" t="str">
            <v>FPFC</v>
          </cell>
          <cell r="N63" t="str">
            <v>22X28</v>
          </cell>
          <cell r="O63" t="str">
            <v>23.5X29.5</v>
          </cell>
          <cell r="P63">
            <v>42900</v>
          </cell>
          <cell r="Q63">
            <v>0.2</v>
          </cell>
          <cell r="R63">
            <v>0.15</v>
          </cell>
          <cell r="AC63">
            <v>15</v>
          </cell>
          <cell r="AD63">
            <v>10</v>
          </cell>
          <cell r="AE63">
            <v>100</v>
          </cell>
          <cell r="AF63" t="str">
            <v>CD &amp; Film</v>
          </cell>
          <cell r="AG63">
            <v>57</v>
          </cell>
        </row>
        <row r="64">
          <cell r="A64" t="str">
            <v>P006</v>
          </cell>
          <cell r="B64" t="str">
            <v>1D</v>
          </cell>
          <cell r="K64" t="str">
            <v>P006CoverDPFC</v>
          </cell>
          <cell r="L64" t="str">
            <v>Cover</v>
          </cell>
          <cell r="M64" t="str">
            <v>DPFC</v>
          </cell>
          <cell r="N64" t="str">
            <v>44X28</v>
          </cell>
          <cell r="P64">
            <v>90860.000000000015</v>
          </cell>
          <cell r="AG64">
            <v>58</v>
          </cell>
        </row>
        <row r="65">
          <cell r="A65" t="str">
            <v>P006</v>
          </cell>
          <cell r="K65" t="str">
            <v>P006Cover 4FPFC</v>
          </cell>
          <cell r="L65" t="str">
            <v>Cover 4</v>
          </cell>
          <cell r="M65" t="str">
            <v>FPFC</v>
          </cell>
          <cell r="N65" t="str">
            <v>22X28</v>
          </cell>
          <cell r="P65">
            <v>69300</v>
          </cell>
          <cell r="AG65">
            <v>59</v>
          </cell>
        </row>
        <row r="66">
          <cell r="A66" t="str">
            <v>P006</v>
          </cell>
          <cell r="K66" t="str">
            <v>P006Cover 2FPFC</v>
          </cell>
          <cell r="L66" t="str">
            <v>Cover 2</v>
          </cell>
          <cell r="M66" t="str">
            <v>FPFC</v>
          </cell>
          <cell r="N66" t="str">
            <v>22X28</v>
          </cell>
          <cell r="P66">
            <v>60500.000000000007</v>
          </cell>
          <cell r="AG66">
            <v>60</v>
          </cell>
        </row>
        <row r="67">
          <cell r="A67" t="str">
            <v>P006</v>
          </cell>
          <cell r="K67" t="str">
            <v>P006Cover 3FPFC</v>
          </cell>
          <cell r="L67" t="str">
            <v>Cover 3</v>
          </cell>
          <cell r="M67" t="str">
            <v>FPFC</v>
          </cell>
          <cell r="N67" t="str">
            <v>22X28</v>
          </cell>
          <cell r="P67">
            <v>51700.000000000007</v>
          </cell>
          <cell r="AG67">
            <v>61</v>
          </cell>
        </row>
        <row r="68">
          <cell r="A68" t="str">
            <v>P006</v>
          </cell>
          <cell r="K68" t="str">
            <v>P006InsideDPFC</v>
          </cell>
          <cell r="L68" t="str">
            <v>Inside</v>
          </cell>
          <cell r="M68" t="str">
            <v>DPFC</v>
          </cell>
          <cell r="N68" t="str">
            <v>45X28</v>
          </cell>
          <cell r="P68">
            <v>82500</v>
          </cell>
          <cell r="AG68">
            <v>62</v>
          </cell>
        </row>
        <row r="69">
          <cell r="A69" t="str">
            <v>P006</v>
          </cell>
          <cell r="K69" t="str">
            <v>P006Inside2/3DPFC</v>
          </cell>
          <cell r="L69" t="str">
            <v>Inside</v>
          </cell>
          <cell r="M69" t="str">
            <v>2/3DPFC</v>
          </cell>
          <cell r="N69" t="str">
            <v>45X18.3</v>
          </cell>
          <cell r="P69">
            <v>61600.000000000007</v>
          </cell>
          <cell r="AG69">
            <v>63</v>
          </cell>
        </row>
        <row r="70">
          <cell r="A70" t="str">
            <v>P006</v>
          </cell>
          <cell r="K70" t="str">
            <v>P006Inside2/3HPFC</v>
          </cell>
          <cell r="L70" t="str">
            <v>Inside</v>
          </cell>
          <cell r="M70" t="str">
            <v>2/3HPFC</v>
          </cell>
          <cell r="N70" t="str">
            <v>22X18.3</v>
          </cell>
          <cell r="P70">
            <v>33000</v>
          </cell>
          <cell r="AG70">
            <v>64</v>
          </cell>
        </row>
        <row r="71">
          <cell r="A71" t="str">
            <v>P006</v>
          </cell>
          <cell r="K71" t="str">
            <v>P006Inside2/3VPFC</v>
          </cell>
          <cell r="L71" t="str">
            <v>Inside</v>
          </cell>
          <cell r="M71" t="str">
            <v>2/3VPFC</v>
          </cell>
          <cell r="N71" t="str">
            <v>14.5X27.8</v>
          </cell>
          <cell r="P71">
            <v>31900.000000000004</v>
          </cell>
          <cell r="AG71">
            <v>65</v>
          </cell>
        </row>
        <row r="72">
          <cell r="A72" t="str">
            <v>P006</v>
          </cell>
          <cell r="K72" t="str">
            <v>P006Inside1/2DPFC</v>
          </cell>
          <cell r="L72" t="str">
            <v>Inside</v>
          </cell>
          <cell r="M72" t="str">
            <v>1/2DPFC</v>
          </cell>
          <cell r="N72" t="str">
            <v>45X13.7</v>
          </cell>
          <cell r="P72">
            <v>48400.000000000007</v>
          </cell>
          <cell r="AG72">
            <v>66</v>
          </cell>
        </row>
        <row r="73">
          <cell r="A73" t="str">
            <v>P006</v>
          </cell>
          <cell r="K73" t="str">
            <v>P006InsideHPFC</v>
          </cell>
          <cell r="L73" t="str">
            <v>Inside</v>
          </cell>
          <cell r="M73" t="str">
            <v>HPFC</v>
          </cell>
          <cell r="N73" t="str">
            <v>22X13.7</v>
          </cell>
          <cell r="P73">
            <v>26400.000000000004</v>
          </cell>
          <cell r="AG73">
            <v>67</v>
          </cell>
        </row>
        <row r="74">
          <cell r="A74" t="str">
            <v>P006</v>
          </cell>
          <cell r="K74" t="str">
            <v>P006InsideVPFC</v>
          </cell>
          <cell r="L74" t="str">
            <v>Inside</v>
          </cell>
          <cell r="M74" t="str">
            <v>VPFC</v>
          </cell>
          <cell r="N74" t="str">
            <v>10.8X27.8</v>
          </cell>
          <cell r="P74">
            <v>27500.000000000004</v>
          </cell>
          <cell r="AG74">
            <v>68</v>
          </cell>
        </row>
        <row r="75">
          <cell r="A75" t="str">
            <v>P006</v>
          </cell>
          <cell r="K75" t="str">
            <v>P006Inside1/3DPFC</v>
          </cell>
          <cell r="L75" t="str">
            <v>Inside</v>
          </cell>
          <cell r="M75" t="str">
            <v>1/3DPFC</v>
          </cell>
          <cell r="N75" t="str">
            <v>45X9.1</v>
          </cell>
          <cell r="P75">
            <v>34100</v>
          </cell>
          <cell r="AG75">
            <v>69</v>
          </cell>
        </row>
        <row r="76">
          <cell r="A76" t="str">
            <v>P006</v>
          </cell>
          <cell r="K76" t="str">
            <v>P006Inside1/3HPFC</v>
          </cell>
          <cell r="L76" t="str">
            <v>Inside</v>
          </cell>
          <cell r="M76" t="str">
            <v>1/3HPFC</v>
          </cell>
          <cell r="N76" t="str">
            <v>22X9.1</v>
          </cell>
          <cell r="P76">
            <v>19800</v>
          </cell>
          <cell r="AG76">
            <v>70</v>
          </cell>
        </row>
        <row r="77">
          <cell r="A77" t="str">
            <v>P006</v>
          </cell>
          <cell r="K77" t="str">
            <v>P006Inside1/3VPFC</v>
          </cell>
          <cell r="L77" t="str">
            <v>Inside</v>
          </cell>
          <cell r="M77" t="str">
            <v>1/3VPFC</v>
          </cell>
          <cell r="N77" t="str">
            <v>7.1X27.8</v>
          </cell>
          <cell r="P77">
            <v>18700</v>
          </cell>
          <cell r="AG77">
            <v>71</v>
          </cell>
        </row>
        <row r="78">
          <cell r="A78" t="str">
            <v>P006</v>
          </cell>
          <cell r="K78" t="str">
            <v>P006Inside1/4DPFC</v>
          </cell>
          <cell r="L78" t="str">
            <v>Inside</v>
          </cell>
          <cell r="M78" t="str">
            <v>1/4DPFC</v>
          </cell>
          <cell r="N78" t="str">
            <v>45X6.7</v>
          </cell>
          <cell r="P78">
            <v>29700.000000000004</v>
          </cell>
          <cell r="AG78">
            <v>72</v>
          </cell>
        </row>
        <row r="79">
          <cell r="A79" t="str">
            <v>P006</v>
          </cell>
          <cell r="K79" t="str">
            <v>P006Inside1/4C</v>
          </cell>
          <cell r="L79" t="str">
            <v>Inside</v>
          </cell>
          <cell r="M79" t="str">
            <v>1/4C</v>
          </cell>
          <cell r="N79" t="str">
            <v>10.8X13.7</v>
          </cell>
          <cell r="P79">
            <v>15400.000000000002</v>
          </cell>
          <cell r="AG79">
            <v>73</v>
          </cell>
        </row>
        <row r="80">
          <cell r="A80" t="str">
            <v>P006</v>
          </cell>
          <cell r="K80" t="str">
            <v>P006InsideQPFC</v>
          </cell>
          <cell r="L80" t="str">
            <v>Inside</v>
          </cell>
          <cell r="M80" t="str">
            <v>QPFC</v>
          </cell>
          <cell r="N80" t="str">
            <v>22X6.7</v>
          </cell>
          <cell r="P80">
            <v>16500</v>
          </cell>
          <cell r="AG80">
            <v>74</v>
          </cell>
        </row>
        <row r="81">
          <cell r="A81" t="str">
            <v>P006</v>
          </cell>
          <cell r="K81" t="str">
            <v>P006InsideGatefold</v>
          </cell>
          <cell r="L81" t="str">
            <v>Inside</v>
          </cell>
          <cell r="M81" t="str">
            <v>Gatefold</v>
          </cell>
          <cell r="P81" t="str">
            <v>FPFC*3- dis+ 18.000</v>
          </cell>
          <cell r="AG81">
            <v>75</v>
          </cell>
        </row>
        <row r="82">
          <cell r="A82" t="str">
            <v>P006</v>
          </cell>
          <cell r="B82" t="str">
            <v>THE THAO HANG NGAY</v>
          </cell>
          <cell r="C82">
            <v>9102539</v>
          </cell>
          <cell r="D82">
            <v>8222143</v>
          </cell>
          <cell r="E82" t="str">
            <v>48 Nguyen Dinh Chieu Q1</v>
          </cell>
          <cell r="F82" t="str">
            <v>Ms Yen 0903735445</v>
          </cell>
          <cell r="G82" t="str">
            <v>Daily</v>
          </cell>
          <cell r="H82">
            <v>200000</v>
          </cell>
          <cell r="I82">
            <v>0.15</v>
          </cell>
          <cell r="K82" t="str">
            <v>P006Strip ad</v>
          </cell>
          <cell r="L82" t="str">
            <v>Strip ad</v>
          </cell>
          <cell r="M82" t="str">
            <v>FPFC</v>
          </cell>
          <cell r="N82" t="str">
            <v>22X6.7</v>
          </cell>
          <cell r="P82">
            <v>16500</v>
          </cell>
          <cell r="Q82">
            <v>0.15</v>
          </cell>
          <cell r="AC82">
            <v>15</v>
          </cell>
          <cell r="AD82">
            <v>7</v>
          </cell>
          <cell r="AE82">
            <v>100</v>
          </cell>
          <cell r="AF82" t="str">
            <v>CD</v>
          </cell>
          <cell r="AG82">
            <v>76</v>
          </cell>
        </row>
        <row r="83">
          <cell r="A83" t="str">
            <v>THE GIOI PHU NU</v>
          </cell>
          <cell r="B83" t="str">
            <v>12F</v>
          </cell>
          <cell r="K83" t="str">
            <v>THE GIOI PHU NU</v>
          </cell>
          <cell r="L83" t="str">
            <v>Inside</v>
          </cell>
          <cell r="M83" t="str">
            <v>FPBW</v>
          </cell>
          <cell r="N83" t="str">
            <v>26X38</v>
          </cell>
          <cell r="P83">
            <v>16000</v>
          </cell>
          <cell r="AG83">
            <v>77</v>
          </cell>
        </row>
        <row r="84">
          <cell r="A84" t="str">
            <v>P007</v>
          </cell>
          <cell r="B84" t="str">
            <v>THE THAO HANG NGAY</v>
          </cell>
          <cell r="C84">
            <v>9102539</v>
          </cell>
          <cell r="D84">
            <v>8222143</v>
          </cell>
          <cell r="E84" t="str">
            <v>48 Nguyen Dinh Chieu Q1</v>
          </cell>
          <cell r="F84" t="str">
            <v>Ms Yen 0903735445</v>
          </cell>
          <cell r="G84" t="str">
            <v>Daily</v>
          </cell>
          <cell r="H84">
            <v>200000</v>
          </cell>
          <cell r="I84">
            <v>0.15</v>
          </cell>
          <cell r="K84" t="str">
            <v>P007InsideFPFC</v>
          </cell>
          <cell r="L84" t="str">
            <v>Inside</v>
          </cell>
          <cell r="M84" t="str">
            <v>FPFC</v>
          </cell>
          <cell r="N84" t="str">
            <v>26X38</v>
          </cell>
          <cell r="P84">
            <v>28000</v>
          </cell>
          <cell r="Q84">
            <v>0.15</v>
          </cell>
          <cell r="AC84">
            <v>15</v>
          </cell>
          <cell r="AD84">
            <v>7</v>
          </cell>
          <cell r="AE84">
            <v>100</v>
          </cell>
          <cell r="AF84" t="str">
            <v>CD</v>
          </cell>
          <cell r="AG84">
            <v>78</v>
          </cell>
        </row>
        <row r="85">
          <cell r="A85" t="str">
            <v>P007</v>
          </cell>
          <cell r="B85" t="str">
            <v>12F</v>
          </cell>
          <cell r="K85" t="str">
            <v>P007InsideFPBW</v>
          </cell>
          <cell r="L85" t="str">
            <v>Inside</v>
          </cell>
          <cell r="M85" t="str">
            <v>FPBW</v>
          </cell>
          <cell r="N85" t="str">
            <v>26X38</v>
          </cell>
          <cell r="P85">
            <v>16000</v>
          </cell>
          <cell r="AG85">
            <v>79</v>
          </cell>
        </row>
        <row r="86">
          <cell r="A86" t="str">
            <v>P007</v>
          </cell>
          <cell r="K86" t="str">
            <v>P007InsideHPFC</v>
          </cell>
          <cell r="L86" t="str">
            <v>Inside</v>
          </cell>
          <cell r="M86" t="str">
            <v>HPFC</v>
          </cell>
          <cell r="N86" t="str">
            <v>26X19</v>
          </cell>
          <cell r="P86">
            <v>14000</v>
          </cell>
          <cell r="AG86">
            <v>80</v>
          </cell>
        </row>
        <row r="87">
          <cell r="A87" t="str">
            <v>P007</v>
          </cell>
          <cell r="K87" t="str">
            <v>P007InsideHPBW</v>
          </cell>
          <cell r="L87" t="str">
            <v>Inside</v>
          </cell>
          <cell r="M87" t="str">
            <v>HPBW</v>
          </cell>
          <cell r="N87" t="str">
            <v>26X19</v>
          </cell>
          <cell r="P87">
            <v>8000</v>
          </cell>
          <cell r="AG87">
            <v>81</v>
          </cell>
        </row>
        <row r="88">
          <cell r="A88" t="str">
            <v>P007</v>
          </cell>
          <cell r="K88" t="str">
            <v>P007Inside1/4VPBW</v>
          </cell>
          <cell r="L88" t="str">
            <v>Inside</v>
          </cell>
          <cell r="M88" t="str">
            <v>1/4VPBW</v>
          </cell>
          <cell r="N88" t="str">
            <v>19X13</v>
          </cell>
          <cell r="P88">
            <v>4000</v>
          </cell>
          <cell r="AG88">
            <v>82</v>
          </cell>
        </row>
        <row r="89">
          <cell r="A89" t="str">
            <v>P007</v>
          </cell>
          <cell r="K89" t="str">
            <v>P007FirstFPFC</v>
          </cell>
          <cell r="L89" t="str">
            <v>First</v>
          </cell>
          <cell r="M89" t="str">
            <v>FPFC</v>
          </cell>
          <cell r="N89" t="str">
            <v>26X38</v>
          </cell>
          <cell r="P89">
            <v>33600</v>
          </cell>
          <cell r="AG89">
            <v>83</v>
          </cell>
        </row>
        <row r="90">
          <cell r="A90" t="str">
            <v>P007</v>
          </cell>
          <cell r="B90" t="str">
            <v>CAM NANG TIEU DUNG DAN ONG</v>
          </cell>
          <cell r="C90">
            <v>9305377</v>
          </cell>
          <cell r="D90">
            <v>9305378</v>
          </cell>
          <cell r="E90" t="str">
            <v>Cty Sai Gon Truyen Thong 25 Ngo Thoi Nhiem Q3</v>
          </cell>
          <cell r="F90" t="str">
            <v>Ms Phuong 0989333209</v>
          </cell>
          <cell r="G90" t="str">
            <v>5th/ Monthly</v>
          </cell>
          <cell r="H90">
            <v>80</v>
          </cell>
          <cell r="I90">
            <v>0.2</v>
          </cell>
          <cell r="K90" t="str">
            <v>P007FirstFPBW</v>
          </cell>
          <cell r="L90" t="str">
            <v>First</v>
          </cell>
          <cell r="M90" t="str">
            <v>FPBW</v>
          </cell>
          <cell r="N90" t="str">
            <v>26X38</v>
          </cell>
          <cell r="P90">
            <v>19200</v>
          </cell>
          <cell r="Q90">
            <v>0.2</v>
          </cell>
          <cell r="AC90">
            <v>15</v>
          </cell>
          <cell r="AD90">
            <v>10</v>
          </cell>
          <cell r="AE90" t="str">
            <v>300 DPI</v>
          </cell>
          <cell r="AF90" t="str">
            <v>CD</v>
          </cell>
          <cell r="AG90">
            <v>84</v>
          </cell>
        </row>
        <row r="91">
          <cell r="A91" t="str">
            <v>THE THAO HANG NGAY</v>
          </cell>
          <cell r="B91" t="str">
            <v>1F</v>
          </cell>
          <cell r="K91" t="str">
            <v>THE THAO HANG NGAY</v>
          </cell>
          <cell r="L91" t="str">
            <v>Cover 2</v>
          </cell>
          <cell r="M91" t="str">
            <v>FPFC</v>
          </cell>
          <cell r="N91" t="str">
            <v>19X26</v>
          </cell>
          <cell r="P91">
            <v>14000</v>
          </cell>
          <cell r="AG91">
            <v>85</v>
          </cell>
        </row>
        <row r="92">
          <cell r="A92" t="str">
            <v>P008</v>
          </cell>
          <cell r="B92" t="str">
            <v>CAM NANG TIEU DUNG DAN ONG</v>
          </cell>
          <cell r="C92">
            <v>9305377</v>
          </cell>
          <cell r="D92">
            <v>9305378</v>
          </cell>
          <cell r="E92" t="str">
            <v>Cty Sai Gon Truyen Thong 25 Ngo Thoi Nhiem Q3</v>
          </cell>
          <cell r="F92" t="str">
            <v>Ms Phuong 0989333209</v>
          </cell>
          <cell r="G92" t="str">
            <v>5/ Monthly</v>
          </cell>
          <cell r="H92">
            <v>80</v>
          </cell>
          <cell r="I92">
            <v>0.2</v>
          </cell>
          <cell r="K92" t="str">
            <v>P008Cover 4FPFC</v>
          </cell>
          <cell r="L92" t="str">
            <v>Cover 4</v>
          </cell>
          <cell r="M92" t="str">
            <v>FPFC</v>
          </cell>
          <cell r="N92" t="str">
            <v>19X26</v>
          </cell>
          <cell r="P92">
            <v>16000</v>
          </cell>
          <cell r="Q92">
            <v>0.2</v>
          </cell>
          <cell r="AC92">
            <v>15</v>
          </cell>
          <cell r="AD92">
            <v>14</v>
          </cell>
          <cell r="AE92" t="str">
            <v>300 DPI</v>
          </cell>
          <cell r="AF92" t="str">
            <v>CD</v>
          </cell>
          <cell r="AG92">
            <v>86</v>
          </cell>
        </row>
        <row r="93">
          <cell r="A93" t="str">
            <v>P008</v>
          </cell>
          <cell r="B93" t="str">
            <v>1F</v>
          </cell>
          <cell r="K93" t="str">
            <v>P008Cover 2FPFC</v>
          </cell>
          <cell r="L93" t="str">
            <v>Cover 2</v>
          </cell>
          <cell r="M93" t="str">
            <v>FPFC</v>
          </cell>
          <cell r="N93" t="str">
            <v>19X26</v>
          </cell>
          <cell r="O93" t="str">
            <v>22.3X29.1</v>
          </cell>
          <cell r="P93">
            <v>14000</v>
          </cell>
          <cell r="AG93">
            <v>87</v>
          </cell>
        </row>
        <row r="94">
          <cell r="A94" t="str">
            <v>P008</v>
          </cell>
          <cell r="K94" t="str">
            <v>P008Cover 3FPFC</v>
          </cell>
          <cell r="L94" t="str">
            <v>Cover 3</v>
          </cell>
          <cell r="M94" t="str">
            <v>FPFC</v>
          </cell>
          <cell r="N94" t="str">
            <v>19X26</v>
          </cell>
          <cell r="O94" t="str">
            <v>22.3X29.1</v>
          </cell>
          <cell r="P94">
            <v>14000</v>
          </cell>
          <cell r="AG94">
            <v>88</v>
          </cell>
        </row>
        <row r="95">
          <cell r="A95" t="str">
            <v>P008</v>
          </cell>
          <cell r="K95" t="str">
            <v>P008InsideFPFC</v>
          </cell>
          <cell r="L95" t="str">
            <v>Inside</v>
          </cell>
          <cell r="M95" t="str">
            <v>FPFC</v>
          </cell>
          <cell r="N95" t="str">
            <v>19X26</v>
          </cell>
          <cell r="O95" t="str">
            <v>22.3X29.1</v>
          </cell>
          <cell r="P95">
            <v>10000</v>
          </cell>
          <cell r="AG95">
            <v>89</v>
          </cell>
        </row>
        <row r="96">
          <cell r="A96" t="str">
            <v>P008</v>
          </cell>
          <cell r="K96" t="str">
            <v>P008FirstFPFC</v>
          </cell>
          <cell r="L96" t="str">
            <v>First</v>
          </cell>
          <cell r="M96" t="str">
            <v>FPFC</v>
          </cell>
          <cell r="N96" t="str">
            <v>19X26</v>
          </cell>
          <cell r="O96" t="str">
            <v>22.3X29.1</v>
          </cell>
          <cell r="P96">
            <v>12000</v>
          </cell>
          <cell r="AG96">
            <v>90</v>
          </cell>
        </row>
        <row r="97">
          <cell r="A97" t="str">
            <v>P008</v>
          </cell>
          <cell r="K97" t="str">
            <v>P008InsideHPFC</v>
          </cell>
          <cell r="L97" t="str">
            <v>Inside</v>
          </cell>
          <cell r="M97" t="str">
            <v>HPFC</v>
          </cell>
          <cell r="N97" t="str">
            <v>19X13</v>
          </cell>
          <cell r="P97">
            <v>6000</v>
          </cell>
          <cell r="AG97">
            <v>91</v>
          </cell>
        </row>
        <row r="98">
          <cell r="A98" t="str">
            <v>P008</v>
          </cell>
          <cell r="K98" t="str">
            <v>P008InsideVPFC</v>
          </cell>
          <cell r="L98" t="str">
            <v>Inside</v>
          </cell>
          <cell r="M98" t="str">
            <v>VPFC</v>
          </cell>
          <cell r="N98" t="str">
            <v>9X26</v>
          </cell>
          <cell r="P98">
            <v>6000</v>
          </cell>
          <cell r="AG98">
            <v>92</v>
          </cell>
        </row>
        <row r="99">
          <cell r="A99" t="str">
            <v>P008</v>
          </cell>
          <cell r="K99" t="str">
            <v>P008Inside1/3HPFC</v>
          </cell>
          <cell r="L99" t="str">
            <v>Inside</v>
          </cell>
          <cell r="M99" t="str">
            <v>1/3HPFC</v>
          </cell>
          <cell r="N99" t="str">
            <v>19X8.5</v>
          </cell>
          <cell r="P99">
            <v>4500</v>
          </cell>
          <cell r="AG99">
            <v>93</v>
          </cell>
        </row>
        <row r="100">
          <cell r="A100" t="str">
            <v>P008</v>
          </cell>
          <cell r="K100" t="str">
            <v>P008Inside1/3VPFC</v>
          </cell>
          <cell r="L100" t="str">
            <v>Inside</v>
          </cell>
          <cell r="M100" t="str">
            <v>1/3VPFC</v>
          </cell>
          <cell r="N100" t="str">
            <v>6X26</v>
          </cell>
          <cell r="P100">
            <v>4500</v>
          </cell>
          <cell r="AG100">
            <v>94</v>
          </cell>
        </row>
        <row r="101">
          <cell r="A101" t="str">
            <v>P008</v>
          </cell>
          <cell r="B101" t="str">
            <v>NHIP CAU DAU TU</v>
          </cell>
          <cell r="C101">
            <v>8272783</v>
          </cell>
          <cell r="D101">
            <v>8274755</v>
          </cell>
          <cell r="E101" t="str">
            <v>Lau 3, 71-75 Hai Ba Trung tang 3, Tp. HCM</v>
          </cell>
          <cell r="F101" t="str">
            <v>Ms Lan 0903760866</v>
          </cell>
          <cell r="G101" t="str">
            <v>10,25/ Monthly</v>
          </cell>
          <cell r="H101">
            <v>50000</v>
          </cell>
          <cell r="I101">
            <v>0.5</v>
          </cell>
          <cell r="K101" t="str">
            <v>P008Inside1/4HPFC</v>
          </cell>
          <cell r="L101" t="str">
            <v>Inside</v>
          </cell>
          <cell r="M101" t="str">
            <v>1/4HPFC</v>
          </cell>
          <cell r="N101" t="str">
            <v>19X6.5</v>
          </cell>
          <cell r="O101" t="str">
            <v>20.6X27.6</v>
          </cell>
          <cell r="P101">
            <v>3000</v>
          </cell>
          <cell r="Q101">
            <v>0.5</v>
          </cell>
          <cell r="AC101">
            <v>15</v>
          </cell>
          <cell r="AD101">
            <v>10</v>
          </cell>
          <cell r="AE101" t="str">
            <v>350 DPI</v>
          </cell>
          <cell r="AF101" t="str">
            <v>CD (TIFF/ EPS)</v>
          </cell>
          <cell r="AG101">
            <v>95</v>
          </cell>
        </row>
        <row r="102">
          <cell r="A102" t="str">
            <v>P008</v>
          </cell>
          <cell r="B102" t="str">
            <v>7C</v>
          </cell>
          <cell r="C102">
            <v>8272783</v>
          </cell>
          <cell r="D102">
            <v>8274755</v>
          </cell>
          <cell r="E102" t="str">
            <v>Lau 3, 71-75 Hai Ba Trung tang 3, Tp. HCM</v>
          </cell>
          <cell r="F102" t="str">
            <v>Ms Lan 0903760866</v>
          </cell>
          <cell r="G102" t="str">
            <v>10,25/ Monthly</v>
          </cell>
          <cell r="H102">
            <v>50000</v>
          </cell>
          <cell r="I102">
            <v>0.5</v>
          </cell>
          <cell r="K102" t="str">
            <v>P008Inside1/4VPFC</v>
          </cell>
          <cell r="L102" t="str">
            <v>Inside</v>
          </cell>
          <cell r="M102" t="str">
            <v>1/4VPFC</v>
          </cell>
          <cell r="N102" t="str">
            <v>9X13</v>
          </cell>
          <cell r="O102" t="str">
            <v>20.6X27.6</v>
          </cell>
          <cell r="P102">
            <v>3000</v>
          </cell>
          <cell r="Q102">
            <v>0.5</v>
          </cell>
          <cell r="AC102">
            <v>15</v>
          </cell>
          <cell r="AD102">
            <v>10</v>
          </cell>
          <cell r="AE102" t="str">
            <v>350 DPI</v>
          </cell>
          <cell r="AF102" t="str">
            <v>CD (TIFF/ EPS)</v>
          </cell>
          <cell r="AG102">
            <v>96</v>
          </cell>
        </row>
        <row r="103">
          <cell r="A103" t="str">
            <v>CAM NANG TIEU DUNG DAN ONG</v>
          </cell>
          <cell r="B103" t="str">
            <v>7C</v>
          </cell>
          <cell r="K103" t="str">
            <v>CAM NANG TIEU DUNG DAN ONG</v>
          </cell>
          <cell r="L103" t="str">
            <v>Inside</v>
          </cell>
          <cell r="M103" t="str">
            <v>2/3VPFC</v>
          </cell>
          <cell r="P103">
            <v>17600</v>
          </cell>
          <cell r="AG103">
            <v>97</v>
          </cell>
        </row>
        <row r="104">
          <cell r="A104" t="str">
            <v>P009</v>
          </cell>
          <cell r="B104" t="str">
            <v>NHIP CAU DAU TU</v>
          </cell>
          <cell r="C104">
            <v>8272783</v>
          </cell>
          <cell r="D104">
            <v>8274755</v>
          </cell>
          <cell r="E104" t="str">
            <v>Lau 3, 71-75 Hai Ba Trung tang 3, Tp. HCM</v>
          </cell>
          <cell r="F104" t="str">
            <v>Ms Lan 0903760866</v>
          </cell>
          <cell r="G104" t="str">
            <v>10,25/ Monthly</v>
          </cell>
          <cell r="H104">
            <v>50000</v>
          </cell>
          <cell r="I104">
            <v>0.5</v>
          </cell>
          <cell r="K104" t="str">
            <v>P009InsideFPFC</v>
          </cell>
          <cell r="L104" t="str">
            <v>Inside</v>
          </cell>
          <cell r="M104" t="str">
            <v>FPFC</v>
          </cell>
          <cell r="N104" t="str">
            <v>19X26</v>
          </cell>
          <cell r="O104" t="str">
            <v>20.6X27.6</v>
          </cell>
          <cell r="P104">
            <v>26400.000000000004</v>
          </cell>
          <cell r="Q104">
            <v>0.5</v>
          </cell>
          <cell r="AC104">
            <v>15</v>
          </cell>
          <cell r="AD104">
            <v>10</v>
          </cell>
          <cell r="AE104" t="str">
            <v>350 DPI</v>
          </cell>
          <cell r="AF104" t="str">
            <v>CD (TIFF/ EPS)</v>
          </cell>
          <cell r="AG104">
            <v>98</v>
          </cell>
        </row>
        <row r="105">
          <cell r="A105" t="str">
            <v>P009</v>
          </cell>
          <cell r="B105" t="str">
            <v>7C</v>
          </cell>
          <cell r="K105" t="str">
            <v>P009Inside2/3HPFC</v>
          </cell>
          <cell r="L105" t="str">
            <v>Inside</v>
          </cell>
          <cell r="M105" t="str">
            <v>2/3HPFC</v>
          </cell>
          <cell r="P105">
            <v>17600</v>
          </cell>
          <cell r="AG105">
            <v>99</v>
          </cell>
        </row>
        <row r="106">
          <cell r="A106" t="str">
            <v>P009</v>
          </cell>
          <cell r="K106" t="str">
            <v>P009Inside2/3VPFC</v>
          </cell>
          <cell r="L106" t="str">
            <v>Inside</v>
          </cell>
          <cell r="M106" t="str">
            <v>2/3VPFC</v>
          </cell>
          <cell r="P106">
            <v>17600</v>
          </cell>
          <cell r="AG106">
            <v>100</v>
          </cell>
        </row>
        <row r="107">
          <cell r="A107" t="str">
            <v>P009</v>
          </cell>
          <cell r="K107" t="str">
            <v>P009InsideHPFC</v>
          </cell>
          <cell r="L107" t="str">
            <v>Inside</v>
          </cell>
          <cell r="M107" t="str">
            <v>HPFC</v>
          </cell>
          <cell r="P107">
            <v>13200.000000000002</v>
          </cell>
          <cell r="AG107">
            <v>101</v>
          </cell>
        </row>
        <row r="108">
          <cell r="A108" t="str">
            <v>P009</v>
          </cell>
          <cell r="K108" t="str">
            <v>P009InsideDPFC</v>
          </cell>
          <cell r="L108" t="str">
            <v>Inside</v>
          </cell>
          <cell r="M108" t="str">
            <v>DPFC</v>
          </cell>
          <cell r="P108">
            <v>49500.000000000007</v>
          </cell>
          <cell r="AG108">
            <v>102</v>
          </cell>
        </row>
        <row r="109">
          <cell r="A109" t="str">
            <v>P009</v>
          </cell>
          <cell r="K109" t="str">
            <v>P009FirstFPFC</v>
          </cell>
          <cell r="L109" t="str">
            <v>First</v>
          </cell>
          <cell r="M109" t="str">
            <v>FPFC</v>
          </cell>
          <cell r="P109">
            <v>36300</v>
          </cell>
          <cell r="AG109">
            <v>103</v>
          </cell>
        </row>
        <row r="110">
          <cell r="A110" t="str">
            <v>P009</v>
          </cell>
          <cell r="K110" t="str">
            <v>P009SecondFPFC</v>
          </cell>
          <cell r="L110" t="str">
            <v>Second</v>
          </cell>
          <cell r="M110" t="str">
            <v>FPFC</v>
          </cell>
          <cell r="P110">
            <v>30800.000000000004</v>
          </cell>
          <cell r="AG110">
            <v>104</v>
          </cell>
        </row>
        <row r="111">
          <cell r="A111" t="str">
            <v>P009</v>
          </cell>
          <cell r="K111" t="str">
            <v>P009Cover 2FPFC</v>
          </cell>
          <cell r="L111" t="str">
            <v>Cover 2</v>
          </cell>
          <cell r="M111" t="str">
            <v>FPFC</v>
          </cell>
          <cell r="P111">
            <v>38500</v>
          </cell>
          <cell r="AG111">
            <v>105</v>
          </cell>
        </row>
        <row r="112">
          <cell r="A112" t="str">
            <v>P009</v>
          </cell>
          <cell r="K112" t="str">
            <v>P009Cover 3FPFC</v>
          </cell>
          <cell r="L112" t="str">
            <v>Cover 3</v>
          </cell>
          <cell r="M112" t="str">
            <v>FPFC</v>
          </cell>
          <cell r="P112">
            <v>35200</v>
          </cell>
          <cell r="AG112">
            <v>106</v>
          </cell>
        </row>
        <row r="113">
          <cell r="A113" t="str">
            <v>P009</v>
          </cell>
          <cell r="K113" t="str">
            <v>P009Cover 4FPFC</v>
          </cell>
          <cell r="L113" t="str">
            <v>Cover 4</v>
          </cell>
          <cell r="M113" t="str">
            <v>FPFC</v>
          </cell>
          <cell r="P113">
            <v>44000</v>
          </cell>
          <cell r="AG113">
            <v>107</v>
          </cell>
        </row>
        <row r="114">
          <cell r="A114" t="str">
            <v>P009</v>
          </cell>
          <cell r="B114" t="str">
            <v>TBKTSG</v>
          </cell>
          <cell r="C114">
            <v>8214393</v>
          </cell>
          <cell r="D114">
            <v>8295742</v>
          </cell>
          <cell r="E114" t="str">
            <v>35 NKKN Q1</v>
          </cell>
          <cell r="F114" t="str">
            <v>Ms Huong 0913118711</v>
          </cell>
          <cell r="G114" t="str">
            <v>Thu/ Weekly</v>
          </cell>
          <cell r="H114">
            <v>55000</v>
          </cell>
          <cell r="I114">
            <v>0.15</v>
          </cell>
          <cell r="K114" t="str">
            <v>P009Cover 4DPFC</v>
          </cell>
          <cell r="L114" t="str">
            <v>Cover 4</v>
          </cell>
          <cell r="M114" t="str">
            <v>DPFC</v>
          </cell>
          <cell r="N114" t="str">
            <v>17.5X25</v>
          </cell>
          <cell r="P114">
            <v>55000.000000000007</v>
          </cell>
          <cell r="Q114">
            <v>0.15</v>
          </cell>
          <cell r="AC114">
            <v>15</v>
          </cell>
          <cell r="AD114">
            <v>10</v>
          </cell>
          <cell r="AE114" t="str">
            <v>350 DPI</v>
          </cell>
          <cell r="AF114" t="str">
            <v>CD</v>
          </cell>
          <cell r="AG114">
            <v>108</v>
          </cell>
        </row>
        <row r="115">
          <cell r="A115" t="str">
            <v>P009</v>
          </cell>
          <cell r="B115" t="str">
            <v>10G</v>
          </cell>
          <cell r="C115">
            <v>8214393</v>
          </cell>
          <cell r="D115">
            <v>8295742</v>
          </cell>
          <cell r="E115" t="str">
            <v>35 NKKN Q1</v>
          </cell>
          <cell r="F115" t="str">
            <v>Ms Huong 0913118711</v>
          </cell>
          <cell r="G115" t="str">
            <v>Thu/ Weekly</v>
          </cell>
          <cell r="H115">
            <v>55000</v>
          </cell>
          <cell r="I115">
            <v>0.15</v>
          </cell>
          <cell r="K115" t="str">
            <v>P009Cover 2DPFC</v>
          </cell>
          <cell r="L115" t="str">
            <v>Cover 2</v>
          </cell>
          <cell r="M115" t="str">
            <v>DPFC</v>
          </cell>
          <cell r="N115" t="str">
            <v>17.5X25</v>
          </cell>
          <cell r="P115">
            <v>63800.000000000007</v>
          </cell>
          <cell r="Q115">
            <v>0.15</v>
          </cell>
          <cell r="AC115">
            <v>15</v>
          </cell>
          <cell r="AD115">
            <v>10</v>
          </cell>
          <cell r="AE115" t="str">
            <v>350 DPI</v>
          </cell>
          <cell r="AF115" t="str">
            <v>CD</v>
          </cell>
          <cell r="AG115">
            <v>109</v>
          </cell>
        </row>
        <row r="116">
          <cell r="A116" t="str">
            <v>NHIP CAU DAU TU</v>
          </cell>
          <cell r="B116" t="str">
            <v>10G</v>
          </cell>
          <cell r="K116" t="str">
            <v>NHIP CAU DAU TU</v>
          </cell>
          <cell r="L116" t="str">
            <v>Cover 3</v>
          </cell>
          <cell r="M116" t="str">
            <v>FPFC</v>
          </cell>
          <cell r="N116" t="str">
            <v>17.5X25</v>
          </cell>
          <cell r="P116">
            <v>25440</v>
          </cell>
          <cell r="AG116">
            <v>110</v>
          </cell>
        </row>
        <row r="117">
          <cell r="A117" t="str">
            <v>P010</v>
          </cell>
          <cell r="B117" t="str">
            <v>TBKTSG</v>
          </cell>
          <cell r="C117">
            <v>8214393</v>
          </cell>
          <cell r="D117">
            <v>8295742</v>
          </cell>
          <cell r="E117" t="str">
            <v>35 NKKN Q1</v>
          </cell>
          <cell r="F117" t="str">
            <v>Ms Huong 0913118711</v>
          </cell>
          <cell r="G117" t="str">
            <v>Thu/ Weekly</v>
          </cell>
          <cell r="H117">
            <v>55000</v>
          </cell>
          <cell r="I117">
            <v>0.15</v>
          </cell>
          <cell r="K117" t="str">
            <v>P010Cover 4FPFC</v>
          </cell>
          <cell r="L117" t="str">
            <v>Cover 4</v>
          </cell>
          <cell r="M117" t="str">
            <v>FPFC</v>
          </cell>
          <cell r="N117" t="str">
            <v>17.5X25</v>
          </cell>
          <cell r="P117">
            <v>31800</v>
          </cell>
          <cell r="Q117">
            <v>0.15</v>
          </cell>
          <cell r="AC117">
            <v>15</v>
          </cell>
          <cell r="AD117">
            <v>10</v>
          </cell>
          <cell r="AE117" t="str">
            <v>350 DPI</v>
          </cell>
          <cell r="AF117" t="str">
            <v>CD</v>
          </cell>
          <cell r="AG117">
            <v>111</v>
          </cell>
        </row>
        <row r="118">
          <cell r="A118" t="str">
            <v>P010</v>
          </cell>
          <cell r="B118" t="str">
            <v>10G</v>
          </cell>
          <cell r="K118" t="str">
            <v>P010FirstFPFC</v>
          </cell>
          <cell r="L118" t="str">
            <v>First</v>
          </cell>
          <cell r="M118" t="str">
            <v>FPFC</v>
          </cell>
          <cell r="N118" t="str">
            <v>17.5X25</v>
          </cell>
          <cell r="P118">
            <v>28620</v>
          </cell>
          <cell r="AG118">
            <v>112</v>
          </cell>
        </row>
        <row r="119">
          <cell r="A119" t="str">
            <v>P010</v>
          </cell>
          <cell r="K119" t="str">
            <v>P010Cover 3FPFC</v>
          </cell>
          <cell r="L119" t="str">
            <v>Cover 3</v>
          </cell>
          <cell r="M119" t="str">
            <v>FPFC</v>
          </cell>
          <cell r="N119" t="str">
            <v>17.5X25</v>
          </cell>
          <cell r="P119">
            <v>25440</v>
          </cell>
          <cell r="AG119">
            <v>113</v>
          </cell>
        </row>
        <row r="120">
          <cell r="A120" t="str">
            <v>P010</v>
          </cell>
          <cell r="K120" t="str">
            <v>P010InsideFPFC</v>
          </cell>
          <cell r="L120" t="str">
            <v>Inside</v>
          </cell>
          <cell r="M120" t="str">
            <v>FPFC</v>
          </cell>
          <cell r="N120" t="str">
            <v>17.5X25</v>
          </cell>
          <cell r="P120">
            <v>22260</v>
          </cell>
          <cell r="AG120">
            <v>114</v>
          </cell>
        </row>
        <row r="121">
          <cell r="A121" t="str">
            <v>P010</v>
          </cell>
          <cell r="K121" t="str">
            <v>P010InsideFPBW</v>
          </cell>
          <cell r="L121" t="str">
            <v>Inside</v>
          </cell>
          <cell r="M121" t="str">
            <v>FPBW</v>
          </cell>
          <cell r="N121" t="str">
            <v>17.5X25</v>
          </cell>
          <cell r="P121">
            <v>17490</v>
          </cell>
          <cell r="AG121">
            <v>115</v>
          </cell>
        </row>
        <row r="122">
          <cell r="A122" t="str">
            <v>P010</v>
          </cell>
          <cell r="K122" t="str">
            <v>P010InsideHPFC</v>
          </cell>
          <cell r="L122" t="str">
            <v>Inside</v>
          </cell>
          <cell r="M122" t="str">
            <v>HPFC</v>
          </cell>
          <cell r="N122" t="str">
            <v>17.5X12.3</v>
          </cell>
          <cell r="P122">
            <v>12720</v>
          </cell>
          <cell r="AG122">
            <v>116</v>
          </cell>
        </row>
        <row r="123">
          <cell r="A123" t="str">
            <v>P010</v>
          </cell>
          <cell r="K123" t="str">
            <v>P010InsideJPFC</v>
          </cell>
          <cell r="L123" t="str">
            <v>Inside</v>
          </cell>
          <cell r="M123" t="str">
            <v>JPFC</v>
          </cell>
          <cell r="N123" t="str">
            <v>11.5X19</v>
          </cell>
          <cell r="P123">
            <v>19080</v>
          </cell>
          <cell r="AG123">
            <v>117</v>
          </cell>
        </row>
        <row r="124">
          <cell r="A124" t="str">
            <v>P010</v>
          </cell>
          <cell r="B124" t="str">
            <v>THE THAO VH DAN ONG</v>
          </cell>
          <cell r="C124">
            <v>8484754</v>
          </cell>
          <cell r="D124">
            <v>8484753</v>
          </cell>
          <cell r="E124" t="str">
            <v>144A Ly Chinh Thang</v>
          </cell>
          <cell r="F124" t="str">
            <v>Ms Tham 0908678580</v>
          </cell>
          <cell r="G124" t="str">
            <v>25/ Monthly</v>
          </cell>
          <cell r="H124">
            <v>28500</v>
          </cell>
          <cell r="I124">
            <v>0.35</v>
          </cell>
          <cell r="J124">
            <v>0.1</v>
          </cell>
          <cell r="K124" t="str">
            <v>P010AdvertorialFPFC</v>
          </cell>
          <cell r="L124" t="str">
            <v>Advertorial</v>
          </cell>
          <cell r="M124" t="str">
            <v>FPFC</v>
          </cell>
          <cell r="N124" t="str">
            <v>17.5X25</v>
          </cell>
          <cell r="O124" t="str">
            <v>24X29.6</v>
          </cell>
          <cell r="P124">
            <v>23850</v>
          </cell>
          <cell r="Q124">
            <v>0.35</v>
          </cell>
          <cell r="R124">
            <v>0.1</v>
          </cell>
          <cell r="AC124">
            <v>15</v>
          </cell>
          <cell r="AD124">
            <v>10</v>
          </cell>
          <cell r="AE124" t="str">
            <v>350 DPI</v>
          </cell>
          <cell r="AF124" t="str">
            <v>CD</v>
          </cell>
          <cell r="AG124">
            <v>118</v>
          </cell>
        </row>
        <row r="125">
          <cell r="A125" t="str">
            <v>P010</v>
          </cell>
          <cell r="B125" t="str">
            <v>11C</v>
          </cell>
          <cell r="C125">
            <v>8484754</v>
          </cell>
          <cell r="D125">
            <v>8484753</v>
          </cell>
          <cell r="E125" t="str">
            <v>144A Ly Chinh Thang</v>
          </cell>
          <cell r="F125" t="str">
            <v>Ms Tham 0908678580</v>
          </cell>
          <cell r="G125" t="str">
            <v>25/ Monthly</v>
          </cell>
          <cell r="H125">
            <v>28500</v>
          </cell>
          <cell r="I125">
            <v>0.35</v>
          </cell>
          <cell r="J125">
            <v>0.1</v>
          </cell>
          <cell r="K125" t="str">
            <v>P010AdvertorialFPBW</v>
          </cell>
          <cell r="L125" t="str">
            <v>Advertorial</v>
          </cell>
          <cell r="M125" t="str">
            <v>FPBW</v>
          </cell>
          <cell r="N125" t="str">
            <v>17.5X25</v>
          </cell>
          <cell r="O125" t="str">
            <v>23.8X29.6</v>
          </cell>
          <cell r="P125">
            <v>19080</v>
          </cell>
          <cell r="Q125">
            <v>0.35</v>
          </cell>
          <cell r="R125">
            <v>0.1</v>
          </cell>
          <cell r="AC125">
            <v>15</v>
          </cell>
          <cell r="AD125">
            <v>14</v>
          </cell>
          <cell r="AE125" t="str">
            <v>350 DPI</v>
          </cell>
          <cell r="AF125" t="str">
            <v>CD</v>
          </cell>
          <cell r="AG125">
            <v>119</v>
          </cell>
        </row>
        <row r="126">
          <cell r="A126" t="str">
            <v>TBKTSG</v>
          </cell>
          <cell r="B126" t="str">
            <v>11C</v>
          </cell>
          <cell r="F126" t="str">
            <v>Lan 0908290108</v>
          </cell>
          <cell r="K126" t="str">
            <v>TBKTSG</v>
          </cell>
          <cell r="L126" t="str">
            <v>Cover 3</v>
          </cell>
          <cell r="M126" t="str">
            <v>FPFC</v>
          </cell>
          <cell r="N126" t="str">
            <v>22X28.2</v>
          </cell>
          <cell r="O126" t="str">
            <v>23.8X29.6</v>
          </cell>
          <cell r="P126">
            <v>40700</v>
          </cell>
          <cell r="AG126">
            <v>120</v>
          </cell>
        </row>
        <row r="127">
          <cell r="A127" t="str">
            <v>P011</v>
          </cell>
          <cell r="B127" t="str">
            <v>THE THAO VH DAN ONG</v>
          </cell>
          <cell r="C127">
            <v>8484754</v>
          </cell>
          <cell r="D127">
            <v>8484753</v>
          </cell>
          <cell r="E127" t="str">
            <v>144A Ly Chinh Thang</v>
          </cell>
          <cell r="F127" t="str">
            <v>Ms Tham 0908678580</v>
          </cell>
          <cell r="G127" t="str">
            <v>25/ Monthly</v>
          </cell>
          <cell r="H127">
            <v>28500</v>
          </cell>
          <cell r="I127">
            <v>0.35</v>
          </cell>
          <cell r="J127">
            <v>0.1</v>
          </cell>
          <cell r="K127" t="str">
            <v>P011InsideFPFC</v>
          </cell>
          <cell r="L127" t="str">
            <v>Inside</v>
          </cell>
          <cell r="M127" t="str">
            <v>FPFC</v>
          </cell>
          <cell r="N127" t="str">
            <v>22X28.2</v>
          </cell>
          <cell r="O127" t="str">
            <v>24X29.6</v>
          </cell>
          <cell r="P127">
            <v>30800.000000000004</v>
          </cell>
          <cell r="Q127">
            <v>0.35</v>
          </cell>
          <cell r="R127">
            <v>0.1</v>
          </cell>
          <cell r="AC127">
            <v>15</v>
          </cell>
          <cell r="AD127">
            <v>14</v>
          </cell>
          <cell r="AE127" t="str">
            <v>350 DPI</v>
          </cell>
          <cell r="AF127" t="str">
            <v>CD</v>
          </cell>
          <cell r="AG127">
            <v>121</v>
          </cell>
        </row>
        <row r="128">
          <cell r="A128" t="str">
            <v>P011</v>
          </cell>
          <cell r="B128" t="str">
            <v>11C</v>
          </cell>
          <cell r="F128" t="str">
            <v>Lan 0908290108</v>
          </cell>
          <cell r="K128" t="str">
            <v>P011Cover 2FPFC</v>
          </cell>
          <cell r="L128" t="str">
            <v>Cover 2</v>
          </cell>
          <cell r="M128" t="str">
            <v>FPFC</v>
          </cell>
          <cell r="N128" t="str">
            <v>22X28.2</v>
          </cell>
          <cell r="O128" t="str">
            <v>23.8X29.6</v>
          </cell>
          <cell r="P128">
            <v>44000</v>
          </cell>
          <cell r="AG128">
            <v>122</v>
          </cell>
        </row>
        <row r="129">
          <cell r="A129" t="str">
            <v>P011</v>
          </cell>
          <cell r="K129" t="str">
            <v>P011Cover 3FPFC</v>
          </cell>
          <cell r="L129" t="str">
            <v>Cover 3</v>
          </cell>
          <cell r="M129" t="str">
            <v>FPFC</v>
          </cell>
          <cell r="N129" t="str">
            <v>22X28.2</v>
          </cell>
          <cell r="O129" t="str">
            <v>23.8X29.6</v>
          </cell>
          <cell r="P129">
            <v>40700</v>
          </cell>
          <cell r="AG129">
            <v>123</v>
          </cell>
        </row>
        <row r="130">
          <cell r="A130" t="str">
            <v>P011</v>
          </cell>
          <cell r="K130" t="str">
            <v>P011Cover 4FPFC</v>
          </cell>
          <cell r="L130" t="str">
            <v>Cover 4</v>
          </cell>
          <cell r="M130" t="str">
            <v>FPFC</v>
          </cell>
          <cell r="N130" t="str">
            <v>22.8X28.2</v>
          </cell>
          <cell r="O130" t="str">
            <v>23.8X29.6</v>
          </cell>
          <cell r="P130">
            <v>51700.000000000007</v>
          </cell>
          <cell r="AG130">
            <v>124</v>
          </cell>
        </row>
        <row r="131">
          <cell r="A131" t="str">
            <v>P011</v>
          </cell>
          <cell r="K131" t="str">
            <v>P011InsideHPFC</v>
          </cell>
          <cell r="L131" t="str">
            <v>Inside</v>
          </cell>
          <cell r="M131" t="str">
            <v>HPFC</v>
          </cell>
          <cell r="N131" t="str">
            <v>22X13.9</v>
          </cell>
          <cell r="O131" t="str">
            <v>23.8X29.6</v>
          </cell>
          <cell r="P131">
            <v>19800</v>
          </cell>
          <cell r="AG131">
            <v>125</v>
          </cell>
        </row>
        <row r="132">
          <cell r="A132" t="str">
            <v>P011</v>
          </cell>
          <cell r="K132" t="str">
            <v>P011InsideVPFC</v>
          </cell>
          <cell r="L132" t="str">
            <v>Inside</v>
          </cell>
          <cell r="M132" t="str">
            <v>VPFC</v>
          </cell>
          <cell r="N132" t="str">
            <v>10.8X28.2</v>
          </cell>
          <cell r="O132" t="str">
            <v>23.8X29.6</v>
          </cell>
          <cell r="P132">
            <v>19800</v>
          </cell>
          <cell r="AG132">
            <v>126</v>
          </cell>
        </row>
        <row r="133">
          <cell r="A133" t="str">
            <v>P011</v>
          </cell>
          <cell r="K133" t="str">
            <v>P011Inside1/3VPFC</v>
          </cell>
          <cell r="L133" t="str">
            <v>Inside</v>
          </cell>
          <cell r="M133" t="str">
            <v>1/3VPFC</v>
          </cell>
          <cell r="N133" t="str">
            <v>7.5X28.2</v>
          </cell>
          <cell r="O133" t="str">
            <v>23.8X29.6</v>
          </cell>
          <cell r="P133">
            <v>15400.000000000002</v>
          </cell>
          <cell r="AG133">
            <v>127</v>
          </cell>
        </row>
        <row r="134">
          <cell r="A134" t="str">
            <v>P011</v>
          </cell>
          <cell r="B134" t="str">
            <v>TBKTVN</v>
          </cell>
          <cell r="C134" t="str">
            <v>04 7552060</v>
          </cell>
          <cell r="D134" t="str">
            <v>04 7552046</v>
          </cell>
          <cell r="E134" t="str">
            <v>96 Hoang Quoc Viet-HN</v>
          </cell>
          <cell r="F134" t="str">
            <v>Thanh Huong 0903225653- 0989149676</v>
          </cell>
          <cell r="G134" t="str">
            <v>2,3,4,5,6/ weekly</v>
          </cell>
          <cell r="H134">
            <v>43000</v>
          </cell>
          <cell r="I134">
            <v>0.18</v>
          </cell>
          <cell r="K134" t="str">
            <v>P011FirstFPFC</v>
          </cell>
          <cell r="L134" t="str">
            <v>First</v>
          </cell>
          <cell r="M134" t="str">
            <v>FPFC</v>
          </cell>
          <cell r="N134" t="str">
            <v>22.8X28.2</v>
          </cell>
          <cell r="O134" t="str">
            <v>23.8X29.6</v>
          </cell>
          <cell r="P134">
            <v>37400</v>
          </cell>
          <cell r="Q134">
            <v>0.15</v>
          </cell>
          <cell r="AC134">
            <v>15</v>
          </cell>
          <cell r="AD134">
            <v>10</v>
          </cell>
          <cell r="AE134">
            <v>133</v>
          </cell>
          <cell r="AF134" t="str">
            <v>CD</v>
          </cell>
          <cell r="AG134">
            <v>128</v>
          </cell>
        </row>
        <row r="135">
          <cell r="A135" t="str">
            <v>P011</v>
          </cell>
          <cell r="B135" t="str">
            <v>7G</v>
          </cell>
          <cell r="C135" t="str">
            <v>04 7552060</v>
          </cell>
          <cell r="D135" t="str">
            <v>04 7552046</v>
          </cell>
          <cell r="E135" t="str">
            <v>96 Hoang Quoc Viet-HN</v>
          </cell>
          <cell r="F135" t="str">
            <v>Giang 0904584595</v>
          </cell>
          <cell r="G135" t="str">
            <v>Mon- Fri/ Weekly</v>
          </cell>
          <cell r="H135">
            <v>43000</v>
          </cell>
          <cell r="I135">
            <v>0.18</v>
          </cell>
          <cell r="K135" t="str">
            <v>P011SecondFPFC</v>
          </cell>
          <cell r="L135" t="str">
            <v>Second</v>
          </cell>
          <cell r="M135" t="str">
            <v>FPFC</v>
          </cell>
          <cell r="N135" t="str">
            <v>22.8X28.2</v>
          </cell>
          <cell r="O135" t="str">
            <v>23.8X29.6</v>
          </cell>
          <cell r="P135">
            <v>35200</v>
          </cell>
          <cell r="Q135">
            <v>0.15</v>
          </cell>
          <cell r="AC135">
            <v>15</v>
          </cell>
          <cell r="AD135">
            <v>10</v>
          </cell>
          <cell r="AE135">
            <v>133</v>
          </cell>
          <cell r="AF135" t="str">
            <v>CD</v>
          </cell>
          <cell r="AG135">
            <v>129</v>
          </cell>
        </row>
        <row r="136">
          <cell r="A136" t="str">
            <v>THE THAO VH DAN ONG</v>
          </cell>
          <cell r="B136" t="str">
            <v>7G</v>
          </cell>
          <cell r="F136" t="str">
            <v>Giang 0904584595</v>
          </cell>
          <cell r="K136" t="str">
            <v>THE THAO VH DAN ONG</v>
          </cell>
          <cell r="L136" t="str">
            <v>Inside</v>
          </cell>
          <cell r="M136" t="str">
            <v>FPBW</v>
          </cell>
          <cell r="N136" t="str">
            <v>25.5X38</v>
          </cell>
          <cell r="P136">
            <v>20113.5</v>
          </cell>
          <cell r="AG136">
            <v>130</v>
          </cell>
        </row>
        <row r="137">
          <cell r="A137" t="str">
            <v>P012</v>
          </cell>
          <cell r="B137" t="str">
            <v>TBKTVN</v>
          </cell>
          <cell r="C137" t="str">
            <v>04 7552060</v>
          </cell>
          <cell r="D137" t="str">
            <v>04 7552046</v>
          </cell>
          <cell r="E137" t="str">
            <v>96 Hoang Quoc Viet-HN</v>
          </cell>
          <cell r="F137" t="str">
            <v>Thanh Huong 0903225653- 0989149676</v>
          </cell>
          <cell r="G137" t="str">
            <v>Mon- Fri/ Weekly</v>
          </cell>
          <cell r="H137">
            <v>43000</v>
          </cell>
          <cell r="I137">
            <v>0.18</v>
          </cell>
          <cell r="K137" t="str">
            <v>P012Cover 4FPFC</v>
          </cell>
          <cell r="L137" t="str">
            <v>Cover 4</v>
          </cell>
          <cell r="M137" t="str">
            <v>FPFC</v>
          </cell>
          <cell r="N137" t="str">
            <v>25.5X38</v>
          </cell>
          <cell r="P137">
            <v>29733</v>
          </cell>
          <cell r="Q137">
            <v>0.15</v>
          </cell>
          <cell r="AC137">
            <v>15</v>
          </cell>
          <cell r="AD137">
            <v>10</v>
          </cell>
          <cell r="AE137">
            <v>133</v>
          </cell>
          <cell r="AF137" t="str">
            <v>CD</v>
          </cell>
          <cell r="AG137">
            <v>131</v>
          </cell>
        </row>
        <row r="138">
          <cell r="A138" t="str">
            <v>P012</v>
          </cell>
          <cell r="B138" t="str">
            <v>7G</v>
          </cell>
          <cell r="F138" t="str">
            <v>Giang 0904584595</v>
          </cell>
          <cell r="K138" t="str">
            <v>P012InsideFPFC</v>
          </cell>
          <cell r="L138" t="str">
            <v>Inside</v>
          </cell>
          <cell r="M138" t="str">
            <v>FPFC</v>
          </cell>
          <cell r="N138" t="str">
            <v>25.5X38</v>
          </cell>
          <cell r="P138">
            <v>26235</v>
          </cell>
          <cell r="AG138">
            <v>132</v>
          </cell>
        </row>
        <row r="139">
          <cell r="A139" t="str">
            <v>P012</v>
          </cell>
          <cell r="K139" t="str">
            <v>P012InsideFPBW</v>
          </cell>
          <cell r="L139" t="str">
            <v>Inside</v>
          </cell>
          <cell r="M139" t="str">
            <v>FPBW</v>
          </cell>
          <cell r="N139" t="str">
            <v>25.5X38</v>
          </cell>
          <cell r="P139">
            <v>20113.5</v>
          </cell>
          <cell r="AG139">
            <v>133</v>
          </cell>
        </row>
        <row r="140">
          <cell r="A140" t="str">
            <v>P012</v>
          </cell>
          <cell r="B140" t="str">
            <v>E- CHIP MOBILE M</v>
          </cell>
          <cell r="C140" t="str">
            <v>04 7722764</v>
          </cell>
          <cell r="D140" t="str">
            <v>04 7722734</v>
          </cell>
          <cell r="E140" t="str">
            <v>4 Lang Ha, Ba Dinh, Ha Noi</v>
          </cell>
          <cell r="F140" t="str">
            <v>Cuong 0913513366</v>
          </cell>
          <cell r="G140" t="str">
            <v>5th/ Monthly</v>
          </cell>
          <cell r="K140" t="str">
            <v>P012InsideHPFC</v>
          </cell>
          <cell r="L140" t="str">
            <v>Inside</v>
          </cell>
          <cell r="M140" t="str">
            <v>HPFC</v>
          </cell>
          <cell r="N140" t="str">
            <v>25.5X18.5</v>
          </cell>
          <cell r="P140">
            <v>15741</v>
          </cell>
          <cell r="Q140">
            <v>0.25</v>
          </cell>
          <cell r="AC140">
            <v>15</v>
          </cell>
          <cell r="AD140">
            <v>10</v>
          </cell>
          <cell r="AE140" t="str">
            <v>300 DPI</v>
          </cell>
          <cell r="AF140" t="str">
            <v>CD</v>
          </cell>
          <cell r="AG140">
            <v>134</v>
          </cell>
        </row>
        <row r="141">
          <cell r="A141" t="str">
            <v>P012</v>
          </cell>
          <cell r="B141" t="str">
            <v>E- CHIP MOBILE M</v>
          </cell>
          <cell r="C141" t="str">
            <v>04 7722764</v>
          </cell>
          <cell r="D141" t="str">
            <v>04 7722734</v>
          </cell>
          <cell r="E141" t="str">
            <v>4 Lang Ha, Ba Dinh, Ha Noi</v>
          </cell>
          <cell r="F141" t="str">
            <v>Cuong 0913513366</v>
          </cell>
          <cell r="G141" t="str">
            <v>5th/ Monthly</v>
          </cell>
          <cell r="K141" t="str">
            <v>P012InsideHPBW</v>
          </cell>
          <cell r="L141" t="str">
            <v>Inside</v>
          </cell>
          <cell r="M141" t="str">
            <v>HPBW</v>
          </cell>
          <cell r="N141" t="str">
            <v>25.5X18.5</v>
          </cell>
          <cell r="P141">
            <v>12068.1</v>
          </cell>
          <cell r="Q141">
            <v>0.25</v>
          </cell>
          <cell r="AC141">
            <v>15</v>
          </cell>
          <cell r="AD141">
            <v>10</v>
          </cell>
          <cell r="AE141" t="str">
            <v>300 DPI</v>
          </cell>
          <cell r="AF141" t="str">
            <v>CD</v>
          </cell>
          <cell r="AG141">
            <v>135</v>
          </cell>
        </row>
        <row r="142">
          <cell r="A142" t="str">
            <v>P012</v>
          </cell>
          <cell r="B142" t="str">
            <v>1G</v>
          </cell>
          <cell r="C142" t="str">
            <v>04 7722764</v>
          </cell>
          <cell r="D142" t="str">
            <v>04 7722734</v>
          </cell>
          <cell r="E142" t="str">
            <v>4 Lang Ha, Ba Dinh, Ha Noi</v>
          </cell>
          <cell r="F142" t="str">
            <v>Cuong 0913513366</v>
          </cell>
          <cell r="G142" t="str">
            <v>5/ Monthly</v>
          </cell>
          <cell r="K142" t="str">
            <v>P012InsideJPFC</v>
          </cell>
          <cell r="L142" t="str">
            <v>Inside</v>
          </cell>
          <cell r="M142" t="str">
            <v>JPFC</v>
          </cell>
          <cell r="N142" t="str">
            <v>20.5X28</v>
          </cell>
          <cell r="P142">
            <v>15741</v>
          </cell>
          <cell r="Q142">
            <v>0.25</v>
          </cell>
          <cell r="AC142">
            <v>15</v>
          </cell>
          <cell r="AD142">
            <v>10</v>
          </cell>
          <cell r="AE142" t="str">
            <v>300 DPI</v>
          </cell>
          <cell r="AF142" t="str">
            <v>CD</v>
          </cell>
          <cell r="AG142">
            <v>136</v>
          </cell>
        </row>
        <row r="143">
          <cell r="A143" t="str">
            <v>TBKTVN</v>
          </cell>
          <cell r="B143" t="str">
            <v>1G</v>
          </cell>
          <cell r="K143" t="str">
            <v>TBKTVN</v>
          </cell>
          <cell r="L143" t="str">
            <v>Cover 3</v>
          </cell>
          <cell r="M143" t="str">
            <v>FPFC</v>
          </cell>
          <cell r="N143" t="str">
            <v>22.5X29.5</v>
          </cell>
          <cell r="P143">
            <v>25300.000000000004</v>
          </cell>
          <cell r="AG143">
            <v>137</v>
          </cell>
        </row>
        <row r="144">
          <cell r="A144" t="str">
            <v>P013</v>
          </cell>
          <cell r="B144" t="str">
            <v>E- CHIP MOBILE M</v>
          </cell>
          <cell r="C144" t="str">
            <v>04 7722764</v>
          </cell>
          <cell r="D144" t="str">
            <v>04 7722734</v>
          </cell>
          <cell r="E144" t="str">
            <v>4 Lang Ha, Ba Dinh, Ha Noi</v>
          </cell>
          <cell r="F144" t="str">
            <v>Cuong 0913513366</v>
          </cell>
          <cell r="G144" t="str">
            <v>5/ Monthly</v>
          </cell>
          <cell r="K144" t="str">
            <v>P013Cover 4FPFC</v>
          </cell>
          <cell r="L144" t="str">
            <v>Cover 4</v>
          </cell>
          <cell r="M144" t="str">
            <v>FPFC</v>
          </cell>
          <cell r="N144" t="str">
            <v>22.5X29.5</v>
          </cell>
          <cell r="P144">
            <v>41800</v>
          </cell>
          <cell r="Q144">
            <v>0.25</v>
          </cell>
          <cell r="AC144">
            <v>15</v>
          </cell>
          <cell r="AD144">
            <v>10</v>
          </cell>
          <cell r="AE144" t="str">
            <v>300 DPI</v>
          </cell>
          <cell r="AF144" t="str">
            <v>CD</v>
          </cell>
          <cell r="AG144">
            <v>138</v>
          </cell>
        </row>
        <row r="145">
          <cell r="A145" t="str">
            <v>P013</v>
          </cell>
          <cell r="B145" t="str">
            <v>1G</v>
          </cell>
          <cell r="C145" t="str">
            <v>04 7722764</v>
          </cell>
          <cell r="D145" t="str">
            <v>04 7722734</v>
          </cell>
          <cell r="E145" t="str">
            <v>4 Lang Ha, Ba Dinh, Ha Noi</v>
          </cell>
          <cell r="F145" t="str">
            <v>Cuong 0913513366</v>
          </cell>
          <cell r="G145" t="str">
            <v>4/ Weekly</v>
          </cell>
          <cell r="K145" t="str">
            <v>P013Cover 2FPFC</v>
          </cell>
          <cell r="L145" t="str">
            <v>Cover 2</v>
          </cell>
          <cell r="M145" t="str">
            <v>FPFC</v>
          </cell>
          <cell r="N145" t="str">
            <v>22.5X29.5</v>
          </cell>
          <cell r="P145">
            <v>28600.000000000004</v>
          </cell>
          <cell r="Q145">
            <v>0.25</v>
          </cell>
          <cell r="AC145">
            <v>15</v>
          </cell>
          <cell r="AD145">
            <v>10</v>
          </cell>
          <cell r="AE145" t="str">
            <v>300 DPI</v>
          </cell>
          <cell r="AF145" t="str">
            <v>CD</v>
          </cell>
          <cell r="AG145">
            <v>139</v>
          </cell>
        </row>
        <row r="146">
          <cell r="A146" t="str">
            <v>P013</v>
          </cell>
          <cell r="B146" t="str">
            <v>E- CHIP MOBILE W</v>
          </cell>
          <cell r="C146" t="str">
            <v>04 7722764</v>
          </cell>
          <cell r="D146" t="str">
            <v>04 7722734</v>
          </cell>
          <cell r="E146" t="str">
            <v>4 Lang Ha, Ba Dinh, Ha Noi</v>
          </cell>
          <cell r="F146" t="str">
            <v>Cuong 0913513366</v>
          </cell>
          <cell r="G146" t="str">
            <v>4/ Weekly</v>
          </cell>
          <cell r="K146" t="str">
            <v>P013Cover 3FPFC</v>
          </cell>
          <cell r="L146" t="str">
            <v>Cover 3</v>
          </cell>
          <cell r="M146" t="str">
            <v>FPFC</v>
          </cell>
          <cell r="N146" t="str">
            <v>22.5X29.5</v>
          </cell>
          <cell r="P146">
            <v>25300.000000000004</v>
          </cell>
          <cell r="Q146">
            <v>0.25</v>
          </cell>
          <cell r="AC146">
            <v>15</v>
          </cell>
          <cell r="AD146">
            <v>10</v>
          </cell>
          <cell r="AE146" t="str">
            <v>300 DPI</v>
          </cell>
          <cell r="AF146" t="str">
            <v>CD</v>
          </cell>
          <cell r="AG146">
            <v>140</v>
          </cell>
        </row>
        <row r="147">
          <cell r="A147" t="str">
            <v>P013</v>
          </cell>
          <cell r="B147" t="str">
            <v>1G</v>
          </cell>
          <cell r="C147" t="str">
            <v>04 7722764</v>
          </cell>
          <cell r="D147" t="str">
            <v>04 7722734</v>
          </cell>
          <cell r="E147" t="str">
            <v>4 Lang Ha, Ba Dinh, Ha Noi</v>
          </cell>
          <cell r="F147" t="str">
            <v>Cuong 0913513366</v>
          </cell>
          <cell r="G147" t="str">
            <v>Wed/ Weekly</v>
          </cell>
          <cell r="K147" t="str">
            <v>P013InsideFPFC</v>
          </cell>
          <cell r="L147" t="str">
            <v>Inside</v>
          </cell>
          <cell r="M147" t="str">
            <v>FPFC</v>
          </cell>
          <cell r="N147" t="str">
            <v>22.5X29.5</v>
          </cell>
          <cell r="P147">
            <v>18700</v>
          </cell>
          <cell r="Q147">
            <v>0.25</v>
          </cell>
          <cell r="AC147">
            <v>15</v>
          </cell>
          <cell r="AD147">
            <v>10</v>
          </cell>
          <cell r="AE147" t="str">
            <v>300 DPI</v>
          </cell>
          <cell r="AF147" t="str">
            <v>CD</v>
          </cell>
          <cell r="AG147">
            <v>141</v>
          </cell>
        </row>
        <row r="148">
          <cell r="A148" t="str">
            <v>E- CHIP MOBILE M</v>
          </cell>
          <cell r="B148" t="str">
            <v>1G</v>
          </cell>
          <cell r="K148" t="str">
            <v>E- CHIP MOBILE M</v>
          </cell>
          <cell r="L148" t="str">
            <v>Cover 3</v>
          </cell>
          <cell r="M148" t="str">
            <v>FPFC</v>
          </cell>
          <cell r="N148" t="str">
            <v>20X28</v>
          </cell>
          <cell r="P148">
            <v>12100.000000000002</v>
          </cell>
          <cell r="AG148">
            <v>142</v>
          </cell>
        </row>
        <row r="149">
          <cell r="A149" t="str">
            <v>P014</v>
          </cell>
          <cell r="B149" t="str">
            <v>E- CHIP MOBILE W</v>
          </cell>
          <cell r="C149" t="str">
            <v>04 7722764</v>
          </cell>
          <cell r="D149" t="str">
            <v>04 7722734</v>
          </cell>
          <cell r="E149" t="str">
            <v>4 Lang Ha, Ba Dinh, Ha Noi</v>
          </cell>
          <cell r="F149" t="str">
            <v>Cuong 0913513366</v>
          </cell>
          <cell r="G149" t="str">
            <v>Wed/ Weekly</v>
          </cell>
          <cell r="K149" t="str">
            <v>P014Cover 4FPFC</v>
          </cell>
          <cell r="L149" t="str">
            <v>Cover 4</v>
          </cell>
          <cell r="M149" t="str">
            <v>FPFC</v>
          </cell>
          <cell r="N149" t="str">
            <v>20X28</v>
          </cell>
          <cell r="P149">
            <v>22000</v>
          </cell>
          <cell r="Q149">
            <v>0.25</v>
          </cell>
          <cell r="AC149">
            <v>15</v>
          </cell>
          <cell r="AD149">
            <v>10</v>
          </cell>
          <cell r="AE149" t="str">
            <v>300 DPI</v>
          </cell>
          <cell r="AF149" t="str">
            <v>CD</v>
          </cell>
          <cell r="AG149">
            <v>143</v>
          </cell>
        </row>
        <row r="150">
          <cell r="A150" t="str">
            <v>P014</v>
          </cell>
          <cell r="B150" t="str">
            <v>1G</v>
          </cell>
          <cell r="C150">
            <v>8426741</v>
          </cell>
          <cell r="D150">
            <v>8116269</v>
          </cell>
          <cell r="E150" t="str">
            <v>so 4 Huynh Huu Bac</v>
          </cell>
          <cell r="F150" t="str">
            <v>Dong- 0989035725</v>
          </cell>
          <cell r="G150" t="str">
            <v>1st/ monthly</v>
          </cell>
          <cell r="H150">
            <v>35000</v>
          </cell>
          <cell r="I150">
            <v>0.3</v>
          </cell>
          <cell r="K150" t="str">
            <v>P014Cover 2FPFC</v>
          </cell>
          <cell r="L150" t="str">
            <v>Cover 2</v>
          </cell>
          <cell r="M150" t="str">
            <v>FPFC</v>
          </cell>
          <cell r="N150" t="str">
            <v>20X28</v>
          </cell>
          <cell r="P150">
            <v>15400.000000000002</v>
          </cell>
          <cell r="Q150">
            <v>0.3</v>
          </cell>
          <cell r="AC150">
            <v>15</v>
          </cell>
          <cell r="AD150">
            <v>10</v>
          </cell>
          <cell r="AE150" t="str">
            <v>300 DPI</v>
          </cell>
          <cell r="AF150" t="str">
            <v>CD</v>
          </cell>
          <cell r="AG150">
            <v>144</v>
          </cell>
        </row>
        <row r="151">
          <cell r="A151" t="str">
            <v>P014</v>
          </cell>
          <cell r="B151" t="str">
            <v>OTO &amp; XE MAY</v>
          </cell>
          <cell r="C151">
            <v>8426741</v>
          </cell>
          <cell r="D151">
            <v>8116269</v>
          </cell>
          <cell r="E151" t="str">
            <v>so 4 Huynh Huu Bac</v>
          </cell>
          <cell r="F151" t="str">
            <v>Dong- 0989035725</v>
          </cell>
          <cell r="G151" t="str">
            <v>1st/ monthly</v>
          </cell>
          <cell r="H151">
            <v>35000</v>
          </cell>
          <cell r="I151">
            <v>0.3</v>
          </cell>
          <cell r="K151" t="str">
            <v>P014Cover 3FPFC</v>
          </cell>
          <cell r="L151" t="str">
            <v>Cover 3</v>
          </cell>
          <cell r="M151" t="str">
            <v>FPFC</v>
          </cell>
          <cell r="N151" t="str">
            <v>20X28</v>
          </cell>
          <cell r="P151">
            <v>12100.000000000002</v>
          </cell>
          <cell r="Q151">
            <v>0.3</v>
          </cell>
          <cell r="AC151">
            <v>15</v>
          </cell>
          <cell r="AD151">
            <v>10</v>
          </cell>
          <cell r="AE151" t="str">
            <v>300 DPI</v>
          </cell>
          <cell r="AF151" t="str">
            <v>CD</v>
          </cell>
          <cell r="AG151">
            <v>145</v>
          </cell>
        </row>
        <row r="152">
          <cell r="A152" t="str">
            <v>P014</v>
          </cell>
          <cell r="B152" t="str">
            <v>9I</v>
          </cell>
          <cell r="C152">
            <v>8426741</v>
          </cell>
          <cell r="D152">
            <v>8116269</v>
          </cell>
          <cell r="E152" t="str">
            <v>so 4 Huynh Huu Bac</v>
          </cell>
          <cell r="F152" t="str">
            <v>Dong- 0989035725</v>
          </cell>
          <cell r="G152" t="str">
            <v>1/ Monthly</v>
          </cell>
          <cell r="H152">
            <v>35000</v>
          </cell>
          <cell r="I152">
            <v>0.3</v>
          </cell>
          <cell r="K152" t="str">
            <v>P014InsideFPFC</v>
          </cell>
          <cell r="L152" t="str">
            <v>Inside</v>
          </cell>
          <cell r="M152" t="str">
            <v>FPFC</v>
          </cell>
          <cell r="N152" t="str">
            <v>20X28</v>
          </cell>
          <cell r="P152">
            <v>7700.0000000000009</v>
          </cell>
          <cell r="Q152">
            <v>0.3</v>
          </cell>
          <cell r="AC152">
            <v>15</v>
          </cell>
          <cell r="AD152">
            <v>14</v>
          </cell>
          <cell r="AE152" t="str">
            <v>300 DPI</v>
          </cell>
          <cell r="AF152" t="str">
            <v>CD</v>
          </cell>
          <cell r="AG152">
            <v>146</v>
          </cell>
        </row>
        <row r="153">
          <cell r="A153" t="str">
            <v>E- CHIP MOBILE W</v>
          </cell>
          <cell r="B153" t="str">
            <v>9I</v>
          </cell>
          <cell r="K153" t="str">
            <v>E- CHIP MOBILE W</v>
          </cell>
          <cell r="L153" t="str">
            <v>Cover 3</v>
          </cell>
          <cell r="M153" t="str">
            <v>FPFC</v>
          </cell>
          <cell r="N153" t="str">
            <v>21X28.5</v>
          </cell>
          <cell r="P153">
            <v>63751.05000000001</v>
          </cell>
          <cell r="AG153">
            <v>147</v>
          </cell>
        </row>
        <row r="154">
          <cell r="A154" t="str">
            <v>P015</v>
          </cell>
          <cell r="B154" t="str">
            <v>OTO &amp; XE MAY</v>
          </cell>
          <cell r="C154">
            <v>8426741</v>
          </cell>
          <cell r="D154">
            <v>8116269</v>
          </cell>
          <cell r="E154" t="str">
            <v>so 4 Huynh Huu Bac</v>
          </cell>
          <cell r="F154" t="str">
            <v>Dong- 0989035725</v>
          </cell>
          <cell r="G154" t="str">
            <v>1/ Monthly</v>
          </cell>
          <cell r="H154">
            <v>35000</v>
          </cell>
          <cell r="I154">
            <v>0.3</v>
          </cell>
          <cell r="K154" t="str">
            <v>P015InsideFPFC</v>
          </cell>
          <cell r="L154" t="str">
            <v>Inside</v>
          </cell>
          <cell r="M154" t="str">
            <v>FPFC</v>
          </cell>
          <cell r="N154" t="str">
            <v>21X28.5</v>
          </cell>
          <cell r="P154">
            <v>42500.700000000004</v>
          </cell>
          <cell r="Q154">
            <v>0.3</v>
          </cell>
          <cell r="AC154">
            <v>15</v>
          </cell>
          <cell r="AD154">
            <v>14</v>
          </cell>
          <cell r="AE154" t="str">
            <v>300 DPI</v>
          </cell>
          <cell r="AF154" t="str">
            <v>CD</v>
          </cell>
          <cell r="AG154">
            <v>148</v>
          </cell>
        </row>
        <row r="155">
          <cell r="A155" t="str">
            <v>P015</v>
          </cell>
          <cell r="B155" t="str">
            <v>9I</v>
          </cell>
          <cell r="K155" t="str">
            <v>P015Cover 2FPFC</v>
          </cell>
          <cell r="L155" t="str">
            <v>Cover 2</v>
          </cell>
          <cell r="M155" t="str">
            <v>FPFC</v>
          </cell>
          <cell r="N155" t="str">
            <v>21X28.5</v>
          </cell>
          <cell r="P155">
            <v>63751.05000000001</v>
          </cell>
          <cell r="AG155">
            <v>149</v>
          </cell>
        </row>
        <row r="156">
          <cell r="A156" t="str">
            <v>P015</v>
          </cell>
          <cell r="B156" t="str">
            <v>MY THUAT</v>
          </cell>
          <cell r="C156">
            <v>8211181</v>
          </cell>
          <cell r="D156">
            <v>8211175</v>
          </cell>
          <cell r="E156" t="str">
            <v>92 NKKN Q1 HCM</v>
          </cell>
          <cell r="F156" t="str">
            <v>Mr Diep 0903940788</v>
          </cell>
          <cell r="G156" t="str">
            <v>15/ Monthly</v>
          </cell>
          <cell r="H156">
            <v>52000</v>
          </cell>
          <cell r="I156">
            <v>0.3</v>
          </cell>
          <cell r="J156">
            <v>0.15</v>
          </cell>
          <cell r="K156" t="str">
            <v>P015Cover 3FPFC</v>
          </cell>
          <cell r="L156" t="str">
            <v>Cover 3</v>
          </cell>
          <cell r="M156" t="str">
            <v>FPFC</v>
          </cell>
          <cell r="N156" t="str">
            <v>21X28.5</v>
          </cell>
          <cell r="P156">
            <v>63751.05000000001</v>
          </cell>
          <cell r="AC156">
            <v>15</v>
          </cell>
          <cell r="AD156">
            <v>10</v>
          </cell>
          <cell r="AE156" t="str">
            <v>300 DPI</v>
          </cell>
          <cell r="AF156" t="str">
            <v>CD</v>
          </cell>
          <cell r="AG156">
            <v>150</v>
          </cell>
        </row>
        <row r="157">
          <cell r="A157" t="str">
            <v>P015</v>
          </cell>
          <cell r="B157" t="str">
            <v>MY THUAT</v>
          </cell>
          <cell r="C157">
            <v>8211181</v>
          </cell>
          <cell r="D157">
            <v>8211175</v>
          </cell>
          <cell r="E157" t="str">
            <v>92 NKKN Q1 HCM</v>
          </cell>
          <cell r="F157" t="str">
            <v>Mr Diep 0903940788</v>
          </cell>
          <cell r="G157" t="str">
            <v>15/ Monthly</v>
          </cell>
          <cell r="H157">
            <v>52000</v>
          </cell>
          <cell r="I157">
            <v>0.3</v>
          </cell>
          <cell r="J157">
            <v>0.15</v>
          </cell>
          <cell r="K157" t="str">
            <v>P015Cover 4FPFC</v>
          </cell>
          <cell r="L157" t="str">
            <v>Cover 4</v>
          </cell>
          <cell r="M157" t="str">
            <v>FPFC</v>
          </cell>
          <cell r="N157" t="str">
            <v>21X28.5</v>
          </cell>
          <cell r="P157">
            <v>85176.3</v>
          </cell>
          <cell r="AC157">
            <v>15</v>
          </cell>
          <cell r="AD157">
            <v>10</v>
          </cell>
          <cell r="AE157" t="str">
            <v>300 DPI</v>
          </cell>
          <cell r="AF157" t="str">
            <v>CD</v>
          </cell>
          <cell r="AG157">
            <v>151</v>
          </cell>
        </row>
        <row r="158">
          <cell r="A158" t="str">
            <v>P015</v>
          </cell>
          <cell r="B158" t="str">
            <v>11I</v>
          </cell>
          <cell r="C158">
            <v>8211181</v>
          </cell>
          <cell r="D158">
            <v>8211175</v>
          </cell>
          <cell r="E158" t="str">
            <v>92 NKKN Q1 HCM</v>
          </cell>
          <cell r="F158" t="str">
            <v>Mr Diep 0903940788</v>
          </cell>
          <cell r="G158" t="str">
            <v>15/ Monthly</v>
          </cell>
          <cell r="H158">
            <v>52000</v>
          </cell>
          <cell r="I158">
            <v>0.3</v>
          </cell>
          <cell r="J158">
            <v>0.15</v>
          </cell>
          <cell r="K158" t="str">
            <v>P015FirstFPFC</v>
          </cell>
          <cell r="L158" t="str">
            <v>First</v>
          </cell>
          <cell r="M158" t="str">
            <v>FPFC</v>
          </cell>
          <cell r="N158" t="str">
            <v>21X28.5</v>
          </cell>
          <cell r="P158">
            <v>63751.05000000001</v>
          </cell>
          <cell r="AC158">
            <v>15</v>
          </cell>
          <cell r="AD158">
            <v>14</v>
          </cell>
          <cell r="AE158" t="str">
            <v>300 DPI</v>
          </cell>
          <cell r="AF158" t="str">
            <v>CD</v>
          </cell>
          <cell r="AG158">
            <v>152</v>
          </cell>
        </row>
        <row r="159">
          <cell r="A159" t="str">
            <v>OTO &amp; XE MAY</v>
          </cell>
          <cell r="B159" t="str">
            <v>11I</v>
          </cell>
          <cell r="K159" t="str">
            <v>OTO &amp; XE MAY</v>
          </cell>
          <cell r="L159" t="str">
            <v>Cover 2</v>
          </cell>
          <cell r="M159" t="str">
            <v>FPFC</v>
          </cell>
          <cell r="N159" t="str">
            <v>21X27.5</v>
          </cell>
          <cell r="P159">
            <v>69960</v>
          </cell>
          <cell r="AG159">
            <v>153</v>
          </cell>
        </row>
        <row r="160">
          <cell r="A160" t="str">
            <v>P016</v>
          </cell>
          <cell r="B160" t="str">
            <v>MY THUAT</v>
          </cell>
          <cell r="C160">
            <v>8211181</v>
          </cell>
          <cell r="D160">
            <v>8211175</v>
          </cell>
          <cell r="E160" t="str">
            <v>92 NKKN Q1 HCM</v>
          </cell>
          <cell r="F160" t="str">
            <v>Mr Diep 0903940788</v>
          </cell>
          <cell r="G160" t="str">
            <v>15/ Monthly</v>
          </cell>
          <cell r="H160">
            <v>52000</v>
          </cell>
          <cell r="I160">
            <v>0.3</v>
          </cell>
          <cell r="J160">
            <v>0.15</v>
          </cell>
          <cell r="K160" t="str">
            <v>P016Cover 4FPFC</v>
          </cell>
          <cell r="L160" t="str">
            <v>Cover 4</v>
          </cell>
          <cell r="M160" t="str">
            <v>FPFC</v>
          </cell>
          <cell r="N160" t="str">
            <v>21X27.5</v>
          </cell>
          <cell r="P160">
            <v>78705</v>
          </cell>
          <cell r="U160">
            <v>0.3</v>
          </cell>
          <cell r="V160">
            <v>0.15</v>
          </cell>
          <cell r="AC160">
            <v>15</v>
          </cell>
          <cell r="AD160">
            <v>14</v>
          </cell>
          <cell r="AE160" t="str">
            <v>300 DPI</v>
          </cell>
          <cell r="AF160" t="str">
            <v>CD</v>
          </cell>
          <cell r="AG160">
            <v>154</v>
          </cell>
        </row>
        <row r="161">
          <cell r="A161" t="str">
            <v>P016</v>
          </cell>
          <cell r="B161" t="str">
            <v>11I</v>
          </cell>
          <cell r="C161">
            <v>47718267</v>
          </cell>
          <cell r="D161">
            <v>47716433</v>
          </cell>
          <cell r="E161" t="str">
            <v>43 Nguyen Chi Thanh _ HN</v>
          </cell>
          <cell r="F161" t="str">
            <v>Ms Nga 0903261705</v>
          </cell>
          <cell r="G161" t="str">
            <v>1,15/ Monthly</v>
          </cell>
          <cell r="K161" t="str">
            <v>P016Cover 3FPFC</v>
          </cell>
          <cell r="L161" t="str">
            <v>Cover 3</v>
          </cell>
          <cell r="M161" t="str">
            <v>FPFC</v>
          </cell>
          <cell r="N161" t="str">
            <v>21X27.5</v>
          </cell>
          <cell r="P161">
            <v>62964.000000000007</v>
          </cell>
          <cell r="AC161">
            <v>15</v>
          </cell>
          <cell r="AD161">
            <v>10</v>
          </cell>
          <cell r="AE161">
            <v>150</v>
          </cell>
          <cell r="AF161" t="str">
            <v>CD</v>
          </cell>
          <cell r="AG161">
            <v>155</v>
          </cell>
        </row>
        <row r="162">
          <cell r="A162" t="str">
            <v>P016</v>
          </cell>
          <cell r="B162" t="str">
            <v>TAP CHI VTV</v>
          </cell>
          <cell r="C162">
            <v>47718267</v>
          </cell>
          <cell r="D162">
            <v>47716433</v>
          </cell>
          <cell r="E162" t="str">
            <v>43 Nguyen Chi Thanh _ HN</v>
          </cell>
          <cell r="F162" t="str">
            <v>Ms Nga 0903261705</v>
          </cell>
          <cell r="G162" t="str">
            <v>1,15/ Monthly</v>
          </cell>
          <cell r="K162" t="str">
            <v>P016Cover 2FPFC</v>
          </cell>
          <cell r="L162" t="str">
            <v>Cover 2</v>
          </cell>
          <cell r="M162" t="str">
            <v>FPFC</v>
          </cell>
          <cell r="N162" t="str">
            <v>21X27.5</v>
          </cell>
          <cell r="P162">
            <v>69960</v>
          </cell>
          <cell r="AC162">
            <v>15</v>
          </cell>
          <cell r="AD162">
            <v>10</v>
          </cell>
          <cell r="AE162">
            <v>150</v>
          </cell>
          <cell r="AF162" t="str">
            <v>CD</v>
          </cell>
          <cell r="AG162">
            <v>156</v>
          </cell>
        </row>
        <row r="163">
          <cell r="A163" t="str">
            <v>P016</v>
          </cell>
          <cell r="B163" t="str">
            <v>12I</v>
          </cell>
          <cell r="C163">
            <v>47718267</v>
          </cell>
          <cell r="D163">
            <v>47716433</v>
          </cell>
          <cell r="E163" t="str">
            <v>43 Nguyen Chi Thanh _ HN</v>
          </cell>
          <cell r="F163" t="str">
            <v>Ms Nga 0903261705</v>
          </cell>
          <cell r="G163" t="str">
            <v>1,15/ Monthly</v>
          </cell>
          <cell r="K163" t="str">
            <v>P016InsideFPFC</v>
          </cell>
          <cell r="L163" t="str">
            <v>Inside</v>
          </cell>
          <cell r="M163" t="str">
            <v>FPFC</v>
          </cell>
          <cell r="N163" t="str">
            <v>21X27.5</v>
          </cell>
          <cell r="P163">
            <v>43725</v>
          </cell>
          <cell r="AC163">
            <v>15</v>
          </cell>
          <cell r="AD163">
            <v>10</v>
          </cell>
          <cell r="AE163">
            <v>150</v>
          </cell>
          <cell r="AF163" t="str">
            <v>CD</v>
          </cell>
          <cell r="AG163">
            <v>157</v>
          </cell>
        </row>
        <row r="164">
          <cell r="A164" t="str">
            <v>MY THUAT</v>
          </cell>
          <cell r="B164" t="str">
            <v>12I</v>
          </cell>
          <cell r="K164" t="str">
            <v>MY THUAT</v>
          </cell>
          <cell r="L164" t="str">
            <v>Cover 3</v>
          </cell>
          <cell r="M164" t="str">
            <v>FPFC</v>
          </cell>
          <cell r="N164" t="str">
            <v>18.5X26.5</v>
          </cell>
          <cell r="P164">
            <v>15000</v>
          </cell>
          <cell r="AG164">
            <v>158</v>
          </cell>
        </row>
        <row r="165">
          <cell r="A165" t="str">
            <v>P017</v>
          </cell>
          <cell r="B165" t="str">
            <v>TAP CHI VTV</v>
          </cell>
          <cell r="C165">
            <v>47718267</v>
          </cell>
          <cell r="D165">
            <v>47716433</v>
          </cell>
          <cell r="E165" t="str">
            <v>43 Nguyen Chi Thanh _ HN</v>
          </cell>
          <cell r="F165" t="str">
            <v>Ms Nga 0903261705</v>
          </cell>
          <cell r="G165" t="str">
            <v>1,15/ Monthly</v>
          </cell>
          <cell r="K165" t="str">
            <v>P017Cover 4FPFC</v>
          </cell>
          <cell r="L165" t="str">
            <v>Cover 4</v>
          </cell>
          <cell r="M165" t="str">
            <v>FPFC</v>
          </cell>
          <cell r="N165" t="str">
            <v>18.5X26.5</v>
          </cell>
          <cell r="P165">
            <v>20000</v>
          </cell>
          <cell r="AC165">
            <v>15</v>
          </cell>
          <cell r="AD165">
            <v>10</v>
          </cell>
          <cell r="AE165">
            <v>150</v>
          </cell>
          <cell r="AF165" t="str">
            <v>CD</v>
          </cell>
          <cell r="AG165">
            <v>159</v>
          </cell>
        </row>
        <row r="166">
          <cell r="A166" t="str">
            <v>P017</v>
          </cell>
          <cell r="B166" t="str">
            <v>12I</v>
          </cell>
          <cell r="C166" t="str">
            <v>8368361/ 9304605</v>
          </cell>
          <cell r="D166" t="str">
            <v>8368005/ 9304609</v>
          </cell>
          <cell r="E166" t="str">
            <v>68 Tran Hung Dao Q1 HCM/ Cty An Minh 80 Vo Van Tan, P6, Q3</v>
          </cell>
          <cell r="F166" t="str">
            <v>Mr Khanh 0918188188
0919089936</v>
          </cell>
          <cell r="G166" t="str">
            <v>1,10,20/ Monthly</v>
          </cell>
          <cell r="H166">
            <v>75000</v>
          </cell>
          <cell r="I166">
            <v>0.2</v>
          </cell>
          <cell r="K166" t="str">
            <v>P017Cover 2FPFC</v>
          </cell>
          <cell r="L166" t="str">
            <v>Cover 2</v>
          </cell>
          <cell r="M166" t="str">
            <v>FPFC</v>
          </cell>
          <cell r="N166" t="str">
            <v>18.5X26.5</v>
          </cell>
          <cell r="P166">
            <v>15000</v>
          </cell>
          <cell r="AC166">
            <v>15</v>
          </cell>
          <cell r="AD166">
            <v>10</v>
          </cell>
          <cell r="AE166">
            <v>150</v>
          </cell>
          <cell r="AF166" t="str">
            <v>CD</v>
          </cell>
          <cell r="AG166">
            <v>160</v>
          </cell>
        </row>
        <row r="167">
          <cell r="A167" t="str">
            <v>P017</v>
          </cell>
          <cell r="B167" t="str">
            <v>KIEN THUC NGAY NAY</v>
          </cell>
          <cell r="C167" t="str">
            <v>8368361/ 9304605</v>
          </cell>
          <cell r="D167" t="str">
            <v>8368005/ 9304609</v>
          </cell>
          <cell r="E167" t="str">
            <v>68 Tran Hung Dao Q1 HCM/ Cty An Minh 80 Vo Van Tan, P6, Q3</v>
          </cell>
          <cell r="F167" t="str">
            <v>Mr Khanh 0918188188
0919089936</v>
          </cell>
          <cell r="G167" t="str">
            <v>1,10,20/ Monthly</v>
          </cell>
          <cell r="H167">
            <v>75000</v>
          </cell>
          <cell r="I167">
            <v>0.2</v>
          </cell>
          <cell r="K167" t="str">
            <v>P017Cover 3FPFC</v>
          </cell>
          <cell r="L167" t="str">
            <v>Cover 3</v>
          </cell>
          <cell r="M167" t="str">
            <v>FPFC</v>
          </cell>
          <cell r="N167" t="str">
            <v>18.5X26.5</v>
          </cell>
          <cell r="P167">
            <v>15000</v>
          </cell>
          <cell r="AC167">
            <v>15</v>
          </cell>
          <cell r="AD167">
            <v>10</v>
          </cell>
          <cell r="AE167">
            <v>150</v>
          </cell>
          <cell r="AF167" t="str">
            <v>CD</v>
          </cell>
          <cell r="AG167">
            <v>161</v>
          </cell>
        </row>
        <row r="168">
          <cell r="A168" t="str">
            <v>P017</v>
          </cell>
          <cell r="B168" t="str">
            <v>1H</v>
          </cell>
          <cell r="C168" t="str">
            <v>8368361/ 9304605</v>
          </cell>
          <cell r="D168" t="str">
            <v>8368005/ 9304609</v>
          </cell>
          <cell r="E168" t="str">
            <v>68 Tran Hung Dao Q1 HCM/ Cty An Minh 80 Vo Van Tan, P6, Q3</v>
          </cell>
          <cell r="F168" t="str">
            <v>Mr Khanh 0918188188
0919089936</v>
          </cell>
          <cell r="G168" t="str">
            <v>1,10,20/ Monthly</v>
          </cell>
          <cell r="H168">
            <v>75000</v>
          </cell>
          <cell r="I168">
            <v>0.2</v>
          </cell>
          <cell r="K168" t="str">
            <v>P017InsideFPFC</v>
          </cell>
          <cell r="L168" t="str">
            <v>Inside</v>
          </cell>
          <cell r="M168" t="str">
            <v>FPFC</v>
          </cell>
          <cell r="N168" t="str">
            <v>18.5X26.5</v>
          </cell>
          <cell r="P168">
            <v>9000</v>
          </cell>
          <cell r="AC168">
            <v>15</v>
          </cell>
          <cell r="AD168">
            <v>10</v>
          </cell>
          <cell r="AE168">
            <v>150</v>
          </cell>
          <cell r="AF168" t="str">
            <v>CD</v>
          </cell>
          <cell r="AG168">
            <v>162</v>
          </cell>
        </row>
        <row r="169">
          <cell r="A169" t="str">
            <v>TAP CHI VTV</v>
          </cell>
          <cell r="B169" t="str">
            <v>1H</v>
          </cell>
          <cell r="K169" t="str">
            <v>TAP CHI VTV</v>
          </cell>
          <cell r="L169" t="str">
            <v>Cover 3</v>
          </cell>
          <cell r="M169" t="str">
            <v>FPFC</v>
          </cell>
          <cell r="P169">
            <v>11000</v>
          </cell>
          <cell r="AG169">
            <v>163</v>
          </cell>
        </row>
        <row r="170">
          <cell r="A170" t="str">
            <v>P018</v>
          </cell>
          <cell r="B170" t="str">
            <v>KIEN THUC NGAY NAY</v>
          </cell>
          <cell r="C170" t="str">
            <v>8368361/ 9304605</v>
          </cell>
          <cell r="D170" t="str">
            <v>8368005/ 9304609</v>
          </cell>
          <cell r="E170" t="str">
            <v>68 Tran Hung Dao Q1 HCM/ Cty An Minh 80 Vo Van Tan, P6, Q3</v>
          </cell>
          <cell r="F170" t="str">
            <v>Mr Khanh 0918188188
0919089936</v>
          </cell>
          <cell r="G170" t="str">
            <v>1,10,20/ Monthly</v>
          </cell>
          <cell r="H170">
            <v>75000</v>
          </cell>
          <cell r="I170">
            <v>0.2</v>
          </cell>
          <cell r="K170" t="str">
            <v>P018Cover 4FPFC</v>
          </cell>
          <cell r="L170" t="str">
            <v>Cover 4</v>
          </cell>
          <cell r="M170" t="str">
            <v>FPFC</v>
          </cell>
          <cell r="P170">
            <v>27500.000000000004</v>
          </cell>
          <cell r="AC170">
            <v>15</v>
          </cell>
          <cell r="AD170">
            <v>10</v>
          </cell>
          <cell r="AE170">
            <v>150</v>
          </cell>
          <cell r="AF170" t="str">
            <v>CD</v>
          </cell>
          <cell r="AG170">
            <v>164</v>
          </cell>
        </row>
        <row r="171">
          <cell r="A171" t="str">
            <v>P018</v>
          </cell>
          <cell r="B171" t="str">
            <v>1H</v>
          </cell>
          <cell r="K171" t="str">
            <v>P018Cover 2FPFC</v>
          </cell>
          <cell r="L171" t="str">
            <v>Cover 2</v>
          </cell>
          <cell r="M171" t="str">
            <v>FPFC</v>
          </cell>
          <cell r="P171">
            <v>13200.000000000002</v>
          </cell>
          <cell r="AG171">
            <v>165</v>
          </cell>
        </row>
        <row r="172">
          <cell r="A172" t="str">
            <v>P018</v>
          </cell>
          <cell r="B172" t="str">
            <v>THUOC &amp; SUC KHOE</v>
          </cell>
          <cell r="C172">
            <v>8437564</v>
          </cell>
          <cell r="D172">
            <v>9350627</v>
          </cell>
          <cell r="E172" t="str">
            <v xml:space="preserve">126A Tran Quoc Thao Q3 </v>
          </cell>
          <cell r="F172" t="str">
            <v>Mr Liem 0903717843</v>
          </cell>
          <cell r="G172" t="str">
            <v>1,15/ Monthly</v>
          </cell>
          <cell r="I172">
            <v>0.15</v>
          </cell>
          <cell r="K172" t="str">
            <v>P018Cover 3FPFC</v>
          </cell>
          <cell r="L172" t="str">
            <v>Cover 3</v>
          </cell>
          <cell r="M172" t="str">
            <v>FPFC</v>
          </cell>
          <cell r="N172" t="str">
            <v>18X26</v>
          </cell>
          <cell r="O172" t="str">
            <v>20.6X28.6</v>
          </cell>
          <cell r="P172">
            <v>11000</v>
          </cell>
          <cell r="AC172">
            <v>15</v>
          </cell>
          <cell r="AD172">
            <v>10</v>
          </cell>
          <cell r="AE172">
            <v>150</v>
          </cell>
          <cell r="AF172" t="str">
            <v>CD</v>
          </cell>
          <cell r="AG172">
            <v>166</v>
          </cell>
        </row>
        <row r="173">
          <cell r="A173" t="str">
            <v>P018</v>
          </cell>
          <cell r="B173" t="str">
            <v>THUOC &amp; SUC KHOE</v>
          </cell>
          <cell r="C173">
            <v>8437564</v>
          </cell>
          <cell r="D173">
            <v>9350627</v>
          </cell>
          <cell r="E173" t="str">
            <v xml:space="preserve">126A Tran Quoc Thao Q3 </v>
          </cell>
          <cell r="F173" t="str">
            <v>Mr Liem 0903717843</v>
          </cell>
          <cell r="G173" t="str">
            <v>1,15/ Monthly</v>
          </cell>
          <cell r="I173">
            <v>0.15</v>
          </cell>
          <cell r="K173" t="str">
            <v>P018FirstFPFC</v>
          </cell>
          <cell r="L173" t="str">
            <v>First</v>
          </cell>
          <cell r="M173" t="str">
            <v>FPFC</v>
          </cell>
          <cell r="N173" t="str">
            <v>18X26</v>
          </cell>
          <cell r="O173" t="str">
            <v>20.6X28.6</v>
          </cell>
          <cell r="P173">
            <v>8800</v>
          </cell>
          <cell r="AC173">
            <v>15</v>
          </cell>
          <cell r="AD173">
            <v>10</v>
          </cell>
          <cell r="AE173">
            <v>150</v>
          </cell>
          <cell r="AF173" t="str">
            <v>CD</v>
          </cell>
          <cell r="AG173">
            <v>167</v>
          </cell>
        </row>
        <row r="174">
          <cell r="A174" t="str">
            <v>P018</v>
          </cell>
          <cell r="B174" t="str">
            <v>6H</v>
          </cell>
          <cell r="C174">
            <v>8437564</v>
          </cell>
          <cell r="D174">
            <v>9350627</v>
          </cell>
          <cell r="E174" t="str">
            <v xml:space="preserve">126A Tran Quoc Thao Q3 </v>
          </cell>
          <cell r="F174" t="str">
            <v>Mr Liem 0903717843</v>
          </cell>
          <cell r="G174" t="str">
            <v>1,15/ Monthly</v>
          </cell>
          <cell r="I174">
            <v>0.15</v>
          </cell>
          <cell r="K174" t="str">
            <v>P018InsideFPFC</v>
          </cell>
          <cell r="L174" t="str">
            <v>Inside</v>
          </cell>
          <cell r="M174" t="str">
            <v>FPFC</v>
          </cell>
          <cell r="N174" t="str">
            <v>18X26</v>
          </cell>
          <cell r="O174" t="str">
            <v>20.6X28.6</v>
          </cell>
          <cell r="P174">
            <v>4950</v>
          </cell>
          <cell r="AC174">
            <v>15</v>
          </cell>
          <cell r="AD174">
            <v>14</v>
          </cell>
          <cell r="AE174">
            <v>150</v>
          </cell>
          <cell r="AF174" t="str">
            <v>CD</v>
          </cell>
          <cell r="AG174">
            <v>168</v>
          </cell>
        </row>
        <row r="175">
          <cell r="A175" t="str">
            <v>KIEN THUC NGAY NAY</v>
          </cell>
          <cell r="B175" t="str">
            <v>6H</v>
          </cell>
          <cell r="K175" t="str">
            <v>KIEN THUC NGAY NAY</v>
          </cell>
          <cell r="L175" t="str">
            <v>Cover 3</v>
          </cell>
          <cell r="M175" t="str">
            <v>FPFC</v>
          </cell>
          <cell r="N175" t="str">
            <v>18X26</v>
          </cell>
          <cell r="O175" t="str">
            <v>20.6X28.6</v>
          </cell>
          <cell r="P175">
            <v>9000</v>
          </cell>
          <cell r="AG175">
            <v>169</v>
          </cell>
        </row>
        <row r="176">
          <cell r="A176" t="str">
            <v>P019</v>
          </cell>
          <cell r="B176" t="str">
            <v>THUOC &amp; SUC KHOE</v>
          </cell>
          <cell r="C176">
            <v>8437564</v>
          </cell>
          <cell r="D176">
            <v>9350627</v>
          </cell>
          <cell r="E176" t="str">
            <v xml:space="preserve">126A Tran Quoc Thao Q3 </v>
          </cell>
          <cell r="F176" t="str">
            <v>Mr Liem 0903717843</v>
          </cell>
          <cell r="G176" t="str">
            <v>1,15/ Monthly</v>
          </cell>
          <cell r="I176">
            <v>0.15</v>
          </cell>
          <cell r="K176" t="str">
            <v>P019Cover 4FPFC</v>
          </cell>
          <cell r="L176" t="str">
            <v>Cover 4</v>
          </cell>
          <cell r="M176" t="str">
            <v>FPFC</v>
          </cell>
          <cell r="N176" t="str">
            <v>18X26</v>
          </cell>
          <cell r="O176" t="str">
            <v>20.6X28.6</v>
          </cell>
          <cell r="P176">
            <v>15000</v>
          </cell>
          <cell r="AC176">
            <v>15</v>
          </cell>
          <cell r="AD176">
            <v>14</v>
          </cell>
          <cell r="AE176">
            <v>150</v>
          </cell>
          <cell r="AF176" t="str">
            <v>CD</v>
          </cell>
          <cell r="AG176">
            <v>170</v>
          </cell>
        </row>
        <row r="177">
          <cell r="A177" t="str">
            <v>P019</v>
          </cell>
          <cell r="B177" t="str">
            <v>6H</v>
          </cell>
          <cell r="C177" t="str">
            <v>9952646/7</v>
          </cell>
          <cell r="D177">
            <v>9952645</v>
          </cell>
          <cell r="E177" t="str">
            <v>lau 3, 128 Phan Dang Luu - PN</v>
          </cell>
          <cell r="F177" t="str">
            <v>Mr Tuan 0913908870/ Ms Co 0903883416</v>
          </cell>
          <cell r="G177" t="str">
            <v>5,15,25/month</v>
          </cell>
          <cell r="H177">
            <v>45000</v>
          </cell>
          <cell r="I177">
            <v>0.15</v>
          </cell>
          <cell r="J177">
            <v>0.2</v>
          </cell>
          <cell r="K177" t="str">
            <v>P019Cover 2FPFC</v>
          </cell>
          <cell r="L177" t="str">
            <v>Cover 2</v>
          </cell>
          <cell r="M177" t="str">
            <v>FPFC</v>
          </cell>
          <cell r="N177" t="str">
            <v>18X26</v>
          </cell>
          <cell r="O177" t="str">
            <v>20.6X28.6</v>
          </cell>
          <cell r="P177">
            <v>10000</v>
          </cell>
          <cell r="AC177">
            <v>15</v>
          </cell>
          <cell r="AD177">
            <v>10</v>
          </cell>
          <cell r="AE177">
            <v>150</v>
          </cell>
          <cell r="AF177" t="str">
            <v>CD</v>
          </cell>
          <cell r="AG177">
            <v>171</v>
          </cell>
        </row>
        <row r="178">
          <cell r="A178" t="str">
            <v>P019</v>
          </cell>
          <cell r="B178" t="str">
            <v>THOI TRANG TRE</v>
          </cell>
          <cell r="C178" t="str">
            <v>9952646/7</v>
          </cell>
          <cell r="D178">
            <v>9952645</v>
          </cell>
          <cell r="E178" t="str">
            <v>lau 3, 128 Phan Dang Luu - PN</v>
          </cell>
          <cell r="F178" t="str">
            <v>Mr Tuan 0913908870/ Ms Co 0903883416</v>
          </cell>
          <cell r="G178" t="str">
            <v>5,15,25/month</v>
          </cell>
          <cell r="H178">
            <v>45000</v>
          </cell>
          <cell r="I178">
            <v>0.15</v>
          </cell>
          <cell r="J178">
            <v>0.2</v>
          </cell>
          <cell r="K178" t="str">
            <v>P019Cover 3FPFC</v>
          </cell>
          <cell r="L178" t="str">
            <v>Cover 3</v>
          </cell>
          <cell r="M178" t="str">
            <v>FPFC</v>
          </cell>
          <cell r="N178" t="str">
            <v>18X26</v>
          </cell>
          <cell r="O178" t="str">
            <v>20.6X28.6</v>
          </cell>
          <cell r="P178">
            <v>9000</v>
          </cell>
          <cell r="AC178">
            <v>15</v>
          </cell>
          <cell r="AD178">
            <v>10</v>
          </cell>
          <cell r="AE178">
            <v>150</v>
          </cell>
          <cell r="AF178" t="str">
            <v>CD</v>
          </cell>
          <cell r="AG178">
            <v>172</v>
          </cell>
        </row>
        <row r="179">
          <cell r="A179" t="str">
            <v>P019</v>
          </cell>
          <cell r="B179" t="str">
            <v>10H</v>
          </cell>
          <cell r="C179" t="str">
            <v>9952646/7</v>
          </cell>
          <cell r="D179">
            <v>9952645</v>
          </cell>
          <cell r="E179" t="str">
            <v>lau 3, 128 Phan Dang Luu - PN</v>
          </cell>
          <cell r="F179" t="str">
            <v>Mr Tuan 0913908870/ Ms Co 0903883416</v>
          </cell>
          <cell r="G179" t="str">
            <v>5,15,25/ Month</v>
          </cell>
          <cell r="H179">
            <v>45000</v>
          </cell>
          <cell r="I179">
            <v>0.2</v>
          </cell>
          <cell r="J179">
            <v>0.15</v>
          </cell>
          <cell r="K179" t="str">
            <v>P019InsideFPFC</v>
          </cell>
          <cell r="L179" t="str">
            <v>Inside</v>
          </cell>
          <cell r="M179" t="str">
            <v>FPFC</v>
          </cell>
          <cell r="N179" t="str">
            <v>18X26</v>
          </cell>
          <cell r="O179" t="str">
            <v>20.6X28.6</v>
          </cell>
          <cell r="P179">
            <v>7000</v>
          </cell>
          <cell r="Q179">
            <v>0.15</v>
          </cell>
          <cell r="R179">
            <v>0.15</v>
          </cell>
          <cell r="AC179">
            <v>15</v>
          </cell>
          <cell r="AD179">
            <v>10</v>
          </cell>
          <cell r="AE179">
            <v>150</v>
          </cell>
          <cell r="AF179" t="str">
            <v>CD</v>
          </cell>
          <cell r="AG179">
            <v>173</v>
          </cell>
        </row>
        <row r="180">
          <cell r="A180" t="str">
            <v>THUOC &amp; SUC KHOE</v>
          </cell>
          <cell r="B180" t="str">
            <v>10H</v>
          </cell>
          <cell r="K180" t="str">
            <v>THUOC &amp; SUC KHOE</v>
          </cell>
          <cell r="L180" t="str">
            <v>First</v>
          </cell>
          <cell r="M180" t="str">
            <v>FPFC</v>
          </cell>
          <cell r="N180" t="str">
            <v>19X26.5</v>
          </cell>
          <cell r="O180" t="str">
            <v>21.4X28.9</v>
          </cell>
          <cell r="P180">
            <v>37400</v>
          </cell>
          <cell r="AG180">
            <v>174</v>
          </cell>
        </row>
        <row r="181">
          <cell r="A181" t="str">
            <v>P020</v>
          </cell>
          <cell r="B181" t="str">
            <v>THOI TRANG TRE</v>
          </cell>
          <cell r="C181" t="str">
            <v>9952646/7</v>
          </cell>
          <cell r="D181">
            <v>9952645</v>
          </cell>
          <cell r="E181" t="str">
            <v>lau 3, 128 Phan Dang Luu - PN</v>
          </cell>
          <cell r="F181" t="str">
            <v>Mr Tuan 0913908870/ Ms Co 0903883416</v>
          </cell>
          <cell r="G181" t="str">
            <v>5,15,25/ Monthly</v>
          </cell>
          <cell r="H181">
            <v>45000</v>
          </cell>
          <cell r="I181">
            <v>0.2</v>
          </cell>
          <cell r="J181">
            <v>0.15</v>
          </cell>
          <cell r="K181" t="str">
            <v>P020InsideFPFC</v>
          </cell>
          <cell r="L181" t="str">
            <v>Inside</v>
          </cell>
          <cell r="M181" t="str">
            <v>FPFC</v>
          </cell>
          <cell r="N181" t="str">
            <v>19X26.5</v>
          </cell>
          <cell r="O181" t="str">
            <v>21.4X28.9</v>
          </cell>
          <cell r="P181">
            <v>27500.000000000004</v>
          </cell>
          <cell r="Q181">
            <v>0.15</v>
          </cell>
          <cell r="R181">
            <v>0.15</v>
          </cell>
          <cell r="U181">
            <v>0.15</v>
          </cell>
          <cell r="V181">
            <v>0.15</v>
          </cell>
          <cell r="AC181">
            <v>15</v>
          </cell>
          <cell r="AD181">
            <v>10</v>
          </cell>
          <cell r="AE181">
            <v>150</v>
          </cell>
          <cell r="AF181" t="str">
            <v>CD</v>
          </cell>
          <cell r="AG181">
            <v>175</v>
          </cell>
        </row>
        <row r="182">
          <cell r="A182" t="str">
            <v>P020</v>
          </cell>
          <cell r="B182" t="str">
            <v>10H</v>
          </cell>
          <cell r="K182" t="str">
            <v>P020Cover 2FPFC</v>
          </cell>
          <cell r="L182" t="str">
            <v>Cover 2</v>
          </cell>
          <cell r="M182" t="str">
            <v>FPFC</v>
          </cell>
          <cell r="N182" t="str">
            <v>19X26.5</v>
          </cell>
          <cell r="O182" t="str">
            <v>21.4X28.9</v>
          </cell>
          <cell r="P182">
            <v>37400</v>
          </cell>
          <cell r="AG182">
            <v>176</v>
          </cell>
        </row>
        <row r="183">
          <cell r="A183" t="str">
            <v>P020</v>
          </cell>
          <cell r="K183" t="str">
            <v>P020FirstFPFC</v>
          </cell>
          <cell r="L183" t="str">
            <v>First</v>
          </cell>
          <cell r="M183" t="str">
            <v>FPFC</v>
          </cell>
          <cell r="N183" t="str">
            <v>19X26.5</v>
          </cell>
          <cell r="O183" t="str">
            <v>21.4X28.9</v>
          </cell>
          <cell r="P183">
            <v>37400</v>
          </cell>
          <cell r="AG183">
            <v>177</v>
          </cell>
        </row>
        <row r="184">
          <cell r="A184" t="str">
            <v>P020</v>
          </cell>
          <cell r="K184" t="str">
            <v>P020Cover 3FPFC</v>
          </cell>
          <cell r="L184" t="str">
            <v>Cover 3</v>
          </cell>
          <cell r="M184" t="str">
            <v>FPFC</v>
          </cell>
          <cell r="N184" t="str">
            <v>19X26.5</v>
          </cell>
          <cell r="O184" t="str">
            <v>21.4X28.9</v>
          </cell>
          <cell r="P184">
            <v>35750</v>
          </cell>
          <cell r="AG184">
            <v>178</v>
          </cell>
        </row>
        <row r="185">
          <cell r="A185" t="str">
            <v>P020</v>
          </cell>
          <cell r="K185" t="str">
            <v>P020Cover 4FPFC</v>
          </cell>
          <cell r="L185" t="str">
            <v>Cover 4</v>
          </cell>
          <cell r="M185" t="str">
            <v>FPFC</v>
          </cell>
          <cell r="N185" t="str">
            <v>19X26.5</v>
          </cell>
          <cell r="O185" t="str">
            <v>21.4X28.9</v>
          </cell>
          <cell r="P185">
            <v>41800</v>
          </cell>
          <cell r="AG185">
            <v>179</v>
          </cell>
        </row>
        <row r="186">
          <cell r="A186" t="str">
            <v>P020</v>
          </cell>
          <cell r="B186" t="str">
            <v>LAO DONG</v>
          </cell>
          <cell r="C186" t="str">
            <v>04 5330305</v>
          </cell>
          <cell r="E186" t="str">
            <v>167/15 Tay Son, Dong Da, Ha Noi</v>
          </cell>
          <cell r="F186" t="str">
            <v>Ms Quynh Mai- Phong QC</v>
          </cell>
          <cell r="G186" t="str">
            <v>Daily</v>
          </cell>
          <cell r="H186">
            <v>80000</v>
          </cell>
          <cell r="I186">
            <v>0.12</v>
          </cell>
          <cell r="K186" t="str">
            <v>P020InsideHPFC</v>
          </cell>
          <cell r="L186" t="str">
            <v>Inside</v>
          </cell>
          <cell r="M186" t="str">
            <v>HPFC</v>
          </cell>
          <cell r="N186" t="str">
            <v>19X12.5</v>
          </cell>
          <cell r="P186">
            <v>16500</v>
          </cell>
          <cell r="AC186">
            <v>15</v>
          </cell>
          <cell r="AD186">
            <v>10</v>
          </cell>
          <cell r="AE186">
            <v>100</v>
          </cell>
          <cell r="AF186" t="str">
            <v>CD</v>
          </cell>
          <cell r="AG186">
            <v>180</v>
          </cell>
        </row>
        <row r="187">
          <cell r="A187" t="str">
            <v>P020</v>
          </cell>
          <cell r="B187" t="str">
            <v>LAO DONG</v>
          </cell>
          <cell r="C187" t="str">
            <v>04 5330305</v>
          </cell>
          <cell r="E187" t="str">
            <v>167/15 Tay Son, Dong Da, Ha Noi</v>
          </cell>
          <cell r="F187" t="str">
            <v>Ms Quynh Mai- Phong QC</v>
          </cell>
          <cell r="G187" t="str">
            <v>Daily</v>
          </cell>
          <cell r="H187">
            <v>80000</v>
          </cell>
          <cell r="I187">
            <v>0.12</v>
          </cell>
          <cell r="K187" t="str">
            <v>P020InsideVPFC</v>
          </cell>
          <cell r="L187" t="str">
            <v>Inside</v>
          </cell>
          <cell r="M187" t="str">
            <v>VPFC</v>
          </cell>
          <cell r="N187" t="str">
            <v>37.5X52</v>
          </cell>
          <cell r="P187">
            <v>16500</v>
          </cell>
          <cell r="AC187">
            <v>15</v>
          </cell>
          <cell r="AD187">
            <v>10</v>
          </cell>
          <cell r="AE187">
            <v>100</v>
          </cell>
          <cell r="AF187" t="str">
            <v>CD</v>
          </cell>
          <cell r="AG187">
            <v>181</v>
          </cell>
        </row>
        <row r="188">
          <cell r="A188" t="str">
            <v>P020</v>
          </cell>
          <cell r="B188" t="str">
            <v>12H</v>
          </cell>
          <cell r="C188" t="str">
            <v>04 5330305</v>
          </cell>
          <cell r="E188" t="str">
            <v>167/15 Tay Son, Dong Da, Ha Noi</v>
          </cell>
          <cell r="F188" t="str">
            <v>Ms Quynh Mai- Phong QC</v>
          </cell>
          <cell r="G188" t="str">
            <v>Daily</v>
          </cell>
          <cell r="H188">
            <v>80000</v>
          </cell>
          <cell r="I188">
            <v>0.12</v>
          </cell>
          <cell r="K188" t="str">
            <v>P020InsideJPFC</v>
          </cell>
          <cell r="L188" t="str">
            <v>Inside</v>
          </cell>
          <cell r="M188" t="str">
            <v>JPFC</v>
          </cell>
          <cell r="N188" t="str">
            <v>37.5X25.7</v>
          </cell>
          <cell r="P188">
            <v>16500</v>
          </cell>
          <cell r="AC188">
            <v>15</v>
          </cell>
          <cell r="AD188">
            <v>10</v>
          </cell>
          <cell r="AE188">
            <v>100</v>
          </cell>
          <cell r="AF188" t="str">
            <v>CD</v>
          </cell>
          <cell r="AG188">
            <v>182</v>
          </cell>
        </row>
        <row r="189">
          <cell r="A189" t="str">
            <v>P020</v>
          </cell>
          <cell r="B189" t="str">
            <v>12H</v>
          </cell>
          <cell r="K189" t="str">
            <v>P020InsideGatefold</v>
          </cell>
          <cell r="L189" t="str">
            <v>Inside</v>
          </cell>
          <cell r="M189" t="str">
            <v>Gatefold</v>
          </cell>
          <cell r="N189" t="str">
            <v>25X37</v>
          </cell>
          <cell r="P189" t="str">
            <v>90.000*1.1-dis</v>
          </cell>
          <cell r="AG189">
            <v>183</v>
          </cell>
        </row>
        <row r="190">
          <cell r="A190" t="str">
            <v>P020</v>
          </cell>
          <cell r="B190" t="str">
            <v>NGUOI DEP VN</v>
          </cell>
          <cell r="C190">
            <v>8481068</v>
          </cell>
          <cell r="D190">
            <v>8469495</v>
          </cell>
          <cell r="E190" t="str">
            <v>384/54 NKKN Q3 HCM</v>
          </cell>
          <cell r="F190" t="str">
            <v>Ms Nghi 0903844224</v>
          </cell>
          <cell r="G190" t="str">
            <v>1,15/monthly</v>
          </cell>
          <cell r="H190">
            <v>90000</v>
          </cell>
          <cell r="I190">
            <v>0.2</v>
          </cell>
          <cell r="K190" t="str">
            <v>P020</v>
          </cell>
          <cell r="L190" t="str">
            <v>Inside</v>
          </cell>
          <cell r="M190" t="str">
            <v>JPFC</v>
          </cell>
          <cell r="N190" t="str">
            <v>25X37</v>
          </cell>
          <cell r="P190">
            <v>20460</v>
          </cell>
          <cell r="AC190">
            <v>15</v>
          </cell>
          <cell r="AD190">
            <v>10</v>
          </cell>
          <cell r="AE190">
            <v>175</v>
          </cell>
          <cell r="AF190" t="str">
            <v>CD</v>
          </cell>
          <cell r="AG190">
            <v>184</v>
          </cell>
        </row>
        <row r="191">
          <cell r="A191" t="str">
            <v>THOI TRANG TRE</v>
          </cell>
          <cell r="B191" t="str">
            <v>NGUOI DEP VN</v>
          </cell>
          <cell r="C191">
            <v>8481068</v>
          </cell>
          <cell r="D191">
            <v>8469495</v>
          </cell>
          <cell r="E191" t="str">
            <v>384/54 NKKN Q3 HCM</v>
          </cell>
          <cell r="F191" t="str">
            <v>Ms Nghi 0903844224</v>
          </cell>
          <cell r="G191" t="str">
            <v>1,15/monthly</v>
          </cell>
          <cell r="H191">
            <v>90000</v>
          </cell>
          <cell r="I191">
            <v>0.2</v>
          </cell>
          <cell r="K191" t="str">
            <v>THOI TRANG TRE</v>
          </cell>
          <cell r="L191" t="str">
            <v>Cover 4</v>
          </cell>
          <cell r="M191" t="str">
            <v>FPFC</v>
          </cell>
          <cell r="N191" t="str">
            <v>19X26.5</v>
          </cell>
          <cell r="P191">
            <v>18000</v>
          </cell>
          <cell r="AC191">
            <v>15</v>
          </cell>
          <cell r="AD191">
            <v>10</v>
          </cell>
          <cell r="AE191">
            <v>175</v>
          </cell>
          <cell r="AF191" t="str">
            <v>CD</v>
          </cell>
          <cell r="AG191">
            <v>185</v>
          </cell>
        </row>
        <row r="192">
          <cell r="A192" t="str">
            <v>P021</v>
          </cell>
          <cell r="B192" t="str">
            <v>LAO DONG</v>
          </cell>
          <cell r="C192" t="str">
            <v>04 5330305</v>
          </cell>
          <cell r="D192">
            <v>8469495</v>
          </cell>
          <cell r="E192" t="str">
            <v>167/15 Tay Son, Dong Da, Ha Noi</v>
          </cell>
          <cell r="F192" t="str">
            <v>Ms Quynh Mai- Phong QC</v>
          </cell>
          <cell r="G192" t="str">
            <v>Daily</v>
          </cell>
          <cell r="H192">
            <v>80000</v>
          </cell>
          <cell r="I192">
            <v>0.12</v>
          </cell>
          <cell r="K192" t="str">
            <v>P021InsideFPFC</v>
          </cell>
          <cell r="L192" t="str">
            <v>Inside</v>
          </cell>
          <cell r="M192" t="str">
            <v>FPFC</v>
          </cell>
          <cell r="N192" t="str">
            <v>37.5X52</v>
          </cell>
          <cell r="P192">
            <v>34100</v>
          </cell>
          <cell r="AC192">
            <v>15</v>
          </cell>
          <cell r="AD192">
            <v>10</v>
          </cell>
          <cell r="AE192">
            <v>100</v>
          </cell>
          <cell r="AF192" t="str">
            <v>CD</v>
          </cell>
          <cell r="AG192">
            <v>186</v>
          </cell>
        </row>
        <row r="193">
          <cell r="A193" t="str">
            <v>P021</v>
          </cell>
          <cell r="B193" t="str">
            <v>12H</v>
          </cell>
          <cell r="K193" t="str">
            <v>P021InsideHPFC</v>
          </cell>
          <cell r="L193" t="str">
            <v>Inside</v>
          </cell>
          <cell r="M193" t="str">
            <v>HPFC</v>
          </cell>
          <cell r="N193" t="str">
            <v>37.5X25.7</v>
          </cell>
          <cell r="P193">
            <v>17050</v>
          </cell>
          <cell r="AG193">
            <v>187</v>
          </cell>
        </row>
        <row r="194">
          <cell r="A194" t="str">
            <v>P021</v>
          </cell>
          <cell r="K194" t="str">
            <v>P021InsideJPFC</v>
          </cell>
          <cell r="L194" t="str">
            <v>Inside</v>
          </cell>
          <cell r="M194" t="str">
            <v>JPFC</v>
          </cell>
          <cell r="N194" t="str">
            <v>25X37</v>
          </cell>
          <cell r="P194">
            <v>20460</v>
          </cell>
          <cell r="AG194">
            <v>188</v>
          </cell>
        </row>
        <row r="195">
          <cell r="A195" t="str">
            <v>LAO DONG</v>
          </cell>
          <cell r="K195" t="str">
            <v>LAO DONG</v>
          </cell>
          <cell r="L195" t="str">
            <v>Inside</v>
          </cell>
          <cell r="M195" t="str">
            <v>DPFC</v>
          </cell>
          <cell r="N195" t="str">
            <v>19X26.5</v>
          </cell>
          <cell r="P195">
            <v>26000</v>
          </cell>
          <cell r="AG195">
            <v>189</v>
          </cell>
        </row>
        <row r="196">
          <cell r="A196" t="str">
            <v>P022</v>
          </cell>
          <cell r="B196" t="str">
            <v>NGUOI DEP VN</v>
          </cell>
          <cell r="C196">
            <v>8481068</v>
          </cell>
          <cell r="D196">
            <v>8469495</v>
          </cell>
          <cell r="E196" t="str">
            <v>384/54 NKKN Q3 HCM</v>
          </cell>
          <cell r="F196" t="str">
            <v>Ms Nghi 0903844224</v>
          </cell>
          <cell r="G196" t="str">
            <v>1,15/ Monthly</v>
          </cell>
          <cell r="H196">
            <v>90000</v>
          </cell>
          <cell r="I196">
            <v>0.2</v>
          </cell>
          <cell r="K196" t="str">
            <v>P022Cover 4FPFC</v>
          </cell>
          <cell r="L196" t="str">
            <v>Cover 4</v>
          </cell>
          <cell r="M196" t="str">
            <v>FPFC</v>
          </cell>
          <cell r="N196" t="str">
            <v>19X26.5</v>
          </cell>
          <cell r="P196">
            <v>18000</v>
          </cell>
          <cell r="AC196">
            <v>15</v>
          </cell>
          <cell r="AD196">
            <v>10</v>
          </cell>
          <cell r="AE196">
            <v>175</v>
          </cell>
          <cell r="AF196" t="str">
            <v>CD</v>
          </cell>
          <cell r="AG196">
            <v>190</v>
          </cell>
        </row>
        <row r="197">
          <cell r="A197" t="str">
            <v>P022</v>
          </cell>
          <cell r="B197" t="str">
            <v>3G</v>
          </cell>
          <cell r="K197" t="str">
            <v>P022Cover 2FPFC</v>
          </cell>
          <cell r="L197" t="str">
            <v>Cover 2</v>
          </cell>
          <cell r="M197" t="str">
            <v>FPFC</v>
          </cell>
          <cell r="N197" t="str">
            <v>19X26.5</v>
          </cell>
          <cell r="P197">
            <v>16000</v>
          </cell>
          <cell r="AG197">
            <v>191</v>
          </cell>
        </row>
        <row r="198">
          <cell r="A198" t="str">
            <v>P022</v>
          </cell>
          <cell r="K198" t="str">
            <v>P022Cover 3FPFC</v>
          </cell>
          <cell r="L198" t="str">
            <v>Cover 3</v>
          </cell>
          <cell r="M198" t="str">
            <v>FPFC</v>
          </cell>
          <cell r="N198" t="str">
            <v>19X26.5</v>
          </cell>
          <cell r="P198">
            <v>16000</v>
          </cell>
          <cell r="AG198">
            <v>192</v>
          </cell>
        </row>
        <row r="199">
          <cell r="A199" t="str">
            <v>P022</v>
          </cell>
          <cell r="K199" t="str">
            <v>P022FirstFPFC</v>
          </cell>
          <cell r="L199" t="str">
            <v>First</v>
          </cell>
          <cell r="M199" t="str">
            <v>FPFC</v>
          </cell>
          <cell r="N199" t="str">
            <v>19X26.5</v>
          </cell>
          <cell r="P199">
            <v>15000</v>
          </cell>
          <cell r="AG199">
            <v>193</v>
          </cell>
        </row>
        <row r="200">
          <cell r="A200" t="str">
            <v>P022</v>
          </cell>
          <cell r="K200" t="str">
            <v>P022InsideDPFC</v>
          </cell>
          <cell r="L200" t="str">
            <v>Inside</v>
          </cell>
          <cell r="M200" t="str">
            <v>DPFC</v>
          </cell>
          <cell r="N200" t="str">
            <v>6.5X28.5</v>
          </cell>
          <cell r="P200">
            <v>26000</v>
          </cell>
          <cell r="AG200">
            <v>194</v>
          </cell>
        </row>
        <row r="201">
          <cell r="A201" t="str">
            <v>P022</v>
          </cell>
          <cell r="K201" t="str">
            <v>P022InsideFPFC</v>
          </cell>
          <cell r="L201" t="str">
            <v>Inside</v>
          </cell>
          <cell r="M201" t="str">
            <v>FPFC</v>
          </cell>
          <cell r="N201" t="str">
            <v>19X26.5</v>
          </cell>
          <cell r="P201">
            <v>13000</v>
          </cell>
          <cell r="AG201">
            <v>195</v>
          </cell>
        </row>
        <row r="202">
          <cell r="A202" t="str">
            <v>P022</v>
          </cell>
          <cell r="K202" t="str">
            <v>P022InsideJPFC</v>
          </cell>
          <cell r="L202" t="str">
            <v>Inside</v>
          </cell>
          <cell r="M202" t="str">
            <v>JPFC</v>
          </cell>
          <cell r="N202" t="str">
            <v>12.5X18</v>
          </cell>
          <cell r="P202">
            <v>7200</v>
          </cell>
          <cell r="AG202">
            <v>196</v>
          </cell>
        </row>
        <row r="203">
          <cell r="A203" t="str">
            <v>P022</v>
          </cell>
          <cell r="B203" t="str">
            <v>TIEN PHONG CUOI THANG</v>
          </cell>
          <cell r="C203">
            <v>8481068</v>
          </cell>
          <cell r="D203">
            <v>8469495</v>
          </cell>
          <cell r="E203" t="str">
            <v>384/54 NKKN Q3 HCM</v>
          </cell>
          <cell r="F203" t="str">
            <v>Ms Nghi 0903844224</v>
          </cell>
          <cell r="G203" t="str">
            <v>20/ Monthly</v>
          </cell>
          <cell r="H203">
            <v>70000</v>
          </cell>
          <cell r="K203" t="str">
            <v>P022InsideVPFC</v>
          </cell>
          <cell r="L203" t="str">
            <v>Inside</v>
          </cell>
          <cell r="M203" t="str">
            <v>VPFC</v>
          </cell>
          <cell r="N203" t="str">
            <v>9X27.5</v>
          </cell>
          <cell r="P203">
            <v>7200</v>
          </cell>
          <cell r="AC203">
            <v>15</v>
          </cell>
          <cell r="AD203">
            <v>10</v>
          </cell>
          <cell r="AE203">
            <v>175</v>
          </cell>
          <cell r="AF203" t="str">
            <v>CD</v>
          </cell>
          <cell r="AG203">
            <v>197</v>
          </cell>
        </row>
        <row r="204">
          <cell r="A204" t="str">
            <v>P022</v>
          </cell>
          <cell r="B204" t="str">
            <v>TIEN PHONG CUOI THANG</v>
          </cell>
          <cell r="C204">
            <v>8481068</v>
          </cell>
          <cell r="D204">
            <v>8469495</v>
          </cell>
          <cell r="E204" t="str">
            <v>384/54 NKKN Q3 HCM</v>
          </cell>
          <cell r="F204" t="str">
            <v>Ms Nghi 0903844224</v>
          </cell>
          <cell r="G204" t="str">
            <v>20/ Monthly</v>
          </cell>
          <cell r="H204">
            <v>70000</v>
          </cell>
          <cell r="K204" t="str">
            <v>P022InsideHPFC</v>
          </cell>
          <cell r="L204" t="str">
            <v>Inside</v>
          </cell>
          <cell r="M204" t="str">
            <v>HPFC</v>
          </cell>
          <cell r="N204" t="str">
            <v>19X26.5</v>
          </cell>
          <cell r="P204">
            <v>6500</v>
          </cell>
          <cell r="AC204">
            <v>15</v>
          </cell>
          <cell r="AD204">
            <v>10</v>
          </cell>
          <cell r="AE204">
            <v>175</v>
          </cell>
          <cell r="AF204" t="str">
            <v>CD</v>
          </cell>
          <cell r="AG204">
            <v>198</v>
          </cell>
        </row>
        <row r="205">
          <cell r="A205" t="str">
            <v>P022</v>
          </cell>
          <cell r="B205" t="str">
            <v>5G</v>
          </cell>
          <cell r="C205">
            <v>8481068</v>
          </cell>
          <cell r="D205">
            <v>8469495</v>
          </cell>
          <cell r="E205" t="str">
            <v>384/54 NKKN Q3 HCM</v>
          </cell>
          <cell r="F205" t="str">
            <v>Ms Nghi 0903844224</v>
          </cell>
          <cell r="G205" t="str">
            <v>20/ Monthly</v>
          </cell>
          <cell r="H205">
            <v>70000</v>
          </cell>
          <cell r="K205" t="str">
            <v>P022Inside1/3VPFC</v>
          </cell>
          <cell r="L205" t="str">
            <v>Inside</v>
          </cell>
          <cell r="M205" t="str">
            <v>1/3VPFC</v>
          </cell>
          <cell r="N205" t="str">
            <v>6.5X28.5</v>
          </cell>
          <cell r="P205">
            <v>4800</v>
          </cell>
          <cell r="AC205">
            <v>15</v>
          </cell>
          <cell r="AD205">
            <v>14</v>
          </cell>
          <cell r="AE205">
            <v>175</v>
          </cell>
          <cell r="AF205" t="str">
            <v>CD</v>
          </cell>
          <cell r="AG205">
            <v>199</v>
          </cell>
        </row>
        <row r="206">
          <cell r="A206" t="str">
            <v>P022</v>
          </cell>
          <cell r="B206" t="str">
            <v>5G</v>
          </cell>
          <cell r="K206" t="str">
            <v>P022Inside1/3HPFC</v>
          </cell>
          <cell r="L206" t="str">
            <v>Inside</v>
          </cell>
          <cell r="M206" t="str">
            <v>1/3HPFC</v>
          </cell>
          <cell r="N206" t="str">
            <v>19X12.5</v>
          </cell>
          <cell r="P206">
            <v>4800</v>
          </cell>
          <cell r="AG206">
            <v>200</v>
          </cell>
        </row>
        <row r="207">
          <cell r="A207" t="str">
            <v>P022</v>
          </cell>
          <cell r="K207" t="str">
            <v>P022Strip adFC</v>
          </cell>
          <cell r="L207" t="str">
            <v>Strip ad</v>
          </cell>
          <cell r="M207" t="str">
            <v>FC</v>
          </cell>
          <cell r="N207" t="str">
            <v>19X5</v>
          </cell>
          <cell r="P207">
            <v>3600</v>
          </cell>
          <cell r="AG207">
            <v>201</v>
          </cell>
        </row>
        <row r="208">
          <cell r="A208" t="str">
            <v>NGUOI DEP VN</v>
          </cell>
          <cell r="K208" t="str">
            <v>NGUOI DEP VN</v>
          </cell>
          <cell r="L208" t="str">
            <v>Inside</v>
          </cell>
          <cell r="M208" t="str">
            <v>DPFC</v>
          </cell>
          <cell r="N208" t="str">
            <v>19X26.5</v>
          </cell>
          <cell r="P208">
            <v>17000</v>
          </cell>
          <cell r="AG208">
            <v>202</v>
          </cell>
        </row>
        <row r="209">
          <cell r="A209" t="str">
            <v>P023</v>
          </cell>
          <cell r="B209" t="str">
            <v>TIEN PHONG CUOI THANG</v>
          </cell>
          <cell r="C209">
            <v>8481068</v>
          </cell>
          <cell r="D209">
            <v>8469495</v>
          </cell>
          <cell r="E209" t="str">
            <v>384/54 NKKN Q3 HCM</v>
          </cell>
          <cell r="F209" t="str">
            <v>Ms Nghi 0903844224</v>
          </cell>
          <cell r="G209" t="str">
            <v>20/ Monthly</v>
          </cell>
          <cell r="H209">
            <v>70000</v>
          </cell>
          <cell r="K209" t="str">
            <v>P023Cover 4FPFC</v>
          </cell>
          <cell r="L209" t="str">
            <v>Cover 4</v>
          </cell>
          <cell r="M209" t="str">
            <v>FPFC</v>
          </cell>
          <cell r="N209" t="str">
            <v>19X26.5</v>
          </cell>
          <cell r="P209">
            <v>18000</v>
          </cell>
          <cell r="AC209">
            <v>15</v>
          </cell>
          <cell r="AD209">
            <v>14</v>
          </cell>
          <cell r="AE209">
            <v>175</v>
          </cell>
          <cell r="AF209" t="str">
            <v>CD</v>
          </cell>
          <cell r="AG209">
            <v>203</v>
          </cell>
        </row>
        <row r="210">
          <cell r="A210" t="str">
            <v>P023</v>
          </cell>
          <cell r="B210" t="str">
            <v>5G</v>
          </cell>
          <cell r="K210" t="str">
            <v>P023Cover 2FPFC</v>
          </cell>
          <cell r="L210" t="str">
            <v>Cover 2</v>
          </cell>
          <cell r="M210" t="str">
            <v>FPFC</v>
          </cell>
          <cell r="N210" t="str">
            <v>19X26.5</v>
          </cell>
          <cell r="P210">
            <v>12000</v>
          </cell>
          <cell r="AG210">
            <v>204</v>
          </cell>
        </row>
        <row r="211">
          <cell r="A211" t="str">
            <v>P023</v>
          </cell>
          <cell r="K211" t="str">
            <v>P023Cover 3FPFC</v>
          </cell>
          <cell r="L211" t="str">
            <v>Cover 3</v>
          </cell>
          <cell r="M211" t="str">
            <v>FPFC</v>
          </cell>
          <cell r="N211" t="str">
            <v>19X26.5</v>
          </cell>
          <cell r="P211">
            <v>12000</v>
          </cell>
          <cell r="AG211">
            <v>205</v>
          </cell>
        </row>
        <row r="212">
          <cell r="A212" t="str">
            <v>P023</v>
          </cell>
          <cell r="K212" t="str">
            <v>P023FirstFPFC</v>
          </cell>
          <cell r="L212" t="str">
            <v>First</v>
          </cell>
          <cell r="M212" t="str">
            <v>FPFC</v>
          </cell>
          <cell r="N212" t="str">
            <v>19X26.5</v>
          </cell>
          <cell r="P212">
            <v>11000</v>
          </cell>
          <cell r="AG212">
            <v>206</v>
          </cell>
        </row>
        <row r="213">
          <cell r="A213" t="str">
            <v>P023</v>
          </cell>
          <cell r="K213" t="str">
            <v>P023InsideDPFC</v>
          </cell>
          <cell r="L213" t="str">
            <v>Inside</v>
          </cell>
          <cell r="M213" t="str">
            <v>DPFC</v>
          </cell>
          <cell r="N213" t="str">
            <v>6.5X28.5</v>
          </cell>
          <cell r="P213">
            <v>17000</v>
          </cell>
          <cell r="AG213">
            <v>207</v>
          </cell>
        </row>
        <row r="214">
          <cell r="A214" t="str">
            <v>P023</v>
          </cell>
          <cell r="K214" t="str">
            <v>P023InsideFPFC</v>
          </cell>
          <cell r="L214" t="str">
            <v>Inside</v>
          </cell>
          <cell r="M214" t="str">
            <v>FPFC</v>
          </cell>
          <cell r="N214" t="str">
            <v>19X26.5</v>
          </cell>
          <cell r="P214">
            <v>9000</v>
          </cell>
          <cell r="AG214">
            <v>208</v>
          </cell>
        </row>
        <row r="215">
          <cell r="A215" t="str">
            <v>P023</v>
          </cell>
          <cell r="K215" t="str">
            <v>P023InsideJPFC</v>
          </cell>
          <cell r="L215" t="str">
            <v>Inside</v>
          </cell>
          <cell r="M215" t="str">
            <v>JPFC</v>
          </cell>
          <cell r="N215" t="str">
            <v>12.5X18</v>
          </cell>
          <cell r="P215">
            <v>5000</v>
          </cell>
          <cell r="AG215">
            <v>209</v>
          </cell>
        </row>
        <row r="216">
          <cell r="A216" t="str">
            <v>P023</v>
          </cell>
          <cell r="B216" t="str">
            <v>TIEN PHONG Daily</v>
          </cell>
          <cell r="C216">
            <v>8481068</v>
          </cell>
          <cell r="D216">
            <v>8469495</v>
          </cell>
          <cell r="E216" t="str">
            <v>384/54 NKKN Q3 HCM</v>
          </cell>
          <cell r="F216" t="str">
            <v>Ms Nghi 0903844224</v>
          </cell>
          <cell r="G216" t="str">
            <v>Daily</v>
          </cell>
          <cell r="H216">
            <v>100000</v>
          </cell>
          <cell r="K216" t="str">
            <v>P023InsideVPFC</v>
          </cell>
          <cell r="L216" t="str">
            <v>Inside</v>
          </cell>
          <cell r="M216" t="str">
            <v>VPFC</v>
          </cell>
          <cell r="N216" t="str">
            <v>9X27.5</v>
          </cell>
          <cell r="P216">
            <v>5000</v>
          </cell>
          <cell r="AC216">
            <v>15</v>
          </cell>
          <cell r="AD216">
            <v>10</v>
          </cell>
          <cell r="AE216">
            <v>100</v>
          </cell>
          <cell r="AF216" t="str">
            <v>CD</v>
          </cell>
          <cell r="AG216">
            <v>210</v>
          </cell>
        </row>
        <row r="217">
          <cell r="A217" t="str">
            <v>P023</v>
          </cell>
          <cell r="B217" t="str">
            <v>TIEN PHONG Daily</v>
          </cell>
          <cell r="C217">
            <v>8481068</v>
          </cell>
          <cell r="D217">
            <v>8469495</v>
          </cell>
          <cell r="E217" t="str">
            <v>384/54 NKKN Q3 HCM</v>
          </cell>
          <cell r="F217" t="str">
            <v>Ms Nghi 0903844224</v>
          </cell>
          <cell r="G217" t="str">
            <v>Daily</v>
          </cell>
          <cell r="H217">
            <v>100000</v>
          </cell>
          <cell r="K217" t="str">
            <v>P023InsideHPFC</v>
          </cell>
          <cell r="L217" t="str">
            <v>Inside</v>
          </cell>
          <cell r="M217" t="str">
            <v>HPFC</v>
          </cell>
          <cell r="N217" t="str">
            <v>25.5X38.5</v>
          </cell>
          <cell r="P217">
            <v>4500</v>
          </cell>
          <cell r="AC217">
            <v>15</v>
          </cell>
          <cell r="AD217">
            <v>10</v>
          </cell>
          <cell r="AE217">
            <v>100</v>
          </cell>
          <cell r="AF217" t="str">
            <v>CD</v>
          </cell>
          <cell r="AG217">
            <v>211</v>
          </cell>
        </row>
        <row r="218">
          <cell r="A218" t="str">
            <v>P023</v>
          </cell>
          <cell r="B218" t="str">
            <v>5G</v>
          </cell>
          <cell r="C218">
            <v>8481068</v>
          </cell>
          <cell r="D218">
            <v>8469495</v>
          </cell>
          <cell r="E218" t="str">
            <v>384/54 NKKN Q3 HCM</v>
          </cell>
          <cell r="F218" t="str">
            <v>Ms Nghi 0903844224</v>
          </cell>
          <cell r="G218" t="str">
            <v>Daily</v>
          </cell>
          <cell r="H218">
            <v>100000</v>
          </cell>
          <cell r="K218" t="str">
            <v>P023Inside1/3VPFC</v>
          </cell>
          <cell r="L218" t="str">
            <v>Inside</v>
          </cell>
          <cell r="M218" t="str">
            <v>1/3VPFC</v>
          </cell>
          <cell r="N218" t="str">
            <v>6.5X28.5</v>
          </cell>
          <cell r="P218">
            <v>3300</v>
          </cell>
          <cell r="AC218">
            <v>15</v>
          </cell>
          <cell r="AD218">
            <v>10</v>
          </cell>
          <cell r="AE218">
            <v>100</v>
          </cell>
          <cell r="AF218" t="str">
            <v>CD</v>
          </cell>
          <cell r="AG218">
            <v>212</v>
          </cell>
        </row>
        <row r="219">
          <cell r="A219" t="str">
            <v>P023</v>
          </cell>
          <cell r="B219" t="str">
            <v>5G</v>
          </cell>
          <cell r="K219" t="str">
            <v>P023Inside1/3HPFC</v>
          </cell>
          <cell r="L219" t="str">
            <v>Inside</v>
          </cell>
          <cell r="M219" t="str">
            <v>1/3HPFC</v>
          </cell>
          <cell r="N219" t="str">
            <v>19X12.5</v>
          </cell>
          <cell r="P219">
            <v>3300</v>
          </cell>
          <cell r="AG219">
            <v>213</v>
          </cell>
        </row>
        <row r="220">
          <cell r="A220" t="str">
            <v>P023</v>
          </cell>
          <cell r="K220" t="str">
            <v>P023Strip adFC</v>
          </cell>
          <cell r="L220" t="str">
            <v>Strip ad</v>
          </cell>
          <cell r="M220" t="str">
            <v>FC</v>
          </cell>
          <cell r="N220" t="str">
            <v>19X5</v>
          </cell>
          <cell r="P220">
            <v>2600</v>
          </cell>
          <cell r="AG220">
            <v>214</v>
          </cell>
        </row>
        <row r="221">
          <cell r="A221" t="str">
            <v>TIEN PHONG CUOI THANG</v>
          </cell>
          <cell r="K221" t="str">
            <v>TIEN PHONG CUOI THANG</v>
          </cell>
          <cell r="L221" t="str">
            <v>Inside</v>
          </cell>
          <cell r="M221" t="str">
            <v>JPBW</v>
          </cell>
          <cell r="N221" t="str">
            <v>18.5X25.5</v>
          </cell>
          <cell r="P221">
            <v>8400</v>
          </cell>
          <cell r="AG221">
            <v>215</v>
          </cell>
        </row>
        <row r="222">
          <cell r="A222" t="str">
            <v>P024</v>
          </cell>
          <cell r="B222" t="str">
            <v>TIEN PHONG Daily</v>
          </cell>
          <cell r="C222">
            <v>8481068</v>
          </cell>
          <cell r="D222">
            <v>8469495</v>
          </cell>
          <cell r="E222" t="str">
            <v>384/54 NKKN Q3 HCM</v>
          </cell>
          <cell r="F222" t="str">
            <v>Ms Nghi 0903844224</v>
          </cell>
          <cell r="G222" t="str">
            <v>Daily</v>
          </cell>
          <cell r="H222">
            <v>100000</v>
          </cell>
          <cell r="K222" t="str">
            <v>P024LastFPFC</v>
          </cell>
          <cell r="L222" t="str">
            <v>Last</v>
          </cell>
          <cell r="M222" t="str">
            <v>FPFC</v>
          </cell>
          <cell r="N222" t="str">
            <v>25.5X38.5</v>
          </cell>
          <cell r="P222">
            <v>26400</v>
          </cell>
          <cell r="AC222">
            <v>15</v>
          </cell>
          <cell r="AD222">
            <v>10</v>
          </cell>
          <cell r="AE222">
            <v>100</v>
          </cell>
          <cell r="AF222" t="str">
            <v>CD</v>
          </cell>
          <cell r="AG222">
            <v>216</v>
          </cell>
        </row>
        <row r="223">
          <cell r="A223" t="str">
            <v>P024</v>
          </cell>
          <cell r="B223" t="str">
            <v>5G</v>
          </cell>
          <cell r="K223" t="str">
            <v>P024InsideFPFC</v>
          </cell>
          <cell r="L223" t="str">
            <v>Inside</v>
          </cell>
          <cell r="M223" t="str">
            <v>FPFC</v>
          </cell>
          <cell r="N223" t="str">
            <v>25.5X38.5</v>
          </cell>
          <cell r="P223">
            <v>22000</v>
          </cell>
          <cell r="AG223">
            <v>217</v>
          </cell>
        </row>
        <row r="224">
          <cell r="A224" t="str">
            <v>P024</v>
          </cell>
          <cell r="K224" t="str">
            <v>P024InsideFPBW</v>
          </cell>
          <cell r="L224" t="str">
            <v>Inside</v>
          </cell>
          <cell r="M224" t="str">
            <v>FPBW</v>
          </cell>
          <cell r="N224" t="str">
            <v>25.5X38.5</v>
          </cell>
          <cell r="P224">
            <v>14000</v>
          </cell>
          <cell r="AG224">
            <v>218</v>
          </cell>
        </row>
        <row r="225">
          <cell r="A225" t="str">
            <v>P024</v>
          </cell>
          <cell r="K225" t="str">
            <v>P024InsideJPFC</v>
          </cell>
          <cell r="L225" t="str">
            <v>Inside</v>
          </cell>
          <cell r="M225" t="str">
            <v>JPFC</v>
          </cell>
          <cell r="N225" t="str">
            <v>18.5X25.5</v>
          </cell>
          <cell r="P225">
            <v>13200</v>
          </cell>
          <cell r="AG225">
            <v>219</v>
          </cell>
        </row>
        <row r="226">
          <cell r="A226" t="str">
            <v>P024</v>
          </cell>
          <cell r="B226" t="str">
            <v>CONG AN DA NANG News.</v>
          </cell>
          <cell r="C226">
            <v>9967066</v>
          </cell>
          <cell r="D226">
            <v>9967066</v>
          </cell>
          <cell r="E226" t="str">
            <v>40 C5 Chu Van An P 26 Binh Thanh</v>
          </cell>
          <cell r="F226" t="str">
            <v>Mr Mai Phuc 0903924405</v>
          </cell>
          <cell r="G226" t="str">
            <v>2,4,6/ Weekly</v>
          </cell>
          <cell r="H226">
            <v>40000</v>
          </cell>
          <cell r="I226">
            <v>0.15</v>
          </cell>
          <cell r="K226" t="str">
            <v>P024InsideJPBW</v>
          </cell>
          <cell r="L226" t="str">
            <v>Inside</v>
          </cell>
          <cell r="M226" t="str">
            <v>JPBW</v>
          </cell>
          <cell r="N226" t="str">
            <v>18.5X25.5</v>
          </cell>
          <cell r="P226">
            <v>8400</v>
          </cell>
          <cell r="AC226">
            <v>15</v>
          </cell>
          <cell r="AD226">
            <v>10</v>
          </cell>
          <cell r="AE226">
            <v>100</v>
          </cell>
          <cell r="AF226" t="str">
            <v>CD</v>
          </cell>
          <cell r="AG226">
            <v>220</v>
          </cell>
        </row>
        <row r="227">
          <cell r="A227" t="str">
            <v>P024</v>
          </cell>
          <cell r="B227" t="str">
            <v>CONG AN DA NANG News.</v>
          </cell>
          <cell r="C227">
            <v>9967066</v>
          </cell>
          <cell r="D227">
            <v>9967066</v>
          </cell>
          <cell r="E227" t="str">
            <v>40 C5 Chu Van An P 26 Binh Thanh</v>
          </cell>
          <cell r="F227" t="str">
            <v>Mr Mai Phuc 0903924405</v>
          </cell>
          <cell r="G227" t="str">
            <v>2,4,6/ Weekly</v>
          </cell>
          <cell r="H227">
            <v>40000</v>
          </cell>
          <cell r="I227">
            <v>0.15</v>
          </cell>
          <cell r="K227" t="str">
            <v>P024InsideHPFC</v>
          </cell>
          <cell r="L227" t="str">
            <v>Inside</v>
          </cell>
          <cell r="M227" t="str">
            <v>HPFC</v>
          </cell>
          <cell r="N227" t="str">
            <v>25.5X18.5</v>
          </cell>
          <cell r="P227">
            <v>11000</v>
          </cell>
          <cell r="AC227">
            <v>15</v>
          </cell>
          <cell r="AD227">
            <v>10</v>
          </cell>
          <cell r="AE227">
            <v>100</v>
          </cell>
          <cell r="AF227" t="str">
            <v>CD</v>
          </cell>
          <cell r="AG227">
            <v>221</v>
          </cell>
        </row>
        <row r="228">
          <cell r="A228" t="str">
            <v>P024</v>
          </cell>
          <cell r="B228" t="str">
            <v>11G</v>
          </cell>
          <cell r="C228">
            <v>9967066</v>
          </cell>
          <cell r="D228">
            <v>9967066</v>
          </cell>
          <cell r="E228" t="str">
            <v>40 C5 Chu Van An P 26 Binh Thanh</v>
          </cell>
          <cell r="F228" t="str">
            <v>Mr Mai Phuc 0903924405</v>
          </cell>
          <cell r="G228" t="str">
            <v>Mon, Wed, Fri/ Weekly</v>
          </cell>
          <cell r="H228">
            <v>40000</v>
          </cell>
          <cell r="I228">
            <v>0.15</v>
          </cell>
          <cell r="K228" t="str">
            <v>P024InsideHPBW</v>
          </cell>
          <cell r="L228" t="str">
            <v>Inside</v>
          </cell>
          <cell r="M228" t="str">
            <v>HPBW</v>
          </cell>
          <cell r="N228" t="str">
            <v>25.5X18.5</v>
          </cell>
          <cell r="P228">
            <v>7000</v>
          </cell>
          <cell r="Q228">
            <v>0.15</v>
          </cell>
          <cell r="AC228">
            <v>15</v>
          </cell>
          <cell r="AD228">
            <v>10</v>
          </cell>
          <cell r="AE228">
            <v>100</v>
          </cell>
          <cell r="AF228" t="str">
            <v>CD</v>
          </cell>
          <cell r="AG228">
            <v>222</v>
          </cell>
        </row>
        <row r="229">
          <cell r="A229" t="str">
            <v>P024</v>
          </cell>
          <cell r="B229" t="str">
            <v>11G</v>
          </cell>
          <cell r="C229">
            <v>2905337</v>
          </cell>
          <cell r="E229" t="str">
            <v>P309, Lau 3, 180-182 Ly Chinh Thang, P9, Q3</v>
          </cell>
          <cell r="F229" t="str">
            <v>Ms Xuan Anh 0913663227</v>
          </cell>
          <cell r="G229" t="str">
            <v>4,7/ weekly</v>
          </cell>
          <cell r="H229">
            <v>200000</v>
          </cell>
          <cell r="I229">
            <v>7.0000000000000007E-2</v>
          </cell>
          <cell r="K229" t="str">
            <v>P024Strip adFC</v>
          </cell>
          <cell r="L229" t="str">
            <v>Strip ad</v>
          </cell>
          <cell r="M229" t="str">
            <v>FC</v>
          </cell>
          <cell r="N229" t="str">
            <v>25.5X5</v>
          </cell>
          <cell r="P229">
            <v>3300</v>
          </cell>
          <cell r="AC229">
            <v>15</v>
          </cell>
          <cell r="AD229">
            <v>10</v>
          </cell>
          <cell r="AE229">
            <v>100</v>
          </cell>
          <cell r="AF229" t="str">
            <v>CD</v>
          </cell>
          <cell r="AG229">
            <v>223</v>
          </cell>
        </row>
        <row r="230">
          <cell r="A230" t="str">
            <v>P024</v>
          </cell>
          <cell r="B230" t="str">
            <v>AN NINH THE GIOI</v>
          </cell>
          <cell r="C230">
            <v>2905337</v>
          </cell>
          <cell r="E230" t="str">
            <v>P309, Lau 3, 180-182 Ly Chinh Thang, P9, Q3</v>
          </cell>
          <cell r="F230" t="str">
            <v>Ms Xuan Anh 0913663227</v>
          </cell>
          <cell r="G230" t="str">
            <v>4,7/ weekly</v>
          </cell>
          <cell r="H230">
            <v>200000</v>
          </cell>
          <cell r="I230">
            <v>7.0000000000000007E-2</v>
          </cell>
          <cell r="K230" t="str">
            <v>P024Strip adBW</v>
          </cell>
          <cell r="L230" t="str">
            <v>Strip ad</v>
          </cell>
          <cell r="M230" t="str">
            <v>BW</v>
          </cell>
          <cell r="N230" t="str">
            <v>25.5X5</v>
          </cell>
          <cell r="P230">
            <v>2000</v>
          </cell>
          <cell r="AC230">
            <v>15</v>
          </cell>
          <cell r="AD230">
            <v>10</v>
          </cell>
          <cell r="AE230">
            <v>100</v>
          </cell>
          <cell r="AF230" t="str">
            <v>CD</v>
          </cell>
          <cell r="AG230">
            <v>224</v>
          </cell>
        </row>
        <row r="231">
          <cell r="A231" t="str">
            <v>TIEN PHONG Daily</v>
          </cell>
          <cell r="B231" t="str">
            <v>3F</v>
          </cell>
          <cell r="K231" t="str">
            <v>TIEN PHONG Daily</v>
          </cell>
          <cell r="L231" t="str">
            <v>Inside</v>
          </cell>
          <cell r="M231" t="str">
            <v>HPFC</v>
          </cell>
          <cell r="N231" t="str">
            <v>18X13</v>
          </cell>
          <cell r="P231">
            <v>13000</v>
          </cell>
          <cell r="AG231">
            <v>225</v>
          </cell>
        </row>
        <row r="232">
          <cell r="A232" t="str">
            <v>P025</v>
          </cell>
          <cell r="B232" t="str">
            <v>CONG AN DA NANG News.</v>
          </cell>
          <cell r="C232">
            <v>9967066</v>
          </cell>
          <cell r="D232">
            <v>9967066</v>
          </cell>
          <cell r="E232" t="str">
            <v>40 C5 Chu Van An P 26 Binh Thanh</v>
          </cell>
          <cell r="F232" t="str">
            <v>Mr Mai Phuc 0903924405</v>
          </cell>
          <cell r="G232" t="str">
            <v>Mon, Wed, Fri/ Weekly</v>
          </cell>
          <cell r="H232">
            <v>40000</v>
          </cell>
          <cell r="I232">
            <v>0.15</v>
          </cell>
          <cell r="K232" t="str">
            <v>P025InsideFPFC</v>
          </cell>
          <cell r="L232" t="str">
            <v>Inside</v>
          </cell>
          <cell r="M232" t="str">
            <v>FPFC</v>
          </cell>
          <cell r="N232" t="str">
            <v>26X38</v>
          </cell>
          <cell r="P232">
            <v>15000</v>
          </cell>
          <cell r="Q232">
            <v>0.15</v>
          </cell>
          <cell r="AC232">
            <v>15</v>
          </cell>
          <cell r="AD232">
            <v>10</v>
          </cell>
          <cell r="AE232">
            <v>100</v>
          </cell>
          <cell r="AF232" t="str">
            <v>CD</v>
          </cell>
          <cell r="AG232">
            <v>226</v>
          </cell>
        </row>
        <row r="233">
          <cell r="A233" t="str">
            <v>P025</v>
          </cell>
          <cell r="B233" t="str">
            <v>11G</v>
          </cell>
          <cell r="C233">
            <v>9101766</v>
          </cell>
          <cell r="D233">
            <v>9101636</v>
          </cell>
          <cell r="E233" t="str">
            <v>Lau 6, P. 616, Me Linh Point- 2 Ngo Duc Ke, Q.1</v>
          </cell>
          <cell r="F233" t="str">
            <v>Ms Hoang Trang</v>
          </cell>
          <cell r="G233" t="str">
            <v>4/ weekly</v>
          </cell>
          <cell r="H233">
            <v>200000</v>
          </cell>
          <cell r="K233" t="str">
            <v>P025LastFPFC</v>
          </cell>
          <cell r="L233" t="str">
            <v>Last</v>
          </cell>
          <cell r="M233" t="str">
            <v>FPFC</v>
          </cell>
          <cell r="N233" t="str">
            <v>26X38</v>
          </cell>
          <cell r="P233">
            <v>15000</v>
          </cell>
          <cell r="AC233">
            <v>15</v>
          </cell>
          <cell r="AD233">
            <v>10</v>
          </cell>
          <cell r="AE233">
            <v>100</v>
          </cell>
          <cell r="AF233" t="str">
            <v>CD</v>
          </cell>
          <cell r="AG233">
            <v>227</v>
          </cell>
        </row>
        <row r="234">
          <cell r="A234" t="str">
            <v>P025</v>
          </cell>
          <cell r="B234" t="str">
            <v>3B</v>
          </cell>
          <cell r="K234" t="str">
            <v>P025InsideHPFC</v>
          </cell>
          <cell r="L234" t="str">
            <v>Inside</v>
          </cell>
          <cell r="M234" t="str">
            <v>HPFC</v>
          </cell>
          <cell r="N234" t="str">
            <v>26X19</v>
          </cell>
          <cell r="P234">
            <v>8000</v>
          </cell>
          <cell r="AG234">
            <v>228</v>
          </cell>
        </row>
        <row r="235">
          <cell r="A235" t="str">
            <v>CONG AN DA NANG News.</v>
          </cell>
          <cell r="B235" t="str">
            <v>CONG AN TPHCM News.</v>
          </cell>
          <cell r="C235">
            <v>9101766</v>
          </cell>
          <cell r="D235">
            <v>9101636</v>
          </cell>
          <cell r="E235" t="str">
            <v>Lau 6, P. 616, Me Linh Point- 2 Ngo Duc Ke, Q.1</v>
          </cell>
          <cell r="F235" t="str">
            <v>Ms Hoang Trang</v>
          </cell>
          <cell r="G235" t="str">
            <v>Wed/ Weekly</v>
          </cell>
          <cell r="H235">
            <v>200000</v>
          </cell>
          <cell r="K235" t="str">
            <v>CONG AN DA NANG News.</v>
          </cell>
          <cell r="L235" t="str">
            <v>Inside</v>
          </cell>
          <cell r="M235" t="str">
            <v>HPFC</v>
          </cell>
          <cell r="N235" t="str">
            <v>25.1X18.45</v>
          </cell>
          <cell r="P235">
            <v>29000</v>
          </cell>
          <cell r="AC235">
            <v>15</v>
          </cell>
          <cell r="AD235">
            <v>10</v>
          </cell>
          <cell r="AE235">
            <v>100</v>
          </cell>
          <cell r="AF235" t="str">
            <v>CD</v>
          </cell>
          <cell r="AG235">
            <v>229</v>
          </cell>
        </row>
        <row r="236">
          <cell r="A236" t="str">
            <v>P026</v>
          </cell>
          <cell r="B236" t="str">
            <v>AN NINH THE GIOI</v>
          </cell>
          <cell r="C236">
            <v>2905337</v>
          </cell>
          <cell r="D236">
            <v>2905339</v>
          </cell>
          <cell r="E236" t="str">
            <v>P309, Lau 3, 180-182 Ly Chinh Thang, P9, Q3</v>
          </cell>
          <cell r="F236" t="str">
            <v>Ms Xuan Anh 0913663227</v>
          </cell>
          <cell r="G236" t="str">
            <v>Wed, Sat/ Weekly</v>
          </cell>
          <cell r="H236">
            <v>200000</v>
          </cell>
          <cell r="I236">
            <v>7.0000000000000007E-2</v>
          </cell>
          <cell r="K236" t="str">
            <v>P026InsideFPFC</v>
          </cell>
          <cell r="L236" t="str">
            <v>Inside</v>
          </cell>
          <cell r="M236" t="str">
            <v>FPFC</v>
          </cell>
          <cell r="N236" t="str">
            <v>18X26</v>
          </cell>
          <cell r="P236">
            <v>25000</v>
          </cell>
          <cell r="Q236">
            <v>7.0000000000000007E-2</v>
          </cell>
          <cell r="AC236">
            <v>15</v>
          </cell>
          <cell r="AD236">
            <v>10</v>
          </cell>
          <cell r="AE236">
            <v>100</v>
          </cell>
          <cell r="AF236" t="str">
            <v>CD</v>
          </cell>
          <cell r="AG236">
            <v>230</v>
          </cell>
        </row>
        <row r="237">
          <cell r="A237" t="str">
            <v>P026</v>
          </cell>
          <cell r="B237" t="str">
            <v>3F</v>
          </cell>
          <cell r="K237" t="str">
            <v>P026InsideHPFC</v>
          </cell>
          <cell r="L237" t="str">
            <v>Inside</v>
          </cell>
          <cell r="M237" t="str">
            <v>HPFC</v>
          </cell>
          <cell r="N237" t="str">
            <v>18X13</v>
          </cell>
          <cell r="P237">
            <v>13000</v>
          </cell>
          <cell r="AG237">
            <v>231</v>
          </cell>
        </row>
        <row r="238">
          <cell r="A238" t="str">
            <v>AN NINH THE GIOI</v>
          </cell>
          <cell r="K238" t="str">
            <v>AN NINH THE GIOI</v>
          </cell>
          <cell r="L238" t="str">
            <v>Last</v>
          </cell>
          <cell r="M238" t="str">
            <v>FPFC</v>
          </cell>
          <cell r="N238" t="str">
            <v>25.1X37.4</v>
          </cell>
          <cell r="P238">
            <v>55650</v>
          </cell>
          <cell r="AG238">
            <v>232</v>
          </cell>
        </row>
        <row r="239">
          <cell r="A239" t="str">
            <v>P027</v>
          </cell>
          <cell r="B239" t="str">
            <v>CONG AN TPHCM News.</v>
          </cell>
          <cell r="C239">
            <v>9101766</v>
          </cell>
          <cell r="D239">
            <v>9101636</v>
          </cell>
          <cell r="E239" t="str">
            <v>Lau 6, P. 616, Me Linh Point- 2 Ngo Duc Ke, Q.1</v>
          </cell>
          <cell r="F239" t="str">
            <v>Ms Hoang Trang</v>
          </cell>
          <cell r="G239" t="str">
            <v>Wed/ Weekly</v>
          </cell>
          <cell r="H239">
            <v>200000</v>
          </cell>
          <cell r="I239">
            <v>0.1</v>
          </cell>
          <cell r="K239" t="str">
            <v>P027FirstFPFC</v>
          </cell>
          <cell r="L239" t="str">
            <v>First</v>
          </cell>
          <cell r="M239" t="str">
            <v>FPFC</v>
          </cell>
          <cell r="N239" t="str">
            <v>25.1X33.1</v>
          </cell>
          <cell r="P239">
            <v>58300.000000000007</v>
          </cell>
          <cell r="AC239">
            <v>15</v>
          </cell>
          <cell r="AD239">
            <v>10</v>
          </cell>
          <cell r="AE239">
            <v>100</v>
          </cell>
          <cell r="AF239" t="str">
            <v>CD</v>
          </cell>
          <cell r="AG239">
            <v>233</v>
          </cell>
        </row>
        <row r="240">
          <cell r="A240" t="str">
            <v>P027</v>
          </cell>
          <cell r="B240" t="str">
            <v>3B</v>
          </cell>
          <cell r="C240">
            <v>8468715</v>
          </cell>
          <cell r="D240">
            <v>9316723</v>
          </cell>
          <cell r="E240" t="str">
            <v>188 Ly Chinh Thang, Q.3, Tp. HCM</v>
          </cell>
          <cell r="F240" t="str">
            <v>Ms Ngoc Lan 0903773206</v>
          </cell>
          <cell r="G240" t="str">
            <v>3,6/week</v>
          </cell>
          <cell r="I240">
            <v>0.1</v>
          </cell>
          <cell r="K240" t="str">
            <v>P027InsideFPFC</v>
          </cell>
          <cell r="L240" t="str">
            <v>Inside</v>
          </cell>
          <cell r="M240" t="str">
            <v>FPFC</v>
          </cell>
          <cell r="N240" t="str">
            <v>25.1X37.4</v>
          </cell>
          <cell r="P240">
            <v>53000</v>
          </cell>
          <cell r="AC240">
            <v>15</v>
          </cell>
          <cell r="AD240">
            <v>10</v>
          </cell>
          <cell r="AE240">
            <v>100</v>
          </cell>
          <cell r="AF240" t="str">
            <v>CD</v>
          </cell>
          <cell r="AG240">
            <v>234</v>
          </cell>
        </row>
        <row r="241">
          <cell r="A241" t="str">
            <v>P027</v>
          </cell>
          <cell r="B241" t="str">
            <v>7F</v>
          </cell>
          <cell r="K241" t="str">
            <v>P027InsideHPFC</v>
          </cell>
          <cell r="L241" t="str">
            <v>Inside</v>
          </cell>
          <cell r="M241" t="str">
            <v>HPFC</v>
          </cell>
          <cell r="N241" t="str">
            <v>25.1X18.45</v>
          </cell>
          <cell r="P241">
            <v>29000</v>
          </cell>
          <cell r="AG241">
            <v>235</v>
          </cell>
        </row>
        <row r="242">
          <cell r="A242" t="str">
            <v>P027</v>
          </cell>
          <cell r="B242" t="str">
            <v>PHU NU HCM</v>
          </cell>
          <cell r="C242">
            <v>8468715</v>
          </cell>
          <cell r="D242">
            <v>8468523</v>
          </cell>
          <cell r="E242" t="str">
            <v>188 Ly Chinh Thang, Q.3, Tp. HCM</v>
          </cell>
          <cell r="F242" t="str">
            <v>Ms Ngoc Lan 0903773206</v>
          </cell>
          <cell r="G242" t="str">
            <v>Tue, Fri/ Week</v>
          </cell>
          <cell r="I242">
            <v>0.1</v>
          </cell>
          <cell r="K242" t="str">
            <v>P027FirstHPFC</v>
          </cell>
          <cell r="L242" t="str">
            <v>First</v>
          </cell>
          <cell r="M242" t="str">
            <v>HPFC</v>
          </cell>
          <cell r="N242" t="str">
            <v>25.1X16.3</v>
          </cell>
          <cell r="P242">
            <v>29000</v>
          </cell>
          <cell r="Q242">
            <v>0.1</v>
          </cell>
          <cell r="AC242">
            <v>15</v>
          </cell>
          <cell r="AD242">
            <v>10</v>
          </cell>
          <cell r="AE242">
            <v>100</v>
          </cell>
          <cell r="AF242" t="str">
            <v>CD</v>
          </cell>
          <cell r="AG242">
            <v>236</v>
          </cell>
        </row>
        <row r="243">
          <cell r="A243" t="str">
            <v>P027</v>
          </cell>
          <cell r="B243" t="str">
            <v>7F</v>
          </cell>
          <cell r="K243" t="str">
            <v>P027InsideQPFC</v>
          </cell>
          <cell r="L243" t="str">
            <v>Inside</v>
          </cell>
          <cell r="M243" t="str">
            <v>QPFC</v>
          </cell>
          <cell r="N243" t="str">
            <v>12.3X18.45</v>
          </cell>
          <cell r="P243">
            <v>16000</v>
          </cell>
          <cell r="AG243">
            <v>237</v>
          </cell>
        </row>
        <row r="244">
          <cell r="A244" t="str">
            <v>P027</v>
          </cell>
          <cell r="K244" t="str">
            <v>P027LastFPFC</v>
          </cell>
          <cell r="L244" t="str">
            <v>Last</v>
          </cell>
          <cell r="M244" t="str">
            <v>FPFC</v>
          </cell>
          <cell r="N244" t="str">
            <v>25.1X37.4</v>
          </cell>
          <cell r="P244">
            <v>55650</v>
          </cell>
          <cell r="AG244">
            <v>238</v>
          </cell>
        </row>
        <row r="245">
          <cell r="A245" t="str">
            <v>CONG AN TPHCM News.</v>
          </cell>
          <cell r="B245" t="str">
            <v>PHU NU CN- COST WILL BE INCREASED FROM OCT'06</v>
          </cell>
          <cell r="C245">
            <v>8468715</v>
          </cell>
          <cell r="D245">
            <v>9316723</v>
          </cell>
          <cell r="E245" t="str">
            <v>188 Ly Chinh Thang, Q.3, Tp. HCM</v>
          </cell>
          <cell r="F245" t="str">
            <v>Ms Ngoc Lan 0903773206</v>
          </cell>
          <cell r="G245" t="str">
            <v>weekly</v>
          </cell>
          <cell r="H245">
            <v>152000</v>
          </cell>
          <cell r="I245">
            <v>0.1</v>
          </cell>
          <cell r="K245" t="str">
            <v>CONG AN TPHCM News.</v>
          </cell>
          <cell r="L245" t="str">
            <v>Inside</v>
          </cell>
          <cell r="M245" t="str">
            <v>HPFC</v>
          </cell>
          <cell r="N245" t="str">
            <v>24.5X18</v>
          </cell>
          <cell r="O245" t="str">
            <v>20.5X28.5</v>
          </cell>
          <cell r="P245">
            <v>11000</v>
          </cell>
          <cell r="AC245">
            <v>15</v>
          </cell>
          <cell r="AD245">
            <v>10</v>
          </cell>
          <cell r="AE245">
            <v>100</v>
          </cell>
          <cell r="AF245" t="str">
            <v>CD</v>
          </cell>
          <cell r="AG245">
            <v>239</v>
          </cell>
        </row>
        <row r="246">
          <cell r="A246" t="str">
            <v>P028</v>
          </cell>
          <cell r="B246" t="str">
            <v>PHU NU HCM</v>
          </cell>
          <cell r="C246">
            <v>8468715</v>
          </cell>
          <cell r="D246">
            <v>8468523</v>
          </cell>
          <cell r="E246" t="str">
            <v>188 Ly Chinh Thang, Q.3, Tp. HCM</v>
          </cell>
          <cell r="F246" t="str">
            <v>Ms Ngoc Lan 0903773206</v>
          </cell>
          <cell r="G246" t="str">
            <v>Tue, Fri/ Week</v>
          </cell>
          <cell r="H246">
            <v>152000</v>
          </cell>
          <cell r="I246">
            <v>0.1</v>
          </cell>
          <cell r="K246" t="str">
            <v>P028InsideFPFC</v>
          </cell>
          <cell r="L246" t="str">
            <v>Inside</v>
          </cell>
          <cell r="M246" t="str">
            <v>FPFC</v>
          </cell>
          <cell r="N246" t="str">
            <v>24.5X36.5</v>
          </cell>
          <cell r="O246" t="str">
            <v>20.5X28.5</v>
          </cell>
          <cell r="P246">
            <v>21000</v>
          </cell>
          <cell r="Q246">
            <v>0.1</v>
          </cell>
          <cell r="AC246">
            <v>15</v>
          </cell>
          <cell r="AD246">
            <v>10</v>
          </cell>
          <cell r="AE246">
            <v>100</v>
          </cell>
          <cell r="AF246" t="str">
            <v>CD</v>
          </cell>
          <cell r="AG246">
            <v>240</v>
          </cell>
        </row>
        <row r="247">
          <cell r="A247" t="str">
            <v>P028</v>
          </cell>
          <cell r="B247" t="str">
            <v>7F</v>
          </cell>
          <cell r="K247" t="str">
            <v>P028FirstFPFC</v>
          </cell>
          <cell r="L247" t="str">
            <v>First</v>
          </cell>
          <cell r="M247" t="str">
            <v>FPFC</v>
          </cell>
          <cell r="N247" t="str">
            <v>24.5X36.5</v>
          </cell>
          <cell r="P247">
            <v>25200</v>
          </cell>
          <cell r="AG247">
            <v>241</v>
          </cell>
        </row>
        <row r="248">
          <cell r="A248" t="str">
            <v>P028</v>
          </cell>
          <cell r="K248" t="str">
            <v>P028LastFPFC</v>
          </cell>
          <cell r="L248" t="str">
            <v>Last</v>
          </cell>
          <cell r="M248" t="str">
            <v>FPFC</v>
          </cell>
          <cell r="N248" t="str">
            <v>24.5X36.5</v>
          </cell>
          <cell r="P248">
            <v>25200</v>
          </cell>
          <cell r="AG248">
            <v>242</v>
          </cell>
        </row>
        <row r="249">
          <cell r="A249" t="str">
            <v>P028</v>
          </cell>
          <cell r="B249" t="str">
            <v>PHU NU CN</v>
          </cell>
          <cell r="C249">
            <v>8468715</v>
          </cell>
          <cell r="D249">
            <v>9316723</v>
          </cell>
          <cell r="E249" t="str">
            <v>188 Ly Chinh Thang, Q.3, Tp. HCM</v>
          </cell>
          <cell r="F249" t="str">
            <v>Ms Ngoc Lan 0903773206</v>
          </cell>
          <cell r="G249" t="str">
            <v>Weekly</v>
          </cell>
          <cell r="H249">
            <v>152000</v>
          </cell>
          <cell r="I249">
            <v>0.1</v>
          </cell>
          <cell r="K249" t="str">
            <v>P028InsideHPFC</v>
          </cell>
          <cell r="L249" t="str">
            <v>Inside</v>
          </cell>
          <cell r="M249" t="str">
            <v>HPFC</v>
          </cell>
          <cell r="N249" t="str">
            <v>24.5X18</v>
          </cell>
          <cell r="O249" t="str">
            <v>20.5X28.5</v>
          </cell>
          <cell r="P249">
            <v>11000</v>
          </cell>
          <cell r="AC249">
            <v>15</v>
          </cell>
          <cell r="AD249">
            <v>10</v>
          </cell>
          <cell r="AE249">
            <v>100</v>
          </cell>
          <cell r="AF249" t="str">
            <v>CD</v>
          </cell>
          <cell r="AG249">
            <v>243</v>
          </cell>
        </row>
        <row r="250">
          <cell r="A250" t="str">
            <v>P028</v>
          </cell>
          <cell r="B250" t="str">
            <v>7F</v>
          </cell>
          <cell r="K250" t="str">
            <v>P028First- AppendixFPFC</v>
          </cell>
          <cell r="L250" t="str">
            <v>First- Appendix</v>
          </cell>
          <cell r="M250" t="str">
            <v>FPFC</v>
          </cell>
          <cell r="N250" t="str">
            <v>24.5X33</v>
          </cell>
          <cell r="P250">
            <v>4950</v>
          </cell>
          <cell r="AG250">
            <v>244</v>
          </cell>
        </row>
        <row r="251">
          <cell r="A251" t="str">
            <v>P028</v>
          </cell>
          <cell r="K251" t="str">
            <v>P028Advertorial200 words</v>
          </cell>
          <cell r="L251" t="str">
            <v>Advertorial</v>
          </cell>
          <cell r="M251" t="str">
            <v>200 words</v>
          </cell>
          <cell r="N251" t="str">
            <v>18X26</v>
          </cell>
          <cell r="P251">
            <v>2530</v>
          </cell>
          <cell r="AG251">
            <v>245</v>
          </cell>
        </row>
        <row r="252">
          <cell r="A252" t="str">
            <v>PHU NU HCM</v>
          </cell>
          <cell r="K252" t="str">
            <v>PHU NU HCM</v>
          </cell>
          <cell r="L252" t="str">
            <v>Strip ad</v>
          </cell>
          <cell r="M252" t="str">
            <v>FPFC</v>
          </cell>
          <cell r="N252" t="str">
            <v>17X3</v>
          </cell>
          <cell r="P252">
            <v>1760</v>
          </cell>
          <cell r="AG252">
            <v>246</v>
          </cell>
        </row>
        <row r="253">
          <cell r="A253" t="str">
            <v>P029</v>
          </cell>
          <cell r="B253" t="str">
            <v>PHU NU CN</v>
          </cell>
          <cell r="C253">
            <v>8468715</v>
          </cell>
          <cell r="D253">
            <v>9316723</v>
          </cell>
          <cell r="E253" t="str">
            <v>188 Ly Chinh Thang, Q.3, Tp. HCM</v>
          </cell>
          <cell r="F253" t="str">
            <v>Ms Ngoc Lan 0903773206</v>
          </cell>
          <cell r="G253" t="str">
            <v>Weekly</v>
          </cell>
          <cell r="H253">
            <v>152000</v>
          </cell>
          <cell r="I253">
            <v>0.1</v>
          </cell>
          <cell r="K253" t="str">
            <v>P029InsideFPFC</v>
          </cell>
          <cell r="L253" t="str">
            <v>Inside</v>
          </cell>
          <cell r="M253" t="str">
            <v>FPFC</v>
          </cell>
          <cell r="N253" t="str">
            <v>18X26</v>
          </cell>
          <cell r="O253" t="str">
            <v>20.5X28.5</v>
          </cell>
          <cell r="P253">
            <v>12000</v>
          </cell>
          <cell r="Q253">
            <v>0.4</v>
          </cell>
          <cell r="AC253">
            <v>15</v>
          </cell>
          <cell r="AD253">
            <v>10</v>
          </cell>
          <cell r="AE253">
            <v>100</v>
          </cell>
          <cell r="AF253" t="str">
            <v>CD</v>
          </cell>
          <cell r="AG253">
            <v>247</v>
          </cell>
        </row>
        <row r="254">
          <cell r="A254" t="str">
            <v>P029</v>
          </cell>
          <cell r="B254" t="str">
            <v>7F</v>
          </cell>
          <cell r="C254">
            <v>8238198</v>
          </cell>
          <cell r="D254">
            <v>8238200</v>
          </cell>
          <cell r="E254" t="str">
            <v>18 Ter Nguyen Thi Minh Khai, Q.1, Tp. HCM</v>
          </cell>
          <cell r="F254" t="str">
            <v>Ngoc Anh 0908496247 (ext 107)</v>
          </cell>
          <cell r="G254" t="str">
            <v>Fri/ Weekly</v>
          </cell>
          <cell r="H254">
            <v>30000</v>
          </cell>
          <cell r="I254">
            <v>0.4</v>
          </cell>
          <cell r="K254" t="str">
            <v>P029Cover 4FPFC</v>
          </cell>
          <cell r="L254" t="str">
            <v>Cover 4</v>
          </cell>
          <cell r="M254" t="str">
            <v>FPFC</v>
          </cell>
          <cell r="N254" t="str">
            <v>18X26</v>
          </cell>
          <cell r="P254">
            <v>17000</v>
          </cell>
          <cell r="Q254">
            <v>0.4</v>
          </cell>
          <cell r="AC254">
            <v>15</v>
          </cell>
          <cell r="AD254">
            <v>10</v>
          </cell>
          <cell r="AE254" t="str">
            <v>300 DPI</v>
          </cell>
          <cell r="AF254" t="str">
            <v>CD</v>
          </cell>
          <cell r="AG254">
            <v>248</v>
          </cell>
        </row>
        <row r="255">
          <cell r="A255" t="str">
            <v>P029</v>
          </cell>
          <cell r="B255" t="str">
            <v>5E</v>
          </cell>
          <cell r="K255" t="str">
            <v>P029Cover 2FPFC</v>
          </cell>
          <cell r="L255" t="str">
            <v>Cover 2</v>
          </cell>
          <cell r="M255" t="str">
            <v>FPFC</v>
          </cell>
          <cell r="N255" t="str">
            <v>18X26</v>
          </cell>
          <cell r="P255">
            <v>14000</v>
          </cell>
          <cell r="AG255">
            <v>249</v>
          </cell>
        </row>
        <row r="256">
          <cell r="A256" t="str">
            <v>P029</v>
          </cell>
          <cell r="K256" t="str">
            <v>P029Cover 3FPFC</v>
          </cell>
          <cell r="L256" t="str">
            <v>Cover 3</v>
          </cell>
          <cell r="M256" t="str">
            <v>FPFC</v>
          </cell>
          <cell r="N256" t="str">
            <v>18X26</v>
          </cell>
          <cell r="P256">
            <v>14000</v>
          </cell>
          <cell r="AG256">
            <v>250</v>
          </cell>
        </row>
        <row r="257">
          <cell r="A257" t="str">
            <v>P029</v>
          </cell>
          <cell r="B257" t="str">
            <v>SAI GON DOANH NHAN CUOI TUAN</v>
          </cell>
          <cell r="C257">
            <v>8238198</v>
          </cell>
          <cell r="D257">
            <v>8238200</v>
          </cell>
          <cell r="E257" t="str">
            <v>18 Ter Nguyen Thi Minh Khai, Q.1, Tp. HCM</v>
          </cell>
          <cell r="F257" t="str">
            <v>Ngoc Anh 0908496247 (ext 107)</v>
          </cell>
          <cell r="G257" t="str">
            <v>Fri/ Weekly</v>
          </cell>
          <cell r="H257">
            <v>30000</v>
          </cell>
          <cell r="I257">
            <v>0.4</v>
          </cell>
          <cell r="K257" t="str">
            <v>P029InsideHPFC</v>
          </cell>
          <cell r="L257" t="str">
            <v>Inside</v>
          </cell>
          <cell r="M257" t="str">
            <v>HPFC</v>
          </cell>
          <cell r="N257" t="str">
            <v>18X12.5</v>
          </cell>
          <cell r="P257">
            <v>6500</v>
          </cell>
          <cell r="Q257">
            <v>0.4</v>
          </cell>
          <cell r="AC257">
            <v>15</v>
          </cell>
          <cell r="AD257">
            <v>10</v>
          </cell>
          <cell r="AE257" t="str">
            <v>300 DPI</v>
          </cell>
          <cell r="AF257" t="str">
            <v>CD</v>
          </cell>
          <cell r="AG257">
            <v>251</v>
          </cell>
        </row>
        <row r="258">
          <cell r="A258" t="str">
            <v>P029</v>
          </cell>
          <cell r="B258" t="str">
            <v>5E</v>
          </cell>
          <cell r="K258" t="str">
            <v>P029Advertorial200 words</v>
          </cell>
          <cell r="L258" t="str">
            <v>Advertorial</v>
          </cell>
          <cell r="M258" t="str">
            <v>200 words</v>
          </cell>
          <cell r="N258" t="str">
            <v>27.5X35</v>
          </cell>
          <cell r="P258">
            <v>3000</v>
          </cell>
          <cell r="AG258">
            <v>252</v>
          </cell>
        </row>
        <row r="259">
          <cell r="A259" t="str">
            <v>P029</v>
          </cell>
          <cell r="K259" t="str">
            <v>P029Strip ad</v>
          </cell>
          <cell r="L259" t="str">
            <v>Strip ad</v>
          </cell>
          <cell r="M259" t="str">
            <v>JPFC</v>
          </cell>
          <cell r="N259" t="str">
            <v>17X3</v>
          </cell>
          <cell r="P259">
            <v>2500</v>
          </cell>
          <cell r="AG259">
            <v>253</v>
          </cell>
        </row>
        <row r="260">
          <cell r="A260" t="str">
            <v>PHU NU CN</v>
          </cell>
          <cell r="K260" t="str">
            <v>PHU NU CN</v>
          </cell>
          <cell r="L260" t="str">
            <v>Inside</v>
          </cell>
          <cell r="M260" t="str">
            <v>DPFC</v>
          </cell>
          <cell r="N260" t="str">
            <v>54.7X33</v>
          </cell>
          <cell r="P260">
            <v>42000</v>
          </cell>
          <cell r="AG260">
            <v>254</v>
          </cell>
        </row>
        <row r="261">
          <cell r="A261" t="str">
            <v>P030</v>
          </cell>
          <cell r="B261" t="str">
            <v>SAI GON DOANH NHAN CUOI TUAN</v>
          </cell>
          <cell r="C261">
            <v>8238198</v>
          </cell>
          <cell r="D261">
            <v>8238200</v>
          </cell>
          <cell r="E261" t="str">
            <v>18 Ter Nguyen Thi Minh Khai, Q.1, Tp. HCM</v>
          </cell>
          <cell r="F261" t="str">
            <v>Ngoc Anh 0908496247 (ext 107)</v>
          </cell>
          <cell r="G261" t="str">
            <v>Fri/ Weekly</v>
          </cell>
          <cell r="H261">
            <v>30000</v>
          </cell>
          <cell r="I261">
            <v>0.4</v>
          </cell>
          <cell r="K261" t="str">
            <v>P030Cover 4FPFC</v>
          </cell>
          <cell r="L261" t="str">
            <v>Cover 4</v>
          </cell>
          <cell r="M261" t="str">
            <v>FPFC</v>
          </cell>
          <cell r="N261" t="str">
            <v>27.5X35</v>
          </cell>
          <cell r="P261">
            <v>26400</v>
          </cell>
          <cell r="Q261">
            <v>0.4</v>
          </cell>
          <cell r="AC261">
            <v>15</v>
          </cell>
          <cell r="AD261">
            <v>10</v>
          </cell>
          <cell r="AE261" t="str">
            <v>300 DPI</v>
          </cell>
          <cell r="AF261" t="str">
            <v>CD</v>
          </cell>
          <cell r="AG261">
            <v>255</v>
          </cell>
        </row>
        <row r="262">
          <cell r="A262" t="str">
            <v>P030</v>
          </cell>
          <cell r="B262" t="str">
            <v>5E</v>
          </cell>
          <cell r="K262" t="str">
            <v>P030Cover 2FPFC</v>
          </cell>
          <cell r="L262" t="str">
            <v>Cover 2</v>
          </cell>
          <cell r="M262" t="str">
            <v>FPFC</v>
          </cell>
          <cell r="N262" t="str">
            <v>27.5X35</v>
          </cell>
          <cell r="O262" t="str">
            <v>21.2X29.4</v>
          </cell>
          <cell r="P262">
            <v>24000</v>
          </cell>
          <cell r="AC262">
            <v>15</v>
          </cell>
          <cell r="AD262">
            <v>10</v>
          </cell>
          <cell r="AE262" t="str">
            <v>300 DPI</v>
          </cell>
          <cell r="AF262" t="str">
            <v>CD</v>
          </cell>
          <cell r="AG262">
            <v>256</v>
          </cell>
        </row>
        <row r="263">
          <cell r="A263" t="str">
            <v>P030</v>
          </cell>
          <cell r="B263" t="str">
            <v>10F</v>
          </cell>
          <cell r="K263" t="str">
            <v>P030Cover 3FPFC</v>
          </cell>
          <cell r="L263" t="str">
            <v>Cover 3</v>
          </cell>
          <cell r="M263" t="str">
            <v>FPFC</v>
          </cell>
          <cell r="N263" t="str">
            <v>27.5X35</v>
          </cell>
          <cell r="O263" t="str">
            <v>21.2X29.4</v>
          </cell>
          <cell r="P263">
            <v>24000</v>
          </cell>
          <cell r="AC263">
            <v>15</v>
          </cell>
          <cell r="AD263">
            <v>10</v>
          </cell>
          <cell r="AE263" t="str">
            <v>300 DPI</v>
          </cell>
          <cell r="AF263" t="str">
            <v>CD</v>
          </cell>
          <cell r="AG263">
            <v>257</v>
          </cell>
        </row>
        <row r="264">
          <cell r="A264" t="str">
            <v>P030</v>
          </cell>
          <cell r="B264" t="str">
            <v>10F</v>
          </cell>
          <cell r="K264" t="str">
            <v>P030InsideFPFC</v>
          </cell>
          <cell r="L264" t="str">
            <v>Inside</v>
          </cell>
          <cell r="M264" t="str">
            <v>FPFC</v>
          </cell>
          <cell r="N264" t="str">
            <v>27.5X35</v>
          </cell>
          <cell r="O264" t="str">
            <v>21.2X29.4</v>
          </cell>
          <cell r="P264">
            <v>21600</v>
          </cell>
          <cell r="AG264">
            <v>258</v>
          </cell>
        </row>
        <row r="265">
          <cell r="A265" t="str">
            <v>P030</v>
          </cell>
          <cell r="K265" t="str">
            <v>P030FirstFPFC</v>
          </cell>
          <cell r="L265" t="str">
            <v>First</v>
          </cell>
          <cell r="M265" t="str">
            <v>FPFC</v>
          </cell>
          <cell r="N265" t="str">
            <v>20X28</v>
          </cell>
          <cell r="O265" t="str">
            <v>21.2X29.4</v>
          </cell>
          <cell r="P265">
            <v>25920</v>
          </cell>
          <cell r="AG265">
            <v>259</v>
          </cell>
        </row>
        <row r="266">
          <cell r="A266" t="str">
            <v>P030</v>
          </cell>
          <cell r="B266" t="str">
            <v>SANH DIEU</v>
          </cell>
          <cell r="C266">
            <v>5173073</v>
          </cell>
          <cell r="D266">
            <v>5173110</v>
          </cell>
          <cell r="E266" t="str">
            <v>12 Lo C 10B Nhieu Loc 1, F2, PN</v>
          </cell>
          <cell r="F266" t="str">
            <v>Ms Trinh 0908182487</v>
          </cell>
          <cell r="G266" t="str">
            <v>5/ Monthly</v>
          </cell>
          <cell r="H266">
            <v>40000</v>
          </cell>
          <cell r="I266">
            <v>0.5</v>
          </cell>
          <cell r="K266" t="str">
            <v>P030InsideJPFC</v>
          </cell>
          <cell r="L266" t="str">
            <v>Inside</v>
          </cell>
          <cell r="M266" t="str">
            <v>JPFC</v>
          </cell>
          <cell r="N266" t="str">
            <v>19X27.5</v>
          </cell>
          <cell r="O266" t="str">
            <v>21.2X29.4</v>
          </cell>
          <cell r="P266">
            <v>14400</v>
          </cell>
          <cell r="Q266">
            <v>0.5</v>
          </cell>
          <cell r="AC266">
            <v>15</v>
          </cell>
          <cell r="AD266">
            <v>10</v>
          </cell>
          <cell r="AE266" t="str">
            <v>300 DPI</v>
          </cell>
          <cell r="AF266" t="str">
            <v>CD</v>
          </cell>
          <cell r="AG266">
            <v>260</v>
          </cell>
        </row>
        <row r="267">
          <cell r="A267" t="str">
            <v>P030</v>
          </cell>
          <cell r="B267" t="str">
            <v>10F</v>
          </cell>
          <cell r="K267" t="str">
            <v>P030InsideDPFC</v>
          </cell>
          <cell r="L267" t="str">
            <v>Inside</v>
          </cell>
          <cell r="M267" t="str">
            <v>DPFC</v>
          </cell>
          <cell r="N267" t="str">
            <v>54.7X33</v>
          </cell>
          <cell r="O267" t="str">
            <v>21.2X29.4</v>
          </cell>
          <cell r="P267">
            <v>42000</v>
          </cell>
          <cell r="AG267">
            <v>261</v>
          </cell>
        </row>
        <row r="268">
          <cell r="A268" t="str">
            <v>P030</v>
          </cell>
          <cell r="K268" t="str">
            <v>P030Strip ad</v>
          </cell>
          <cell r="L268" t="str">
            <v>Strip ad</v>
          </cell>
          <cell r="M268" t="str">
            <v>FPFC</v>
          </cell>
          <cell r="N268" t="str">
            <v>25.7X4</v>
          </cell>
          <cell r="O268" t="str">
            <v>21.2X29.4</v>
          </cell>
          <cell r="P268">
            <v>3000</v>
          </cell>
          <cell r="AG268">
            <v>262</v>
          </cell>
        </row>
        <row r="269">
          <cell r="A269" t="str">
            <v>SAI GON DOANH NHAN CUOI TUAN</v>
          </cell>
          <cell r="K269" t="str">
            <v>SAI GON DOANH NHAN CUOI TUAN</v>
          </cell>
          <cell r="L269" t="str">
            <v>Inside</v>
          </cell>
          <cell r="M269" t="str">
            <v>HPFC</v>
          </cell>
          <cell r="N269" t="str">
            <v>19.5X13</v>
          </cell>
          <cell r="O269" t="str">
            <v>21.2X29.4</v>
          </cell>
          <cell r="P269">
            <v>17600</v>
          </cell>
          <cell r="AG269">
            <v>263</v>
          </cell>
        </row>
        <row r="270">
          <cell r="A270" t="str">
            <v>P031</v>
          </cell>
          <cell r="B270" t="str">
            <v>SANH DIEU</v>
          </cell>
          <cell r="C270">
            <v>5173073</v>
          </cell>
          <cell r="D270">
            <v>5173110</v>
          </cell>
          <cell r="E270" t="str">
            <v>12 Lo C 10B Nhieu Loc 1, F2, PN</v>
          </cell>
          <cell r="F270" t="str">
            <v>Ms Trinh 0908182487</v>
          </cell>
          <cell r="G270" t="str">
            <v>5/ Monthly</v>
          </cell>
          <cell r="H270">
            <v>40000</v>
          </cell>
          <cell r="I270">
            <v>0.5</v>
          </cell>
          <cell r="K270" t="str">
            <v>P031InsideFPFC</v>
          </cell>
          <cell r="L270" t="str">
            <v>Inside</v>
          </cell>
          <cell r="M270" t="str">
            <v>FPFC</v>
          </cell>
          <cell r="N270" t="str">
            <v>20X28</v>
          </cell>
          <cell r="O270" t="str">
            <v>21.2X29.4</v>
          </cell>
          <cell r="P270">
            <v>29700.000000000004</v>
          </cell>
          <cell r="Q270">
            <v>0.5</v>
          </cell>
          <cell r="AC270">
            <v>15</v>
          </cell>
          <cell r="AD270">
            <v>10</v>
          </cell>
          <cell r="AE270" t="str">
            <v>300 DPI</v>
          </cell>
          <cell r="AF270" t="str">
            <v>CD</v>
          </cell>
          <cell r="AG270">
            <v>264</v>
          </cell>
        </row>
        <row r="271">
          <cell r="A271" t="str">
            <v>P031</v>
          </cell>
          <cell r="B271" t="str">
            <v>10F</v>
          </cell>
          <cell r="K271" t="str">
            <v>P031Cover 2FPFC</v>
          </cell>
          <cell r="L271" t="str">
            <v>Cover 2</v>
          </cell>
          <cell r="M271" t="str">
            <v>FPFC</v>
          </cell>
          <cell r="N271" t="str">
            <v>20X28</v>
          </cell>
          <cell r="O271" t="str">
            <v>21.2X29.4</v>
          </cell>
          <cell r="P271">
            <v>51700.000000000007</v>
          </cell>
          <cell r="AG271">
            <v>265</v>
          </cell>
        </row>
        <row r="272">
          <cell r="A272" t="str">
            <v>P031</v>
          </cell>
          <cell r="K272" t="str">
            <v>P031Cover 3FPFC</v>
          </cell>
          <cell r="L272" t="str">
            <v>Cover 3</v>
          </cell>
          <cell r="M272" t="str">
            <v>FPFC</v>
          </cell>
          <cell r="N272" t="str">
            <v>20X28</v>
          </cell>
          <cell r="O272" t="str">
            <v>21.2X29.4</v>
          </cell>
          <cell r="P272">
            <v>37400</v>
          </cell>
          <cell r="AG272">
            <v>266</v>
          </cell>
        </row>
        <row r="273">
          <cell r="A273" t="str">
            <v>P031</v>
          </cell>
          <cell r="K273" t="str">
            <v>P031Cover 4FPFC</v>
          </cell>
          <cell r="L273" t="str">
            <v>Cover 4</v>
          </cell>
          <cell r="M273" t="str">
            <v>FPFC</v>
          </cell>
          <cell r="N273" t="str">
            <v>20X28</v>
          </cell>
          <cell r="O273" t="str">
            <v>21.2X29.4</v>
          </cell>
          <cell r="P273">
            <v>66000</v>
          </cell>
          <cell r="AG273">
            <v>267</v>
          </cell>
        </row>
        <row r="274">
          <cell r="A274" t="str">
            <v>P031</v>
          </cell>
          <cell r="K274" t="str">
            <v>P031FirstFPFC</v>
          </cell>
          <cell r="L274" t="str">
            <v>First</v>
          </cell>
          <cell r="M274" t="str">
            <v>FPFC</v>
          </cell>
          <cell r="N274" t="str">
            <v>20X28</v>
          </cell>
          <cell r="O274" t="str">
            <v>21.2X29.4</v>
          </cell>
          <cell r="P274">
            <v>41800</v>
          </cell>
          <cell r="AG274">
            <v>268</v>
          </cell>
        </row>
        <row r="275">
          <cell r="A275" t="str">
            <v>P031</v>
          </cell>
          <cell r="B275" t="str">
            <v>DAT MUI</v>
          </cell>
          <cell r="C275">
            <v>8578163</v>
          </cell>
          <cell r="D275">
            <v>8538500</v>
          </cell>
          <cell r="E275" t="str">
            <v>161/B1 Nguyen Tri Phuong, P8, Q5</v>
          </cell>
          <cell r="F275" t="str">
            <v>Ms Anh Thu 0903713688</v>
          </cell>
          <cell r="G275" t="str">
            <v>Thu/ weekly</v>
          </cell>
          <cell r="H275">
            <v>40000</v>
          </cell>
          <cell r="I275">
            <v>0.2</v>
          </cell>
          <cell r="K275" t="str">
            <v>P031SecondFPFC</v>
          </cell>
          <cell r="L275" t="str">
            <v>Second</v>
          </cell>
          <cell r="M275" t="str">
            <v>FPFC</v>
          </cell>
          <cell r="N275" t="str">
            <v>20X28</v>
          </cell>
          <cell r="O275" t="str">
            <v>21.2X29.4</v>
          </cell>
          <cell r="P275">
            <v>37400</v>
          </cell>
          <cell r="AC275">
            <v>15</v>
          </cell>
          <cell r="AD275">
            <v>10</v>
          </cell>
          <cell r="AE275">
            <v>150</v>
          </cell>
          <cell r="AF275" t="str">
            <v>CD</v>
          </cell>
          <cell r="AG275">
            <v>269</v>
          </cell>
        </row>
        <row r="276">
          <cell r="A276" t="str">
            <v>P031</v>
          </cell>
          <cell r="B276" t="str">
            <v>DAT MUI</v>
          </cell>
          <cell r="C276">
            <v>8578163</v>
          </cell>
          <cell r="D276">
            <v>8538500</v>
          </cell>
          <cell r="E276" t="str">
            <v>161/B1 Nguyen Tri Phuong, P8, Q5</v>
          </cell>
          <cell r="F276" t="str">
            <v>Ms Anh Thu 0903713688</v>
          </cell>
          <cell r="G276" t="str">
            <v>Thu/ weekly</v>
          </cell>
          <cell r="H276">
            <v>40000</v>
          </cell>
          <cell r="I276">
            <v>0.2</v>
          </cell>
          <cell r="K276" t="str">
            <v>P031InsideHPFC</v>
          </cell>
          <cell r="L276" t="str">
            <v>Inside</v>
          </cell>
          <cell r="M276" t="str">
            <v>HPFC</v>
          </cell>
          <cell r="N276" t="str">
            <v>19.5X13</v>
          </cell>
          <cell r="P276">
            <v>17600</v>
          </cell>
          <cell r="AC276">
            <v>15</v>
          </cell>
          <cell r="AD276">
            <v>10</v>
          </cell>
          <cell r="AE276">
            <v>150</v>
          </cell>
          <cell r="AF276" t="str">
            <v>CD</v>
          </cell>
          <cell r="AG276">
            <v>270</v>
          </cell>
        </row>
        <row r="277">
          <cell r="A277" t="str">
            <v>P031</v>
          </cell>
          <cell r="B277" t="str">
            <v>4E</v>
          </cell>
          <cell r="K277" t="str">
            <v>P031InsideVPFC</v>
          </cell>
          <cell r="L277" t="str">
            <v>Inside</v>
          </cell>
          <cell r="M277" t="str">
            <v>VPFC</v>
          </cell>
          <cell r="N277" t="str">
            <v>9.4X28</v>
          </cell>
          <cell r="O277" t="str">
            <v>42.4X29.4</v>
          </cell>
          <cell r="P277">
            <v>17600</v>
          </cell>
          <cell r="AG277">
            <v>271</v>
          </cell>
        </row>
        <row r="278">
          <cell r="A278" t="str">
            <v>P031</v>
          </cell>
          <cell r="K278" t="str">
            <v>P031Inside1/3HPFC</v>
          </cell>
          <cell r="L278" t="str">
            <v>Inside</v>
          </cell>
          <cell r="M278" t="str">
            <v>1/3HPFC</v>
          </cell>
          <cell r="N278" t="str">
            <v>19.5X8.8</v>
          </cell>
          <cell r="P278">
            <v>14300.000000000002</v>
          </cell>
          <cell r="AG278">
            <v>272</v>
          </cell>
        </row>
        <row r="279">
          <cell r="A279" t="str">
            <v>P031</v>
          </cell>
          <cell r="B279" t="str">
            <v>DAT MUI</v>
          </cell>
          <cell r="C279">
            <v>8578163</v>
          </cell>
          <cell r="D279">
            <v>8538500</v>
          </cell>
          <cell r="E279" t="str">
            <v>161/B1 Nguyen Tri Phuong, P8, Q5</v>
          </cell>
          <cell r="F279" t="str">
            <v>Ms Anh Thu 0903713688</v>
          </cell>
          <cell r="G279" t="str">
            <v>Thu/ Weekly</v>
          </cell>
          <cell r="H279">
            <v>40000</v>
          </cell>
          <cell r="I279">
            <v>0.2</v>
          </cell>
          <cell r="K279" t="str">
            <v>P031Inside1/3VPFC</v>
          </cell>
          <cell r="L279" t="str">
            <v>Inside</v>
          </cell>
          <cell r="M279" t="str">
            <v>1/3VPFC</v>
          </cell>
          <cell r="N279" t="str">
            <v>6X28</v>
          </cell>
          <cell r="P279">
            <v>14300.000000000002</v>
          </cell>
          <cell r="Q279">
            <v>0.2</v>
          </cell>
          <cell r="AC279">
            <v>15</v>
          </cell>
          <cell r="AD279">
            <v>10</v>
          </cell>
          <cell r="AE279">
            <v>150</v>
          </cell>
          <cell r="AF279" t="str">
            <v>CD</v>
          </cell>
          <cell r="AG279">
            <v>273</v>
          </cell>
        </row>
        <row r="280">
          <cell r="A280" t="str">
            <v>P031</v>
          </cell>
          <cell r="B280" t="str">
            <v>4E</v>
          </cell>
          <cell r="K280" t="str">
            <v>P031Inside2/3VPFC</v>
          </cell>
          <cell r="L280" t="str">
            <v>Inside</v>
          </cell>
          <cell r="M280" t="str">
            <v>2/3VPFC</v>
          </cell>
          <cell r="N280" t="str">
            <v>12X28</v>
          </cell>
          <cell r="P280">
            <v>24200.000000000004</v>
          </cell>
          <cell r="AG280">
            <v>274</v>
          </cell>
        </row>
        <row r="281">
          <cell r="A281" t="str">
            <v>P031</v>
          </cell>
          <cell r="K281" t="str">
            <v>P031InsideDPFC</v>
          </cell>
          <cell r="L281" t="str">
            <v>Inside</v>
          </cell>
          <cell r="M281" t="str">
            <v>DPFC</v>
          </cell>
          <cell r="N281" t="str">
            <v>41X28</v>
          </cell>
          <cell r="O281" t="str">
            <v>42.4X29.4</v>
          </cell>
          <cell r="P281">
            <v>60500.000000000007</v>
          </cell>
          <cell r="AG281">
            <v>275</v>
          </cell>
        </row>
        <row r="282">
          <cell r="A282" t="str">
            <v>SAI GON DOANH NHAN CUOI TUAN</v>
          </cell>
          <cell r="B282" t="str">
            <v>BAC SI GIA DINH</v>
          </cell>
          <cell r="E282" t="str">
            <v>50C Dang Dung, Q.1</v>
          </cell>
          <cell r="F282" t="str">
            <v>Ms Tam 0908171837</v>
          </cell>
          <cell r="G282" t="str">
            <v>Mon/ Monthly</v>
          </cell>
          <cell r="I282">
            <v>0.2</v>
          </cell>
          <cell r="K282" t="str">
            <v>SAI GON DOANH NHAN CUOI TUAN</v>
          </cell>
          <cell r="L282" t="str">
            <v>Inside</v>
          </cell>
          <cell r="M282" t="str">
            <v>FPFC</v>
          </cell>
          <cell r="N282" t="str">
            <v>18.5X26.5</v>
          </cell>
          <cell r="P282">
            <v>17500</v>
          </cell>
          <cell r="AC282">
            <v>15</v>
          </cell>
          <cell r="AD282">
            <v>10</v>
          </cell>
          <cell r="AE282">
            <v>175</v>
          </cell>
          <cell r="AF282" t="str">
            <v>CD</v>
          </cell>
          <cell r="AG282">
            <v>276</v>
          </cell>
        </row>
        <row r="283">
          <cell r="A283" t="str">
            <v>P032</v>
          </cell>
          <cell r="B283" t="str">
            <v>DAT MUI</v>
          </cell>
          <cell r="C283">
            <v>8578163</v>
          </cell>
          <cell r="D283">
            <v>8538500</v>
          </cell>
          <cell r="E283" t="str">
            <v>161/B1 Nguyen Tri Phuong, P8, Q5</v>
          </cell>
          <cell r="F283" t="str">
            <v>Ms Anh Thu 0903713688</v>
          </cell>
          <cell r="G283" t="str">
            <v>Thu/ Weekly</v>
          </cell>
          <cell r="H283">
            <v>40000</v>
          </cell>
          <cell r="I283">
            <v>0.2</v>
          </cell>
          <cell r="K283" t="str">
            <v>P032Cover 4FPFC</v>
          </cell>
          <cell r="L283" t="str">
            <v>Cover 4</v>
          </cell>
          <cell r="M283" t="str">
            <v>FPFC</v>
          </cell>
          <cell r="N283" t="str">
            <v>18.5X26.5</v>
          </cell>
          <cell r="P283">
            <v>26000</v>
          </cell>
          <cell r="Q283">
            <v>0.2</v>
          </cell>
          <cell r="AC283">
            <v>15</v>
          </cell>
          <cell r="AD283">
            <v>10</v>
          </cell>
          <cell r="AE283">
            <v>150</v>
          </cell>
          <cell r="AF283" t="str">
            <v>CD</v>
          </cell>
          <cell r="AG283">
            <v>277</v>
          </cell>
        </row>
        <row r="284">
          <cell r="A284" t="str">
            <v>P032</v>
          </cell>
          <cell r="B284" t="str">
            <v>4E</v>
          </cell>
          <cell r="K284" t="str">
            <v>P032Cover 2FPFC</v>
          </cell>
          <cell r="L284" t="str">
            <v>Cover 2</v>
          </cell>
          <cell r="M284" t="str">
            <v>FPFC</v>
          </cell>
          <cell r="N284" t="str">
            <v>18.5X26.5</v>
          </cell>
          <cell r="P284">
            <v>22000</v>
          </cell>
          <cell r="AG284">
            <v>278</v>
          </cell>
        </row>
        <row r="285">
          <cell r="A285" t="str">
            <v>P032</v>
          </cell>
          <cell r="K285" t="str">
            <v>P032Cover 3FPFC</v>
          </cell>
          <cell r="L285" t="str">
            <v>Cover 3</v>
          </cell>
          <cell r="M285" t="str">
            <v>FPFC</v>
          </cell>
          <cell r="N285" t="str">
            <v>18.5X26.5</v>
          </cell>
          <cell r="P285">
            <v>22000</v>
          </cell>
          <cell r="AG285">
            <v>279</v>
          </cell>
        </row>
        <row r="286">
          <cell r="A286" t="str">
            <v>P032</v>
          </cell>
          <cell r="B286" t="str">
            <v>BAC SI GIA DINH</v>
          </cell>
          <cell r="E286" t="str">
            <v>50C Dang Dung, Q.1</v>
          </cell>
          <cell r="F286" t="str">
            <v>Ms Tam 0908171837</v>
          </cell>
          <cell r="G286" t="str">
            <v>5/ Monthly</v>
          </cell>
          <cell r="I286">
            <v>0.2</v>
          </cell>
          <cell r="K286" t="str">
            <v>P032InsideFPFC</v>
          </cell>
          <cell r="L286" t="str">
            <v>Inside</v>
          </cell>
          <cell r="M286" t="str">
            <v>FPFC</v>
          </cell>
          <cell r="N286" t="str">
            <v>18.5X26.5</v>
          </cell>
          <cell r="P286">
            <v>17500</v>
          </cell>
          <cell r="AC286">
            <v>15</v>
          </cell>
          <cell r="AD286">
            <v>14</v>
          </cell>
          <cell r="AE286">
            <v>175</v>
          </cell>
          <cell r="AF286" t="str">
            <v>CD</v>
          </cell>
          <cell r="AG286">
            <v>280</v>
          </cell>
        </row>
        <row r="287">
          <cell r="A287" t="str">
            <v>P032</v>
          </cell>
          <cell r="B287" t="str">
            <v>8E</v>
          </cell>
          <cell r="K287" t="str">
            <v>P032InsideVPFC</v>
          </cell>
          <cell r="L287" t="str">
            <v>Inside</v>
          </cell>
          <cell r="M287" t="str">
            <v>VPFC</v>
          </cell>
          <cell r="N287" t="str">
            <v>12X17.5</v>
          </cell>
          <cell r="P287">
            <v>10000</v>
          </cell>
          <cell r="AG287">
            <v>281</v>
          </cell>
        </row>
        <row r="288">
          <cell r="A288" t="str">
            <v>P032</v>
          </cell>
          <cell r="K288" t="str">
            <v>P032InsideHPFC</v>
          </cell>
          <cell r="L288" t="str">
            <v>Inside</v>
          </cell>
          <cell r="M288" t="str">
            <v>HPFC</v>
          </cell>
          <cell r="N288" t="str">
            <v>18.5X13</v>
          </cell>
          <cell r="P288">
            <v>10000</v>
          </cell>
          <cell r="AG288">
            <v>282</v>
          </cell>
        </row>
        <row r="289">
          <cell r="A289" t="str">
            <v>DAT MUI</v>
          </cell>
          <cell r="B289" t="str">
            <v>PHU NU AP BAC</v>
          </cell>
          <cell r="C289">
            <v>8223040</v>
          </cell>
          <cell r="D289">
            <v>8232296</v>
          </cell>
          <cell r="E289" t="str">
            <v>94A Nguyen Thi Minh Khai Q3 TPHCM</v>
          </cell>
          <cell r="F289" t="str">
            <v>Mr Duc 0903724442</v>
          </cell>
          <cell r="G289" t="str">
            <v>26-30/ monthly</v>
          </cell>
          <cell r="H289">
            <v>130000</v>
          </cell>
          <cell r="K289" t="str">
            <v>DAT MUI</v>
          </cell>
          <cell r="L289" t="str">
            <v>Inside</v>
          </cell>
          <cell r="M289" t="str">
            <v>FPFC</v>
          </cell>
          <cell r="N289" t="str">
            <v>18X25</v>
          </cell>
          <cell r="P289">
            <v>13750.000000000002</v>
          </cell>
          <cell r="AC289">
            <v>15</v>
          </cell>
          <cell r="AD289">
            <v>10</v>
          </cell>
          <cell r="AE289">
            <v>150</v>
          </cell>
          <cell r="AF289" t="str">
            <v>CD</v>
          </cell>
          <cell r="AG289">
            <v>283</v>
          </cell>
        </row>
        <row r="290">
          <cell r="A290" t="str">
            <v>P033</v>
          </cell>
          <cell r="B290" t="str">
            <v>BAC SI GIA DINH</v>
          </cell>
          <cell r="C290">
            <v>8223040</v>
          </cell>
          <cell r="D290">
            <v>8232296</v>
          </cell>
          <cell r="E290" t="str">
            <v>50C Dang Dung, Q.1</v>
          </cell>
          <cell r="F290" t="str">
            <v>Ms Tam 0908171837</v>
          </cell>
          <cell r="G290" t="str">
            <v>5/ Monthly</v>
          </cell>
          <cell r="H290">
            <v>130000</v>
          </cell>
          <cell r="I290">
            <v>0.2</v>
          </cell>
          <cell r="K290" t="str">
            <v>P033Cover 4FPFC</v>
          </cell>
          <cell r="L290" t="str">
            <v>Cover 4</v>
          </cell>
          <cell r="M290" t="str">
            <v>FPFC</v>
          </cell>
          <cell r="N290" t="str">
            <v>18X25</v>
          </cell>
          <cell r="P290">
            <v>15400.000000000002</v>
          </cell>
          <cell r="AC290">
            <v>15</v>
          </cell>
          <cell r="AD290">
            <v>14</v>
          </cell>
          <cell r="AE290">
            <v>175</v>
          </cell>
          <cell r="AF290" t="str">
            <v>CD</v>
          </cell>
          <cell r="AG290">
            <v>284</v>
          </cell>
        </row>
        <row r="291">
          <cell r="A291" t="str">
            <v>P033</v>
          </cell>
          <cell r="B291" t="str">
            <v>8E</v>
          </cell>
          <cell r="K291" t="str">
            <v>P033Cover 2FPFC</v>
          </cell>
          <cell r="L291" t="str">
            <v>Cover 2</v>
          </cell>
          <cell r="M291" t="str">
            <v>FPFC</v>
          </cell>
          <cell r="N291" t="str">
            <v>18X25</v>
          </cell>
          <cell r="P291">
            <v>15400.000000000002</v>
          </cell>
          <cell r="AG291">
            <v>285</v>
          </cell>
        </row>
        <row r="292">
          <cell r="A292" t="str">
            <v>P033</v>
          </cell>
          <cell r="K292" t="str">
            <v>P033Cover 3FPFC</v>
          </cell>
          <cell r="L292" t="str">
            <v>Cover 3</v>
          </cell>
          <cell r="M292" t="str">
            <v>FPFC</v>
          </cell>
          <cell r="N292" t="str">
            <v>18X25</v>
          </cell>
          <cell r="P292">
            <v>15400.000000000002</v>
          </cell>
          <cell r="AG292">
            <v>286</v>
          </cell>
        </row>
        <row r="293">
          <cell r="A293" t="str">
            <v>P033</v>
          </cell>
          <cell r="B293" t="str">
            <v>PHU NU AP BAC</v>
          </cell>
          <cell r="C293">
            <v>8223040</v>
          </cell>
          <cell r="D293">
            <v>8232296</v>
          </cell>
          <cell r="E293" t="str">
            <v>94A Nguyen Thi Minh Khai Q3 TPHCM</v>
          </cell>
          <cell r="F293" t="str">
            <v>Mr Duc 0903724442</v>
          </cell>
          <cell r="G293" t="str">
            <v>26-30/ Monthly</v>
          </cell>
          <cell r="H293">
            <v>130000</v>
          </cell>
          <cell r="K293" t="str">
            <v>P033InsideFPFC</v>
          </cell>
          <cell r="L293" t="str">
            <v>Inside</v>
          </cell>
          <cell r="M293" t="str">
            <v>FPFC</v>
          </cell>
          <cell r="N293" t="str">
            <v>18X25</v>
          </cell>
          <cell r="P293">
            <v>13750.000000000002</v>
          </cell>
          <cell r="AC293">
            <v>15</v>
          </cell>
          <cell r="AD293">
            <v>10</v>
          </cell>
          <cell r="AE293">
            <v>150</v>
          </cell>
          <cell r="AF293" t="str">
            <v>CD</v>
          </cell>
          <cell r="AG293">
            <v>287</v>
          </cell>
        </row>
        <row r="294">
          <cell r="A294" t="str">
            <v>P033</v>
          </cell>
          <cell r="B294" t="str">
            <v>9E</v>
          </cell>
          <cell r="K294" t="str">
            <v>P033InsideQPFC</v>
          </cell>
          <cell r="L294" t="str">
            <v>Inside</v>
          </cell>
          <cell r="M294" t="str">
            <v>QPFC</v>
          </cell>
          <cell r="N294" t="str">
            <v>17X3</v>
          </cell>
          <cell r="P294">
            <v>2750</v>
          </cell>
          <cell r="AG294">
            <v>288</v>
          </cell>
        </row>
        <row r="295">
          <cell r="A295" t="str">
            <v>P033</v>
          </cell>
          <cell r="B295" t="str">
            <v>AN NINH THU DO</v>
          </cell>
          <cell r="C295" t="str">
            <v>04 9426355</v>
          </cell>
          <cell r="D295">
            <v>49426354</v>
          </cell>
          <cell r="E295" t="str">
            <v>82 Ly Thuong Kiet- Hoan Kiem HN</v>
          </cell>
          <cell r="F295" t="str">
            <v>Mr Hung 0903209895</v>
          </cell>
          <cell r="G295" t="str">
            <v>T2-T7</v>
          </cell>
          <cell r="H295">
            <v>80000</v>
          </cell>
          <cell r="I295">
            <v>0.25</v>
          </cell>
          <cell r="K295" t="str">
            <v>P033AdvertorialFPFC</v>
          </cell>
          <cell r="L295" t="str">
            <v>Advertorial</v>
          </cell>
          <cell r="M295" t="str">
            <v>FPFC</v>
          </cell>
          <cell r="N295" t="str">
            <v>18X25</v>
          </cell>
          <cell r="P295">
            <v>8250</v>
          </cell>
          <cell r="AC295">
            <v>15</v>
          </cell>
          <cell r="AD295">
            <v>10</v>
          </cell>
          <cell r="AE295">
            <v>150</v>
          </cell>
          <cell r="AF295" t="str">
            <v>CD</v>
          </cell>
          <cell r="AG295">
            <v>289</v>
          </cell>
        </row>
        <row r="296">
          <cell r="A296" t="str">
            <v>BAC SI GIA DINH</v>
          </cell>
          <cell r="B296" t="str">
            <v>AN NINH THU DO</v>
          </cell>
          <cell r="C296" t="str">
            <v>04 9426355</v>
          </cell>
          <cell r="D296">
            <v>49426354</v>
          </cell>
          <cell r="E296" t="str">
            <v>82 Ly Thuong Kiet- Hoan Kiem HN</v>
          </cell>
          <cell r="F296" t="str">
            <v>Mr Hung 0903209895</v>
          </cell>
          <cell r="G296" t="str">
            <v>T2-T7</v>
          </cell>
          <cell r="H296">
            <v>80000</v>
          </cell>
          <cell r="I296">
            <v>0.25</v>
          </cell>
          <cell r="K296" t="str">
            <v>BAC SI GIA DINH</v>
          </cell>
          <cell r="L296" t="str">
            <v>Inside</v>
          </cell>
          <cell r="M296" t="str">
            <v>FPFC</v>
          </cell>
          <cell r="N296" t="str">
            <v>26X38</v>
          </cell>
          <cell r="P296">
            <v>16000</v>
          </cell>
          <cell r="Q296">
            <v>0.25</v>
          </cell>
          <cell r="AC296">
            <v>15</v>
          </cell>
          <cell r="AD296">
            <v>10</v>
          </cell>
          <cell r="AE296">
            <v>150</v>
          </cell>
          <cell r="AF296" t="str">
            <v>CD</v>
          </cell>
          <cell r="AG296">
            <v>290</v>
          </cell>
        </row>
        <row r="297">
          <cell r="A297" t="str">
            <v>P034</v>
          </cell>
          <cell r="B297" t="str">
            <v>PHU NU AP BAC</v>
          </cell>
          <cell r="C297">
            <v>8223040</v>
          </cell>
          <cell r="D297">
            <v>8232296</v>
          </cell>
          <cell r="E297" t="str">
            <v>94A Nguyen Thi Minh Khai Q3 TPHCM</v>
          </cell>
          <cell r="F297" t="str">
            <v>Mr Duc 0903724442</v>
          </cell>
          <cell r="G297" t="str">
            <v>26-30/ Monthly</v>
          </cell>
          <cell r="H297">
            <v>130000</v>
          </cell>
          <cell r="K297" t="str">
            <v>P034Cover 4FPFC</v>
          </cell>
          <cell r="L297" t="str">
            <v>Cover 4</v>
          </cell>
          <cell r="M297" t="str">
            <v>FPFC</v>
          </cell>
          <cell r="N297" t="str">
            <v>13X24</v>
          </cell>
          <cell r="P297">
            <v>15400.000000000002</v>
          </cell>
          <cell r="AC297">
            <v>15</v>
          </cell>
          <cell r="AD297">
            <v>10</v>
          </cell>
          <cell r="AE297">
            <v>150</v>
          </cell>
          <cell r="AF297" t="str">
            <v>CD</v>
          </cell>
          <cell r="AG297">
            <v>291</v>
          </cell>
        </row>
        <row r="298">
          <cell r="A298" t="str">
            <v>P034</v>
          </cell>
          <cell r="B298" t="str">
            <v>9E</v>
          </cell>
          <cell r="K298" t="str">
            <v>P034Cover 2FPFC</v>
          </cell>
          <cell r="L298" t="str">
            <v>Cover 2</v>
          </cell>
          <cell r="M298" t="str">
            <v>FPFC</v>
          </cell>
          <cell r="N298" t="str">
            <v>13X24</v>
          </cell>
          <cell r="P298">
            <v>12100.000000000002</v>
          </cell>
          <cell r="AG298">
            <v>292</v>
          </cell>
        </row>
        <row r="299">
          <cell r="A299" t="str">
            <v>P034</v>
          </cell>
          <cell r="B299" t="str">
            <v>AN NINH THU DO</v>
          </cell>
          <cell r="C299" t="str">
            <v>04 9426355</v>
          </cell>
          <cell r="D299">
            <v>49426354</v>
          </cell>
          <cell r="E299" t="str">
            <v>82 Ly Thuong Kiet- Hoan Kiem HN</v>
          </cell>
          <cell r="F299" t="str">
            <v>Mr Hung 0903209895</v>
          </cell>
          <cell r="G299" t="str">
            <v>Mon- Sat</v>
          </cell>
          <cell r="H299">
            <v>80000</v>
          </cell>
          <cell r="I299">
            <v>0.25</v>
          </cell>
          <cell r="K299" t="str">
            <v>P034Cover 3FPFC</v>
          </cell>
          <cell r="L299" t="str">
            <v>Cover 3</v>
          </cell>
          <cell r="M299" t="str">
            <v>FPFC</v>
          </cell>
          <cell r="N299" t="str">
            <v>13X24</v>
          </cell>
          <cell r="P299">
            <v>12100.000000000002</v>
          </cell>
          <cell r="Q299">
            <v>0.25</v>
          </cell>
          <cell r="AC299">
            <v>15</v>
          </cell>
          <cell r="AD299">
            <v>10</v>
          </cell>
          <cell r="AE299">
            <v>150</v>
          </cell>
          <cell r="AF299" t="str">
            <v>CD</v>
          </cell>
          <cell r="AG299">
            <v>293</v>
          </cell>
        </row>
        <row r="300">
          <cell r="A300" t="str">
            <v>P034</v>
          </cell>
          <cell r="B300" t="str">
            <v>10E</v>
          </cell>
          <cell r="C300">
            <v>8232420</v>
          </cell>
          <cell r="E300" t="str">
            <v>259 Hai Ba Trung, Q1, Tp.HCM</v>
          </cell>
          <cell r="F300" t="str">
            <v>Ms Thuy 0909 350540</v>
          </cell>
          <cell r="G300" t="str">
            <v>Thu/ Weekly</v>
          </cell>
          <cell r="I300">
            <v>0.4</v>
          </cell>
          <cell r="J300">
            <v>0.15</v>
          </cell>
          <cell r="K300" t="str">
            <v>P034InsideFPFC</v>
          </cell>
          <cell r="L300" t="str">
            <v>Inside</v>
          </cell>
          <cell r="M300" t="str">
            <v>FPFC</v>
          </cell>
          <cell r="N300" t="str">
            <v>13X24</v>
          </cell>
          <cell r="O300" t="str">
            <v>23.3X29.6</v>
          </cell>
          <cell r="P300">
            <v>8800</v>
          </cell>
          <cell r="Q300">
            <v>0.3</v>
          </cell>
          <cell r="R300">
            <v>0.15</v>
          </cell>
          <cell r="AC300">
            <v>15</v>
          </cell>
          <cell r="AD300">
            <v>10</v>
          </cell>
          <cell r="AE300" t="str">
            <v>300 DPI</v>
          </cell>
          <cell r="AF300" t="str">
            <v>CD- DPF/ CMYK</v>
          </cell>
          <cell r="AG300">
            <v>294</v>
          </cell>
        </row>
        <row r="301">
          <cell r="A301" t="str">
            <v>P034</v>
          </cell>
          <cell r="B301" t="str">
            <v>THE GIOI VAN HOA</v>
          </cell>
          <cell r="C301">
            <v>8232420</v>
          </cell>
          <cell r="E301" t="str">
            <v>259 Hai Ba Trung, Q1, Tp.HCM</v>
          </cell>
          <cell r="F301" t="str">
            <v>Ms Thuy 0909 350540</v>
          </cell>
          <cell r="G301" t="str">
            <v>Thu/ Weekly</v>
          </cell>
          <cell r="I301">
            <v>0.4</v>
          </cell>
          <cell r="J301">
            <v>0.15</v>
          </cell>
          <cell r="K301" t="str">
            <v>P034InsideHPFC</v>
          </cell>
          <cell r="L301" t="str">
            <v>Inside</v>
          </cell>
          <cell r="M301" t="str">
            <v>HPFC</v>
          </cell>
          <cell r="N301" t="str">
            <v>12X11</v>
          </cell>
          <cell r="O301" t="str">
            <v>23.3X29.6</v>
          </cell>
          <cell r="P301">
            <v>4620</v>
          </cell>
          <cell r="Q301">
            <v>0.3</v>
          </cell>
          <cell r="R301">
            <v>0.15</v>
          </cell>
          <cell r="AC301">
            <v>15</v>
          </cell>
          <cell r="AD301">
            <v>10</v>
          </cell>
          <cell r="AE301" t="str">
            <v>300 DPI</v>
          </cell>
          <cell r="AF301" t="str">
            <v>CD- DPF/ CMYK</v>
          </cell>
          <cell r="AG301">
            <v>295</v>
          </cell>
        </row>
        <row r="302">
          <cell r="A302" t="str">
            <v>PHU NU AP BAC</v>
          </cell>
          <cell r="B302" t="str">
            <v>11E</v>
          </cell>
          <cell r="K302" t="str">
            <v>PHU NU AP BAC</v>
          </cell>
          <cell r="L302" t="str">
            <v>Cover 3</v>
          </cell>
          <cell r="M302" t="str">
            <v>FPFC</v>
          </cell>
          <cell r="N302" t="str">
            <v>21X27</v>
          </cell>
          <cell r="O302" t="str">
            <v>23.3X29.6</v>
          </cell>
          <cell r="P302">
            <v>34100</v>
          </cell>
          <cell r="AG302">
            <v>296</v>
          </cell>
        </row>
        <row r="303">
          <cell r="A303" t="str">
            <v>P035</v>
          </cell>
          <cell r="B303" t="str">
            <v>AN NINH THU DO</v>
          </cell>
          <cell r="C303" t="str">
            <v>04 9426355</v>
          </cell>
          <cell r="D303">
            <v>49426354</v>
          </cell>
          <cell r="E303" t="str">
            <v>82 Ly Thuong Kiet- Hoan Kiem HN</v>
          </cell>
          <cell r="F303" t="str">
            <v>Mr Hung 0903209895</v>
          </cell>
          <cell r="G303" t="str">
            <v>Mon- Sat</v>
          </cell>
          <cell r="H303">
            <v>80000</v>
          </cell>
          <cell r="I303">
            <v>0.25</v>
          </cell>
          <cell r="K303" t="str">
            <v>P035InsideFPFC</v>
          </cell>
          <cell r="L303" t="str">
            <v>Inside</v>
          </cell>
          <cell r="M303" t="str">
            <v>FPFC</v>
          </cell>
          <cell r="N303" t="str">
            <v>26X38</v>
          </cell>
          <cell r="O303" t="str">
            <v>23.3X29.6</v>
          </cell>
          <cell r="P303">
            <v>16000</v>
          </cell>
          <cell r="Q303">
            <v>0.25</v>
          </cell>
          <cell r="AC303">
            <v>15</v>
          </cell>
          <cell r="AD303">
            <v>10</v>
          </cell>
          <cell r="AE303">
            <v>150</v>
          </cell>
          <cell r="AF303" t="str">
            <v>CD</v>
          </cell>
          <cell r="AG303">
            <v>297</v>
          </cell>
        </row>
        <row r="304">
          <cell r="A304" t="str">
            <v>P035</v>
          </cell>
          <cell r="B304" t="str">
            <v>10E</v>
          </cell>
          <cell r="C304">
            <v>8232420</v>
          </cell>
          <cell r="E304" t="str">
            <v>259 Hai Ba Trung, Q1, Tp.HCM</v>
          </cell>
          <cell r="F304" t="str">
            <v>Ms Thuy 0909 350540</v>
          </cell>
          <cell r="G304" t="str">
            <v>Thu/ Weekly</v>
          </cell>
          <cell r="I304">
            <v>0.4</v>
          </cell>
          <cell r="J304">
            <v>0.15</v>
          </cell>
          <cell r="K304" t="str">
            <v>P035LastFPFC</v>
          </cell>
          <cell r="L304" t="str">
            <v>Last</v>
          </cell>
          <cell r="M304" t="str">
            <v>FPFC</v>
          </cell>
          <cell r="N304" t="str">
            <v>26X38</v>
          </cell>
          <cell r="O304" t="str">
            <v>23.3X29.6</v>
          </cell>
          <cell r="P304">
            <v>16000</v>
          </cell>
          <cell r="Q304">
            <v>0.3</v>
          </cell>
          <cell r="R304">
            <v>0.15</v>
          </cell>
          <cell r="AC304">
            <v>15</v>
          </cell>
          <cell r="AD304">
            <v>10</v>
          </cell>
          <cell r="AE304" t="str">
            <v>300 DPI</v>
          </cell>
          <cell r="AF304" t="str">
            <v>CD- DPF/ CMYK</v>
          </cell>
          <cell r="AG304">
            <v>298</v>
          </cell>
        </row>
        <row r="305">
          <cell r="A305" t="str">
            <v>P035</v>
          </cell>
          <cell r="B305" t="str">
            <v>11E</v>
          </cell>
          <cell r="K305" t="str">
            <v>P035InsideHPFC</v>
          </cell>
          <cell r="L305" t="str">
            <v>Inside</v>
          </cell>
          <cell r="M305" t="str">
            <v>HPFC</v>
          </cell>
          <cell r="N305" t="str">
            <v>26X18.5</v>
          </cell>
          <cell r="O305" t="str">
            <v>23.3X29.6</v>
          </cell>
          <cell r="P305">
            <v>8500</v>
          </cell>
          <cell r="AG305">
            <v>299</v>
          </cell>
        </row>
        <row r="306">
          <cell r="A306" t="str">
            <v>P035</v>
          </cell>
          <cell r="K306" t="str">
            <v>P035InsideJPFC</v>
          </cell>
          <cell r="L306" t="str">
            <v>Inside</v>
          </cell>
          <cell r="M306" t="str">
            <v>JPFC</v>
          </cell>
          <cell r="N306" t="str">
            <v>18.5X26</v>
          </cell>
          <cell r="O306" t="str">
            <v>23.3X29.6</v>
          </cell>
          <cell r="P306">
            <v>10000</v>
          </cell>
          <cell r="AG306">
            <v>300</v>
          </cell>
        </row>
        <row r="307">
          <cell r="A307" t="str">
            <v>AN NINH THU DO</v>
          </cell>
          <cell r="K307" t="str">
            <v>AN NINH THU DO</v>
          </cell>
          <cell r="L307" t="str">
            <v>Inside</v>
          </cell>
          <cell r="M307" t="str">
            <v>2/3VPFC</v>
          </cell>
          <cell r="N307" t="str">
            <v>13.6X27</v>
          </cell>
          <cell r="O307" t="str">
            <v>23.3X29.6</v>
          </cell>
          <cell r="P307">
            <v>31900.000000000004</v>
          </cell>
          <cell r="AG307">
            <v>301</v>
          </cell>
        </row>
        <row r="308">
          <cell r="A308" t="str">
            <v>P036</v>
          </cell>
          <cell r="B308" t="str">
            <v>THE GIOI VAN HOA</v>
          </cell>
          <cell r="C308">
            <v>8232420</v>
          </cell>
          <cell r="E308" t="str">
            <v>259 Hai Ba Trung, Q1, Tp.HCM</v>
          </cell>
          <cell r="F308" t="str">
            <v>Ms Thuy 0909 350540</v>
          </cell>
          <cell r="G308" t="str">
            <v>Thu/ Weekly</v>
          </cell>
          <cell r="I308">
            <v>0.4</v>
          </cell>
          <cell r="J308">
            <v>0.15</v>
          </cell>
          <cell r="K308" t="str">
            <v>P036Cover 2FPFC</v>
          </cell>
          <cell r="L308" t="str">
            <v>Cover 2</v>
          </cell>
          <cell r="M308" t="str">
            <v>FPFC</v>
          </cell>
          <cell r="N308" t="str">
            <v>21X27</v>
          </cell>
          <cell r="O308" t="str">
            <v>23.3X29.6</v>
          </cell>
          <cell r="P308">
            <v>38500</v>
          </cell>
          <cell r="Q308">
            <v>0.3</v>
          </cell>
          <cell r="R308">
            <v>0.15</v>
          </cell>
          <cell r="AC308">
            <v>15</v>
          </cell>
          <cell r="AD308">
            <v>10</v>
          </cell>
          <cell r="AE308" t="str">
            <v>300 DPI</v>
          </cell>
          <cell r="AF308" t="str">
            <v>CD- DPF/ CMYK</v>
          </cell>
          <cell r="AG308">
            <v>302</v>
          </cell>
        </row>
        <row r="309">
          <cell r="A309" t="str">
            <v>P036</v>
          </cell>
          <cell r="B309" t="str">
            <v>11E</v>
          </cell>
          <cell r="K309" t="str">
            <v>P036Cover 3FPFC</v>
          </cell>
          <cell r="L309" t="str">
            <v>Cover 3</v>
          </cell>
          <cell r="M309" t="str">
            <v>FPFC</v>
          </cell>
          <cell r="N309" t="str">
            <v>21X27</v>
          </cell>
          <cell r="O309" t="str">
            <v>23.3X29.6</v>
          </cell>
          <cell r="P309">
            <v>34100</v>
          </cell>
          <cell r="AG309">
            <v>303</v>
          </cell>
        </row>
        <row r="310">
          <cell r="A310" t="str">
            <v>P036</v>
          </cell>
          <cell r="K310" t="str">
            <v>P036Cover 4FPFC</v>
          </cell>
          <cell r="L310" t="str">
            <v>Cover 4</v>
          </cell>
          <cell r="M310" t="str">
            <v>FPFC</v>
          </cell>
          <cell r="N310" t="str">
            <v>21X27</v>
          </cell>
          <cell r="O310" t="str">
            <v>23.3X29.6</v>
          </cell>
          <cell r="P310">
            <v>46200.000000000007</v>
          </cell>
          <cell r="AG310">
            <v>304</v>
          </cell>
        </row>
        <row r="311">
          <cell r="A311" t="str">
            <v>P036</v>
          </cell>
          <cell r="K311" t="str">
            <v>P036InsideFPFC</v>
          </cell>
          <cell r="L311" t="str">
            <v>Inside</v>
          </cell>
          <cell r="M311" t="str">
            <v>FPFC</v>
          </cell>
          <cell r="N311" t="str">
            <v>21X27</v>
          </cell>
          <cell r="O311" t="str">
            <v>23.3X29.6</v>
          </cell>
          <cell r="P311">
            <v>31900.000000000004</v>
          </cell>
          <cell r="AG311">
            <v>305</v>
          </cell>
        </row>
        <row r="312">
          <cell r="A312" t="str">
            <v>P036</v>
          </cell>
          <cell r="K312" t="str">
            <v>P036FirstFPFC</v>
          </cell>
          <cell r="L312" t="str">
            <v>First</v>
          </cell>
          <cell r="M312" t="str">
            <v>FPFC</v>
          </cell>
          <cell r="N312" t="str">
            <v>21X27</v>
          </cell>
          <cell r="O312" t="str">
            <v>23.3X29.6</v>
          </cell>
          <cell r="P312">
            <v>38280</v>
          </cell>
          <cell r="AG312">
            <v>306</v>
          </cell>
        </row>
        <row r="313">
          <cell r="A313" t="str">
            <v>P036</v>
          </cell>
          <cell r="K313" t="str">
            <v>P036Inside2/3HPFC</v>
          </cell>
          <cell r="L313" t="str">
            <v>Inside</v>
          </cell>
          <cell r="M313" t="str">
            <v>2/3HPFC</v>
          </cell>
          <cell r="N313" t="str">
            <v>21X17.6</v>
          </cell>
          <cell r="O313" t="str">
            <v>44.6X29.6</v>
          </cell>
          <cell r="P313">
            <v>31900.000000000004</v>
          </cell>
          <cell r="AG313">
            <v>307</v>
          </cell>
        </row>
        <row r="314">
          <cell r="A314" t="str">
            <v>P036</v>
          </cell>
          <cell r="B314" t="str">
            <v>Phu Nu VN</v>
          </cell>
          <cell r="C314">
            <v>9302117</v>
          </cell>
          <cell r="D314">
            <v>9303430</v>
          </cell>
          <cell r="E314" t="str">
            <v>38 vo VanTan Q3</v>
          </cell>
          <cell r="F314" t="str">
            <v>Ms Thu 0913722394</v>
          </cell>
          <cell r="G314" t="str">
            <v>2,4,6/ Weekly</v>
          </cell>
          <cell r="H314">
            <v>100000</v>
          </cell>
          <cell r="I314">
            <v>0.2</v>
          </cell>
          <cell r="K314" t="str">
            <v>P036Inside2/3VPFC</v>
          </cell>
          <cell r="L314" t="str">
            <v>Inside</v>
          </cell>
          <cell r="M314" t="str">
            <v>2/3VPFC</v>
          </cell>
          <cell r="N314" t="str">
            <v>13.6X27</v>
          </cell>
          <cell r="P314">
            <v>31900.000000000004</v>
          </cell>
          <cell r="AC314">
            <v>15</v>
          </cell>
          <cell r="AD314">
            <v>10</v>
          </cell>
          <cell r="AE314">
            <v>150</v>
          </cell>
          <cell r="AF314" t="str">
            <v>CD</v>
          </cell>
          <cell r="AG314">
            <v>308</v>
          </cell>
        </row>
        <row r="315">
          <cell r="A315" t="str">
            <v>P036</v>
          </cell>
          <cell r="B315" t="str">
            <v>Phu Nu VN</v>
          </cell>
          <cell r="C315">
            <v>9302117</v>
          </cell>
          <cell r="D315">
            <v>9303430</v>
          </cell>
          <cell r="E315" t="str">
            <v>38 vo VanTan Q3</v>
          </cell>
          <cell r="F315" t="str">
            <v>Ms Thu 0913722394</v>
          </cell>
          <cell r="G315" t="str">
            <v>2,4,6/ Weekly</v>
          </cell>
          <cell r="H315">
            <v>100000</v>
          </cell>
          <cell r="I315">
            <v>0.2</v>
          </cell>
          <cell r="K315" t="str">
            <v>P036InsideHPFC</v>
          </cell>
          <cell r="L315" t="str">
            <v>Inside</v>
          </cell>
          <cell r="M315" t="str">
            <v>HPFC</v>
          </cell>
          <cell r="N315" t="str">
            <v>21X13</v>
          </cell>
          <cell r="P315">
            <v>20900</v>
          </cell>
          <cell r="AC315">
            <v>15</v>
          </cell>
          <cell r="AD315">
            <v>10</v>
          </cell>
          <cell r="AE315">
            <v>150</v>
          </cell>
          <cell r="AF315" t="str">
            <v>CD</v>
          </cell>
          <cell r="AG315">
            <v>309</v>
          </cell>
        </row>
        <row r="316">
          <cell r="A316" t="str">
            <v>P036</v>
          </cell>
          <cell r="B316" t="str">
            <v>6D</v>
          </cell>
          <cell r="K316" t="str">
            <v>P036InsideVPFC</v>
          </cell>
          <cell r="L316" t="str">
            <v>Inside</v>
          </cell>
          <cell r="M316" t="str">
            <v>VPFC</v>
          </cell>
          <cell r="N316" t="str">
            <v>10X27</v>
          </cell>
          <cell r="O316" t="str">
            <v>44.6X29.6</v>
          </cell>
          <cell r="P316">
            <v>20900</v>
          </cell>
          <cell r="AG316">
            <v>310</v>
          </cell>
        </row>
        <row r="317">
          <cell r="A317" t="str">
            <v>P036</v>
          </cell>
          <cell r="K317" t="str">
            <v>P036Inside1/3HPFC</v>
          </cell>
          <cell r="L317" t="str">
            <v>Inside</v>
          </cell>
          <cell r="M317" t="str">
            <v>1/3HPFC</v>
          </cell>
          <cell r="N317" t="str">
            <v>21X8.4</v>
          </cell>
          <cell r="P317">
            <v>16500</v>
          </cell>
          <cell r="AG317">
            <v>311</v>
          </cell>
        </row>
        <row r="318">
          <cell r="A318" t="str">
            <v>P036</v>
          </cell>
          <cell r="B318" t="str">
            <v>Phu Nu VN</v>
          </cell>
          <cell r="C318">
            <v>9302117</v>
          </cell>
          <cell r="D318">
            <v>9303430</v>
          </cell>
          <cell r="E318" t="str">
            <v>38 vo VanTan Q3</v>
          </cell>
          <cell r="F318" t="str">
            <v>Ms Thu 0913722394</v>
          </cell>
          <cell r="G318" t="str">
            <v>Mon, Wed, Fri/ Weekly</v>
          </cell>
          <cell r="H318">
            <v>100000</v>
          </cell>
          <cell r="I318">
            <v>0.2</v>
          </cell>
          <cell r="K318" t="str">
            <v>P036Inside1/3VPFC</v>
          </cell>
          <cell r="L318" t="str">
            <v>Inside</v>
          </cell>
          <cell r="M318" t="str">
            <v>1/3VPFC</v>
          </cell>
          <cell r="N318" t="str">
            <v>6.4X27</v>
          </cell>
          <cell r="P318">
            <v>16500</v>
          </cell>
          <cell r="AC318">
            <v>15</v>
          </cell>
          <cell r="AD318">
            <v>10</v>
          </cell>
          <cell r="AE318">
            <v>150</v>
          </cell>
          <cell r="AF318" t="str">
            <v>CD</v>
          </cell>
          <cell r="AG318">
            <v>312</v>
          </cell>
        </row>
        <row r="319">
          <cell r="A319" t="str">
            <v>P036</v>
          </cell>
          <cell r="B319" t="str">
            <v>Phu Nu VN Mag.</v>
          </cell>
          <cell r="C319">
            <v>9302117</v>
          </cell>
          <cell r="D319">
            <v>9303430</v>
          </cell>
          <cell r="E319" t="str">
            <v>38 vo VanTan Q3</v>
          </cell>
          <cell r="F319" t="str">
            <v>Ms Thu 0913722394</v>
          </cell>
          <cell r="G319" t="str">
            <v>2,4,6/ Weekly</v>
          </cell>
          <cell r="H319">
            <v>80000</v>
          </cell>
          <cell r="I319">
            <v>0.2</v>
          </cell>
          <cell r="K319" t="str">
            <v>P036Inside1/4HPFC</v>
          </cell>
          <cell r="L319" t="str">
            <v>Inside</v>
          </cell>
          <cell r="M319" t="str">
            <v>1/4HPFC</v>
          </cell>
          <cell r="N319" t="str">
            <v>21X6</v>
          </cell>
          <cell r="P319">
            <v>13200.000000000002</v>
          </cell>
          <cell r="AC319">
            <v>15</v>
          </cell>
          <cell r="AD319">
            <v>10</v>
          </cell>
          <cell r="AE319">
            <v>150</v>
          </cell>
          <cell r="AF319" t="str">
            <v>CD</v>
          </cell>
          <cell r="AG319">
            <v>313</v>
          </cell>
        </row>
        <row r="320">
          <cell r="A320" t="str">
            <v>P036</v>
          </cell>
          <cell r="B320" t="str">
            <v>6D</v>
          </cell>
          <cell r="K320" t="str">
            <v>P036InsideDPFC</v>
          </cell>
          <cell r="L320" t="str">
            <v>Inside</v>
          </cell>
          <cell r="M320" t="str">
            <v>DPFC</v>
          </cell>
          <cell r="N320" t="str">
            <v>44X27</v>
          </cell>
          <cell r="O320" t="str">
            <v>44.6X29.6</v>
          </cell>
          <cell r="P320">
            <v>58300.000000000007</v>
          </cell>
          <cell r="AG320">
            <v>314</v>
          </cell>
        </row>
        <row r="321">
          <cell r="A321" t="str">
            <v>P036</v>
          </cell>
          <cell r="K321" t="str">
            <v>P036InsideGatefold</v>
          </cell>
          <cell r="L321" t="str">
            <v>Inside</v>
          </cell>
          <cell r="M321" t="str">
            <v>Gatefold</v>
          </cell>
          <cell r="N321" t="str">
            <v>44X27</v>
          </cell>
          <cell r="O321" t="str">
            <v>46.1X29.6</v>
          </cell>
          <cell r="P321" t="str">
            <v>FPFC-dis+FPFC*2</v>
          </cell>
          <cell r="AG321">
            <v>315</v>
          </cell>
        </row>
        <row r="322">
          <cell r="A322" t="str">
            <v>THE GIOI VAN HOA</v>
          </cell>
          <cell r="B322" t="str">
            <v>Phu Nu VN</v>
          </cell>
          <cell r="C322">
            <v>9302117</v>
          </cell>
          <cell r="D322">
            <v>9303430</v>
          </cell>
          <cell r="E322" t="str">
            <v>38 vo VanTan Q3</v>
          </cell>
          <cell r="F322" t="str">
            <v>Ms Thu 0913722394</v>
          </cell>
          <cell r="G322" t="str">
            <v>Mon, Wed, Fri/ Weekly</v>
          </cell>
          <cell r="H322">
            <v>100000</v>
          </cell>
          <cell r="I322">
            <v>0.2</v>
          </cell>
          <cell r="K322" t="str">
            <v>THE GIOI VAN HOA</v>
          </cell>
          <cell r="L322" t="str">
            <v>Inside</v>
          </cell>
          <cell r="M322" t="str">
            <v>FPFC</v>
          </cell>
          <cell r="N322" t="str">
            <v>26X38</v>
          </cell>
          <cell r="P322">
            <v>14000</v>
          </cell>
          <cell r="AC322">
            <v>15</v>
          </cell>
          <cell r="AD322">
            <v>10</v>
          </cell>
          <cell r="AE322">
            <v>150</v>
          </cell>
          <cell r="AF322" t="str">
            <v>CD</v>
          </cell>
          <cell r="AG322">
            <v>316</v>
          </cell>
        </row>
        <row r="323">
          <cell r="A323" t="str">
            <v>P037</v>
          </cell>
          <cell r="B323" t="str">
            <v>Phu Nu VN</v>
          </cell>
          <cell r="C323">
            <v>9302117</v>
          </cell>
          <cell r="D323">
            <v>9303430</v>
          </cell>
          <cell r="E323" t="str">
            <v>38 vo VanTan Q3</v>
          </cell>
          <cell r="F323" t="str">
            <v>Ms Thu 0913722394</v>
          </cell>
          <cell r="G323" t="str">
            <v>Mon, Wed, Fri/ Weekly</v>
          </cell>
          <cell r="H323">
            <v>100000</v>
          </cell>
          <cell r="I323">
            <v>0.2</v>
          </cell>
          <cell r="K323" t="str">
            <v>P037InsideFPFC</v>
          </cell>
          <cell r="L323" t="str">
            <v>Inside</v>
          </cell>
          <cell r="M323" t="str">
            <v>FPFC</v>
          </cell>
          <cell r="N323" t="str">
            <v>26X38</v>
          </cell>
          <cell r="P323">
            <v>14000</v>
          </cell>
          <cell r="AC323">
            <v>15</v>
          </cell>
          <cell r="AD323">
            <v>10</v>
          </cell>
          <cell r="AE323">
            <v>150</v>
          </cell>
          <cell r="AF323" t="str">
            <v>CD</v>
          </cell>
          <cell r="AG323">
            <v>317</v>
          </cell>
        </row>
        <row r="324">
          <cell r="A324" t="str">
            <v>P037</v>
          </cell>
          <cell r="B324" t="str">
            <v>6D</v>
          </cell>
          <cell r="C324">
            <v>9305921</v>
          </cell>
          <cell r="D324">
            <v>9303332</v>
          </cell>
          <cell r="E324" t="str">
            <v>221 Phan Van Han P17, Binh Thanh</v>
          </cell>
          <cell r="F324" t="str">
            <v>Ms Hien 098 8883754</v>
          </cell>
          <cell r="G324" t="str">
            <v>Tue, Fri, Sat</v>
          </cell>
          <cell r="H324">
            <v>230000</v>
          </cell>
          <cell r="I324">
            <v>0.25</v>
          </cell>
          <cell r="K324" t="str">
            <v>P037InsideHPFC</v>
          </cell>
          <cell r="L324" t="str">
            <v>Inside</v>
          </cell>
          <cell r="M324" t="str">
            <v>HPFC</v>
          </cell>
          <cell r="N324" t="str">
            <v>26X18.5</v>
          </cell>
          <cell r="P324">
            <v>7000</v>
          </cell>
          <cell r="AC324">
            <v>15</v>
          </cell>
          <cell r="AD324">
            <v>10</v>
          </cell>
          <cell r="AE324">
            <v>120</v>
          </cell>
          <cell r="AF324" t="str">
            <v>CD</v>
          </cell>
          <cell r="AG324">
            <v>318</v>
          </cell>
        </row>
        <row r="325">
          <cell r="A325" t="str">
            <v>P037</v>
          </cell>
          <cell r="B325" t="str">
            <v>THE THAO VAN HOA</v>
          </cell>
          <cell r="C325">
            <v>9305921</v>
          </cell>
          <cell r="D325">
            <v>9303332</v>
          </cell>
          <cell r="E325" t="str">
            <v>221 Phan Van Han P17, Binh Thanh</v>
          </cell>
          <cell r="F325" t="str">
            <v>Ms Hien 098 8883754</v>
          </cell>
          <cell r="G325" t="str">
            <v>Tue, Fri, Sat</v>
          </cell>
          <cell r="H325">
            <v>230000</v>
          </cell>
          <cell r="I325">
            <v>0.25</v>
          </cell>
          <cell r="K325" t="str">
            <v>P037FirstFPFC</v>
          </cell>
          <cell r="L325" t="str">
            <v>First</v>
          </cell>
          <cell r="M325" t="str">
            <v>FPFC</v>
          </cell>
          <cell r="N325" t="str">
            <v>26X18.5</v>
          </cell>
          <cell r="P325">
            <v>15400.000000000002</v>
          </cell>
          <cell r="AC325">
            <v>15</v>
          </cell>
          <cell r="AD325">
            <v>10</v>
          </cell>
          <cell r="AE325">
            <v>120</v>
          </cell>
          <cell r="AF325" t="str">
            <v>CD</v>
          </cell>
          <cell r="AG325">
            <v>319</v>
          </cell>
        </row>
        <row r="326">
          <cell r="A326" t="str">
            <v>Phu Nu VN</v>
          </cell>
          <cell r="B326" t="str">
            <v>Phu Nu VN Mag.</v>
          </cell>
          <cell r="C326">
            <v>9302117</v>
          </cell>
          <cell r="D326">
            <v>9303430</v>
          </cell>
          <cell r="E326" t="str">
            <v>38 vo VanTan Q3</v>
          </cell>
          <cell r="F326" t="str">
            <v>Ms Thu 0913722394</v>
          </cell>
          <cell r="G326" t="str">
            <v>Mon, Wed, Fri/ Weekly</v>
          </cell>
          <cell r="H326">
            <v>80000</v>
          </cell>
          <cell r="I326">
            <v>0.2</v>
          </cell>
          <cell r="K326" t="str">
            <v>Phu Nu VN</v>
          </cell>
          <cell r="L326" t="str">
            <v>Inside</v>
          </cell>
          <cell r="M326" t="str">
            <v>FPFC</v>
          </cell>
          <cell r="N326" t="str">
            <v>18X26.5</v>
          </cell>
          <cell r="P326">
            <v>7000</v>
          </cell>
          <cell r="AC326">
            <v>15</v>
          </cell>
          <cell r="AD326">
            <v>10</v>
          </cell>
          <cell r="AE326">
            <v>150</v>
          </cell>
          <cell r="AF326" t="str">
            <v>CD</v>
          </cell>
          <cell r="AG326">
            <v>320</v>
          </cell>
        </row>
        <row r="327">
          <cell r="A327" t="str">
            <v>P038</v>
          </cell>
          <cell r="B327" t="str">
            <v>Phu Nu VN Mag.</v>
          </cell>
          <cell r="C327">
            <v>9302117</v>
          </cell>
          <cell r="D327">
            <v>9303430</v>
          </cell>
          <cell r="E327" t="str">
            <v>38 vo VanTan Q3</v>
          </cell>
          <cell r="F327" t="str">
            <v>Ms Thu 0913722394</v>
          </cell>
          <cell r="G327" t="str">
            <v>Mon, Wed, Fri/ Weekly</v>
          </cell>
          <cell r="H327">
            <v>80000</v>
          </cell>
          <cell r="I327">
            <v>0.2</v>
          </cell>
          <cell r="K327" t="str">
            <v>P038InsideFPFC</v>
          </cell>
          <cell r="L327" t="str">
            <v>Inside</v>
          </cell>
          <cell r="M327" t="str">
            <v>FPFC</v>
          </cell>
          <cell r="N327" t="str">
            <v>18X26.5</v>
          </cell>
          <cell r="P327">
            <v>7000</v>
          </cell>
          <cell r="AC327">
            <v>15</v>
          </cell>
          <cell r="AD327">
            <v>10</v>
          </cell>
          <cell r="AE327">
            <v>150</v>
          </cell>
          <cell r="AF327" t="str">
            <v>CD</v>
          </cell>
          <cell r="AG327">
            <v>321</v>
          </cell>
        </row>
        <row r="328">
          <cell r="A328" t="str">
            <v>P038</v>
          </cell>
          <cell r="B328" t="str">
            <v>6D</v>
          </cell>
          <cell r="C328">
            <v>9305921</v>
          </cell>
          <cell r="D328">
            <v>9303332</v>
          </cell>
          <cell r="E328" t="str">
            <v>221 Phan Van Han P17, Binh Thanh</v>
          </cell>
          <cell r="F328" t="str">
            <v>Ms Hien 098 8883754</v>
          </cell>
          <cell r="G328" t="str">
            <v>Tue, Fri, Sat/ Weekly</v>
          </cell>
          <cell r="H328">
            <v>230000</v>
          </cell>
          <cell r="I328">
            <v>0.25</v>
          </cell>
          <cell r="K328" t="str">
            <v>P038Cover 4FPFC</v>
          </cell>
          <cell r="L328" t="str">
            <v>Cover 4</v>
          </cell>
          <cell r="M328" t="str">
            <v>FPFC</v>
          </cell>
          <cell r="N328" t="str">
            <v>18X26.5</v>
          </cell>
          <cell r="P328">
            <v>8000</v>
          </cell>
          <cell r="Q328">
            <v>0.2</v>
          </cell>
          <cell r="AC328">
            <v>15</v>
          </cell>
          <cell r="AD328">
            <v>10</v>
          </cell>
          <cell r="AE328">
            <v>120</v>
          </cell>
          <cell r="AF328" t="str">
            <v>CD</v>
          </cell>
          <cell r="AG328">
            <v>322</v>
          </cell>
        </row>
        <row r="329">
          <cell r="A329" t="str">
            <v>P038</v>
          </cell>
          <cell r="B329" t="str">
            <v>8D</v>
          </cell>
          <cell r="K329" t="str">
            <v>P038Cover 2FPFC</v>
          </cell>
          <cell r="L329" t="str">
            <v>Cover 2</v>
          </cell>
          <cell r="M329" t="str">
            <v>FPFC</v>
          </cell>
          <cell r="N329" t="str">
            <v>18X26.5</v>
          </cell>
          <cell r="P329">
            <v>7500</v>
          </cell>
          <cell r="AG329">
            <v>323</v>
          </cell>
        </row>
        <row r="330">
          <cell r="A330" t="str">
            <v>P038</v>
          </cell>
          <cell r="K330" t="str">
            <v>P038Cover 3FPFC</v>
          </cell>
          <cell r="L330" t="str">
            <v>Cover 3</v>
          </cell>
          <cell r="M330" t="str">
            <v>FPFC</v>
          </cell>
          <cell r="N330" t="str">
            <v>18X26.5</v>
          </cell>
          <cell r="P330">
            <v>7500</v>
          </cell>
          <cell r="AG330">
            <v>324</v>
          </cell>
        </row>
        <row r="331">
          <cell r="A331" t="str">
            <v>P038</v>
          </cell>
          <cell r="K331" t="str">
            <v>P038FirstFPFC</v>
          </cell>
          <cell r="L331" t="str">
            <v>First</v>
          </cell>
          <cell r="M331" t="str">
            <v>FPFC</v>
          </cell>
          <cell r="N331" t="str">
            <v>18X26.5</v>
          </cell>
          <cell r="P331">
            <v>7700.0000000000009</v>
          </cell>
          <cell r="AG331">
            <v>325</v>
          </cell>
        </row>
        <row r="332">
          <cell r="A332" t="str">
            <v>Phu Nu VN Mag.</v>
          </cell>
          <cell r="B332" t="str">
            <v>THE THAO VAN HOA</v>
          </cell>
          <cell r="C332">
            <v>9305921</v>
          </cell>
          <cell r="D332">
            <v>9303332</v>
          </cell>
          <cell r="E332" t="str">
            <v>221 Phan Van Han P17, Binh Thanh</v>
          </cell>
          <cell r="F332" t="str">
            <v>Ms Hien 098 8883754</v>
          </cell>
          <cell r="G332" t="str">
            <v>Tue, Fri, Sat/ Weekly</v>
          </cell>
          <cell r="H332">
            <v>230000</v>
          </cell>
          <cell r="I332">
            <v>0.25</v>
          </cell>
          <cell r="J332">
            <v>0.15</v>
          </cell>
          <cell r="K332" t="str">
            <v>Phu Nu VN Mag.</v>
          </cell>
          <cell r="L332" t="str">
            <v>Cover 4</v>
          </cell>
          <cell r="M332" t="str">
            <v>FPFC</v>
          </cell>
          <cell r="N332" t="str">
            <v>18X26</v>
          </cell>
          <cell r="O332" t="str">
            <v>23.3X29.6</v>
          </cell>
          <cell r="P332">
            <v>12000</v>
          </cell>
          <cell r="Q332">
            <v>0.2</v>
          </cell>
          <cell r="R332">
            <v>0.15</v>
          </cell>
          <cell r="AC332">
            <v>15</v>
          </cell>
          <cell r="AD332">
            <v>10</v>
          </cell>
          <cell r="AE332">
            <v>120</v>
          </cell>
          <cell r="AF332" t="str">
            <v>CD</v>
          </cell>
          <cell r="AG332">
            <v>326</v>
          </cell>
        </row>
        <row r="333">
          <cell r="A333" t="str">
            <v>P039</v>
          </cell>
          <cell r="B333" t="str">
            <v>THE THAO VAN HOA</v>
          </cell>
          <cell r="C333">
            <v>9305921</v>
          </cell>
          <cell r="D333">
            <v>9303332</v>
          </cell>
          <cell r="E333" t="str">
            <v>221 Phan Van Han P17, Binh Thanh</v>
          </cell>
          <cell r="F333" t="str">
            <v>Ms Hien 098 8883754</v>
          </cell>
          <cell r="G333" t="str">
            <v>Tue, Fri, Sat/ Weekly</v>
          </cell>
          <cell r="H333">
            <v>230000</v>
          </cell>
          <cell r="I333">
            <v>0.25</v>
          </cell>
          <cell r="J333">
            <v>0.15</v>
          </cell>
          <cell r="K333" t="str">
            <v>P039Cover 4FPFC</v>
          </cell>
          <cell r="L333" t="str">
            <v>Cover 4</v>
          </cell>
          <cell r="M333" t="str">
            <v>FPFC</v>
          </cell>
          <cell r="N333" t="str">
            <v>18X26</v>
          </cell>
          <cell r="O333" t="str">
            <v>23.3X29.6</v>
          </cell>
          <cell r="P333">
            <v>12000</v>
          </cell>
          <cell r="Q333">
            <v>0.2</v>
          </cell>
          <cell r="R333">
            <v>0.15</v>
          </cell>
          <cell r="AC333">
            <v>15</v>
          </cell>
          <cell r="AD333">
            <v>10</v>
          </cell>
          <cell r="AE333">
            <v>120</v>
          </cell>
          <cell r="AF333" t="str">
            <v>CD</v>
          </cell>
          <cell r="AG333">
            <v>327</v>
          </cell>
        </row>
        <row r="334">
          <cell r="A334" t="str">
            <v>P039</v>
          </cell>
          <cell r="B334" t="str">
            <v>8D</v>
          </cell>
          <cell r="K334" t="str">
            <v>P039InsideFPFC</v>
          </cell>
          <cell r="L334" t="str">
            <v>Inside</v>
          </cell>
          <cell r="M334" t="str">
            <v>FPFC</v>
          </cell>
          <cell r="N334" t="str">
            <v>18X26</v>
          </cell>
          <cell r="O334" t="str">
            <v>23.3X29.6</v>
          </cell>
          <cell r="P334">
            <v>10000</v>
          </cell>
          <cell r="AG334">
            <v>328</v>
          </cell>
        </row>
        <row r="335">
          <cell r="A335" t="str">
            <v>P039</v>
          </cell>
          <cell r="K335" t="str">
            <v>P039InsideHPFC</v>
          </cell>
          <cell r="L335" t="str">
            <v>Inside</v>
          </cell>
          <cell r="M335" t="str">
            <v>HPFC</v>
          </cell>
          <cell r="N335" t="str">
            <v>18X13</v>
          </cell>
          <cell r="O335" t="str">
            <v>23.3X29.6</v>
          </cell>
          <cell r="P335">
            <v>5000</v>
          </cell>
          <cell r="AG335">
            <v>329</v>
          </cell>
        </row>
        <row r="336">
          <cell r="A336" t="str">
            <v>P039</v>
          </cell>
          <cell r="B336" t="str">
            <v>TIEP THI &amp; GIA DINH M</v>
          </cell>
          <cell r="C336">
            <v>8232417</v>
          </cell>
          <cell r="E336" t="str">
            <v>259 Hai Ba Trung, Q1, Tp.HCM</v>
          </cell>
          <cell r="F336" t="str">
            <v>Ms Lan Anh 0913866440</v>
          </cell>
          <cell r="G336" t="str">
            <v>25/ Monthly</v>
          </cell>
          <cell r="I336">
            <v>0.4</v>
          </cell>
          <cell r="J336">
            <v>0.15</v>
          </cell>
          <cell r="K336" t="str">
            <v>P039InsideVPFC</v>
          </cell>
          <cell r="L336" t="str">
            <v>Inside</v>
          </cell>
          <cell r="M336" t="str">
            <v>VPFC</v>
          </cell>
          <cell r="N336" t="str">
            <v>9X26</v>
          </cell>
          <cell r="O336" t="str">
            <v>23.3X29.6</v>
          </cell>
          <cell r="P336">
            <v>5000</v>
          </cell>
          <cell r="Q336">
            <v>0.3</v>
          </cell>
          <cell r="R336">
            <v>0.15</v>
          </cell>
          <cell r="AC336">
            <v>15</v>
          </cell>
          <cell r="AD336">
            <v>14</v>
          </cell>
          <cell r="AE336" t="str">
            <v>350 DPI</v>
          </cell>
          <cell r="AF336" t="str">
            <v>CD- DPF/ EPF</v>
          </cell>
          <cell r="AG336">
            <v>330</v>
          </cell>
        </row>
        <row r="337">
          <cell r="A337" t="str">
            <v>P039</v>
          </cell>
          <cell r="B337" t="str">
            <v>10D</v>
          </cell>
          <cell r="K337" t="str">
            <v>P039InsideQPFC</v>
          </cell>
          <cell r="L337" t="str">
            <v>Inside</v>
          </cell>
          <cell r="M337" t="str">
            <v>QPFC</v>
          </cell>
          <cell r="N337" t="str">
            <v>9X13</v>
          </cell>
          <cell r="O337" t="str">
            <v>23.3X29.6</v>
          </cell>
          <cell r="P337">
            <v>3000</v>
          </cell>
          <cell r="AG337">
            <v>331</v>
          </cell>
        </row>
        <row r="338">
          <cell r="A338" t="str">
            <v>P039</v>
          </cell>
          <cell r="K338" t="str">
            <v>P039Strip ad</v>
          </cell>
          <cell r="L338" t="str">
            <v>Strip ad</v>
          </cell>
          <cell r="M338" t="str">
            <v>FPFC</v>
          </cell>
          <cell r="N338" t="str">
            <v>18X3</v>
          </cell>
          <cell r="O338" t="str">
            <v>23.3X29.6</v>
          </cell>
          <cell r="P338">
            <v>1200</v>
          </cell>
          <cell r="AG338">
            <v>332</v>
          </cell>
        </row>
        <row r="339">
          <cell r="A339" t="str">
            <v>P039</v>
          </cell>
          <cell r="K339" t="str">
            <v>P039FirstFPFC</v>
          </cell>
          <cell r="L339" t="str">
            <v>First</v>
          </cell>
          <cell r="M339" t="str">
            <v>FPFC</v>
          </cell>
          <cell r="N339" t="str">
            <v>18X26</v>
          </cell>
          <cell r="O339" t="str">
            <v>23.3X29.6</v>
          </cell>
          <cell r="P339">
            <v>12000</v>
          </cell>
          <cell r="AG339">
            <v>333</v>
          </cell>
        </row>
        <row r="340">
          <cell r="A340" t="str">
            <v>THE THAO VAN HOA</v>
          </cell>
          <cell r="B340" t="str">
            <v>TIEP THI &amp; GIA DINH M</v>
          </cell>
          <cell r="C340">
            <v>8232417</v>
          </cell>
          <cell r="E340" t="str">
            <v>259 Hai Ba Trung, Q1, Tp.HCM</v>
          </cell>
          <cell r="F340" t="str">
            <v>Ms Lan Anh 0913866440</v>
          </cell>
          <cell r="G340" t="str">
            <v>25/ Monthly</v>
          </cell>
          <cell r="I340">
            <v>0.4</v>
          </cell>
          <cell r="J340">
            <v>0.15</v>
          </cell>
          <cell r="K340" t="str">
            <v>THE THAO VAN HOA</v>
          </cell>
          <cell r="L340" t="str">
            <v>Inside</v>
          </cell>
          <cell r="M340" t="str">
            <v>VPFC</v>
          </cell>
          <cell r="N340" t="str">
            <v>10X27</v>
          </cell>
          <cell r="O340" t="str">
            <v>23.3X29.6</v>
          </cell>
          <cell r="P340">
            <v>26400.000000000004</v>
          </cell>
          <cell r="Q340">
            <v>0.3</v>
          </cell>
          <cell r="R340">
            <v>0.15</v>
          </cell>
          <cell r="AC340">
            <v>15</v>
          </cell>
          <cell r="AD340">
            <v>14</v>
          </cell>
          <cell r="AE340" t="str">
            <v>350 DPI</v>
          </cell>
          <cell r="AF340" t="str">
            <v>CD- DPF/ EPF</v>
          </cell>
          <cell r="AG340">
            <v>334</v>
          </cell>
        </row>
        <row r="341">
          <cell r="A341" t="str">
            <v>P040</v>
          </cell>
          <cell r="B341" t="str">
            <v>TIEP THI &amp; GIA DINH M</v>
          </cell>
          <cell r="C341">
            <v>8232417</v>
          </cell>
          <cell r="E341" t="str">
            <v>259 Hai Ba Trung, Q1, Tp.HCM</v>
          </cell>
          <cell r="F341" t="str">
            <v>Ms Lan Anh 0913866440</v>
          </cell>
          <cell r="G341" t="str">
            <v>25/ Monthly</v>
          </cell>
          <cell r="I341">
            <v>0.4</v>
          </cell>
          <cell r="J341">
            <v>0.15</v>
          </cell>
          <cell r="K341" t="str">
            <v>P040Cover 2FPFC</v>
          </cell>
          <cell r="L341" t="str">
            <v>Cover 2</v>
          </cell>
          <cell r="M341" t="str">
            <v>FPFC</v>
          </cell>
          <cell r="N341" t="str">
            <v>21X27</v>
          </cell>
          <cell r="O341" t="str">
            <v>23.3X29.6</v>
          </cell>
          <cell r="P341">
            <v>47300.000000000007</v>
          </cell>
          <cell r="Q341">
            <v>0.3</v>
          </cell>
          <cell r="R341">
            <v>0.15</v>
          </cell>
          <cell r="AC341">
            <v>15</v>
          </cell>
          <cell r="AD341">
            <v>14</v>
          </cell>
          <cell r="AE341" t="str">
            <v>350 DPI</v>
          </cell>
          <cell r="AF341" t="str">
            <v>CD- DPF/ EPF</v>
          </cell>
          <cell r="AG341">
            <v>335</v>
          </cell>
        </row>
        <row r="342">
          <cell r="A342" t="str">
            <v>P040</v>
          </cell>
          <cell r="B342" t="str">
            <v>10D</v>
          </cell>
          <cell r="K342" t="str">
            <v>P040Cover 3FPFC</v>
          </cell>
          <cell r="L342" t="str">
            <v>Cover 3</v>
          </cell>
          <cell r="M342" t="str">
            <v>FPFC</v>
          </cell>
          <cell r="N342" t="str">
            <v>21X27</v>
          </cell>
          <cell r="O342" t="str">
            <v>23.3X29.6</v>
          </cell>
          <cell r="P342">
            <v>41800</v>
          </cell>
          <cell r="AG342">
            <v>336</v>
          </cell>
        </row>
        <row r="343">
          <cell r="A343" t="str">
            <v>P040</v>
          </cell>
          <cell r="K343" t="str">
            <v>P040Cover 4FPFC</v>
          </cell>
          <cell r="L343" t="str">
            <v>Cover 4</v>
          </cell>
          <cell r="M343" t="str">
            <v>FPFC</v>
          </cell>
          <cell r="N343" t="str">
            <v>21X27</v>
          </cell>
          <cell r="O343" t="str">
            <v>23.3X29.6</v>
          </cell>
          <cell r="P343">
            <v>57200.000000000007</v>
          </cell>
          <cell r="AG343">
            <v>337</v>
          </cell>
        </row>
        <row r="344">
          <cell r="A344" t="str">
            <v>P040</v>
          </cell>
          <cell r="K344" t="str">
            <v>P040InsideFPFC</v>
          </cell>
          <cell r="L344" t="str">
            <v>Inside</v>
          </cell>
          <cell r="M344" t="str">
            <v>FPFC</v>
          </cell>
          <cell r="N344" t="str">
            <v>21X27</v>
          </cell>
          <cell r="O344" t="str">
            <v>23.3X29.6</v>
          </cell>
          <cell r="P344">
            <v>39600</v>
          </cell>
          <cell r="AG344">
            <v>338</v>
          </cell>
        </row>
        <row r="345">
          <cell r="A345" t="str">
            <v>P040</v>
          </cell>
          <cell r="K345" t="str">
            <v>P040Inside2/3VPFC</v>
          </cell>
          <cell r="L345" t="str">
            <v>Inside</v>
          </cell>
          <cell r="M345" t="str">
            <v>2/3VPFC</v>
          </cell>
          <cell r="N345" t="str">
            <v>13.6X27</v>
          </cell>
          <cell r="O345" t="str">
            <v>46.6X29.6</v>
          </cell>
          <cell r="P345">
            <v>39600</v>
          </cell>
          <cell r="AG345">
            <v>339</v>
          </cell>
        </row>
        <row r="346">
          <cell r="A346" t="str">
            <v>P040</v>
          </cell>
          <cell r="K346" t="str">
            <v>P040Inside2/3HPFC</v>
          </cell>
          <cell r="L346" t="str">
            <v>Inside</v>
          </cell>
          <cell r="M346" t="str">
            <v>2/3HPFC</v>
          </cell>
          <cell r="N346" t="str">
            <v>21X17.6</v>
          </cell>
          <cell r="O346" t="str">
            <v>23.3X29.6</v>
          </cell>
          <cell r="P346">
            <v>39600</v>
          </cell>
          <cell r="AG346">
            <v>340</v>
          </cell>
        </row>
        <row r="347">
          <cell r="A347" t="str">
            <v>P040</v>
          </cell>
          <cell r="B347" t="str">
            <v>CAM NANG MUA SAM</v>
          </cell>
          <cell r="C347">
            <v>8634953</v>
          </cell>
          <cell r="D347">
            <v>8634954</v>
          </cell>
          <cell r="E347" t="str">
            <v>781/A12 Le Hong Phong, P12, Q10</v>
          </cell>
          <cell r="F347" t="str">
            <v>Ms Huong 0908474047</v>
          </cell>
          <cell r="G347" t="str">
            <v>5,15,25/ Month</v>
          </cell>
          <cell r="I347">
            <v>0.25</v>
          </cell>
          <cell r="K347" t="str">
            <v>P040InsideHPFC</v>
          </cell>
          <cell r="L347" t="str">
            <v>Inside</v>
          </cell>
          <cell r="M347" t="str">
            <v>HPFC</v>
          </cell>
          <cell r="N347" t="str">
            <v>21X13</v>
          </cell>
          <cell r="P347">
            <v>26400.000000000004</v>
          </cell>
          <cell r="AC347">
            <v>15</v>
          </cell>
          <cell r="AD347">
            <v>10</v>
          </cell>
          <cell r="AE347" t="str">
            <v>350 DPI</v>
          </cell>
          <cell r="AF347" t="str">
            <v>CD</v>
          </cell>
          <cell r="AG347">
            <v>341</v>
          </cell>
        </row>
        <row r="348">
          <cell r="A348" t="str">
            <v>P040</v>
          </cell>
          <cell r="B348" t="str">
            <v>CAM NANG MUA SAM</v>
          </cell>
          <cell r="C348">
            <v>8634953</v>
          </cell>
          <cell r="D348">
            <v>8634954</v>
          </cell>
          <cell r="E348" t="str">
            <v>781/A12 Le Hong Phong, P12, Q10</v>
          </cell>
          <cell r="F348" t="str">
            <v>Ms Huong 0908474047</v>
          </cell>
          <cell r="G348" t="str">
            <v>5,15,25/ Month</v>
          </cell>
          <cell r="I348">
            <v>0.25</v>
          </cell>
          <cell r="K348" t="str">
            <v>P040InsideVPFC</v>
          </cell>
          <cell r="L348" t="str">
            <v>Inside</v>
          </cell>
          <cell r="M348" t="str">
            <v>VPFC</v>
          </cell>
          <cell r="N348" t="str">
            <v>10X27</v>
          </cell>
          <cell r="O348" t="str">
            <v>46.6X29.6</v>
          </cell>
          <cell r="P348">
            <v>26400.000000000004</v>
          </cell>
          <cell r="AC348">
            <v>15</v>
          </cell>
          <cell r="AD348">
            <v>10</v>
          </cell>
          <cell r="AE348" t="str">
            <v>350 DPI</v>
          </cell>
          <cell r="AF348" t="str">
            <v>CD</v>
          </cell>
          <cell r="AG348">
            <v>342</v>
          </cell>
        </row>
        <row r="349">
          <cell r="A349" t="str">
            <v>P040</v>
          </cell>
          <cell r="B349" t="str">
            <v>12D</v>
          </cell>
          <cell r="K349" t="str">
            <v>P040Inside1/3HPFC</v>
          </cell>
          <cell r="L349" t="str">
            <v>Inside</v>
          </cell>
          <cell r="M349" t="str">
            <v>1/3HPFC</v>
          </cell>
          <cell r="N349" t="str">
            <v>21X8.4</v>
          </cell>
          <cell r="O349" t="str">
            <v>23.3X29.6</v>
          </cell>
          <cell r="P349">
            <v>19800</v>
          </cell>
          <cell r="AG349">
            <v>343</v>
          </cell>
        </row>
        <row r="350">
          <cell r="A350" t="str">
            <v>P040</v>
          </cell>
          <cell r="K350" t="str">
            <v>P040Inside1/3VPFC</v>
          </cell>
          <cell r="L350" t="str">
            <v>Inside</v>
          </cell>
          <cell r="M350" t="str">
            <v>1/3VPFC</v>
          </cell>
          <cell r="N350" t="str">
            <v>6.4X27</v>
          </cell>
          <cell r="P350">
            <v>19800</v>
          </cell>
          <cell r="AG350">
            <v>344</v>
          </cell>
        </row>
        <row r="351">
          <cell r="A351" t="str">
            <v>P040</v>
          </cell>
          <cell r="B351" t="str">
            <v>CAM NANG MUA SAM</v>
          </cell>
          <cell r="C351">
            <v>8634953</v>
          </cell>
          <cell r="D351">
            <v>8634954</v>
          </cell>
          <cell r="E351" t="str">
            <v>781/A12 Le Hong Phong, P12, Q10</v>
          </cell>
          <cell r="F351" t="str">
            <v>Ms Huong 0908474047</v>
          </cell>
          <cell r="G351" t="str">
            <v>5,15,25/ Month</v>
          </cell>
          <cell r="I351">
            <v>0.25</v>
          </cell>
          <cell r="K351" t="str">
            <v>P040Inside1/4HPFC</v>
          </cell>
          <cell r="L351" t="str">
            <v>Inside</v>
          </cell>
          <cell r="M351" t="str">
            <v>1/4HPFC</v>
          </cell>
          <cell r="N351" t="str">
            <v>21X6</v>
          </cell>
          <cell r="P351">
            <v>15950.000000000002</v>
          </cell>
          <cell r="Q351">
            <v>0.2</v>
          </cell>
          <cell r="R351">
            <v>0.15</v>
          </cell>
          <cell r="AC351">
            <v>15</v>
          </cell>
          <cell r="AD351">
            <v>10</v>
          </cell>
          <cell r="AE351" t="str">
            <v>350 DPI</v>
          </cell>
          <cell r="AF351" t="str">
            <v>CD</v>
          </cell>
          <cell r="AG351">
            <v>345</v>
          </cell>
        </row>
        <row r="352">
          <cell r="A352" t="str">
            <v>P040</v>
          </cell>
          <cell r="B352" t="str">
            <v>12D</v>
          </cell>
          <cell r="K352" t="str">
            <v>P040InsideQPFC</v>
          </cell>
          <cell r="L352" t="str">
            <v>Inside</v>
          </cell>
          <cell r="M352" t="str">
            <v>QPFC</v>
          </cell>
          <cell r="N352" t="str">
            <v>10X13</v>
          </cell>
          <cell r="O352" t="str">
            <v>46.6X29.6</v>
          </cell>
          <cell r="P352">
            <v>15950.000000000002</v>
          </cell>
          <cell r="AG352">
            <v>346</v>
          </cell>
        </row>
        <row r="353">
          <cell r="A353" t="str">
            <v>P040</v>
          </cell>
          <cell r="K353" t="str">
            <v>P040InsideDPFC</v>
          </cell>
          <cell r="L353" t="str">
            <v>Inside</v>
          </cell>
          <cell r="M353" t="str">
            <v>DPFC</v>
          </cell>
          <cell r="N353" t="str">
            <v>44X27</v>
          </cell>
          <cell r="O353" t="str">
            <v>46.6X29.6</v>
          </cell>
          <cell r="P353">
            <v>71500</v>
          </cell>
          <cell r="AG353">
            <v>347</v>
          </cell>
        </row>
        <row r="354">
          <cell r="A354" t="str">
            <v>P040</v>
          </cell>
          <cell r="K354" t="str">
            <v>P040FirstFPFC</v>
          </cell>
          <cell r="L354" t="str">
            <v>First</v>
          </cell>
          <cell r="M354" t="str">
            <v>FPFC</v>
          </cell>
          <cell r="N354" t="str">
            <v>21X27</v>
          </cell>
          <cell r="O354" t="str">
            <v>23.3X29.6</v>
          </cell>
          <cell r="P354">
            <v>47520</v>
          </cell>
          <cell r="AG354">
            <v>348</v>
          </cell>
        </row>
        <row r="355">
          <cell r="A355" t="str">
            <v>TIEP THI &amp; GIA DINH M</v>
          </cell>
          <cell r="B355" t="str">
            <v>CAM NANG MUA SAM</v>
          </cell>
          <cell r="C355">
            <v>8634953</v>
          </cell>
          <cell r="D355">
            <v>8634954</v>
          </cell>
          <cell r="E355" t="str">
            <v>781/A12 Le Hong Phong, P12, Q10</v>
          </cell>
          <cell r="F355" t="str">
            <v>Ms Huong 0908474047</v>
          </cell>
          <cell r="G355" t="str">
            <v>5,15,25/ Monthly</v>
          </cell>
          <cell r="I355">
            <v>0.25</v>
          </cell>
          <cell r="K355" t="str">
            <v>TIEP THI &amp; GIA DINH M</v>
          </cell>
          <cell r="L355" t="str">
            <v>Cover 2</v>
          </cell>
          <cell r="M355" t="str">
            <v>FPFC</v>
          </cell>
          <cell r="N355" t="str">
            <v>23X27</v>
          </cell>
          <cell r="P355">
            <v>39000</v>
          </cell>
          <cell r="Q355">
            <v>0.2</v>
          </cell>
          <cell r="R355">
            <v>0.15</v>
          </cell>
          <cell r="AC355">
            <v>15</v>
          </cell>
          <cell r="AD355">
            <v>10</v>
          </cell>
          <cell r="AE355" t="str">
            <v>350 DPI</v>
          </cell>
          <cell r="AF355" t="str">
            <v>CD</v>
          </cell>
          <cell r="AG355">
            <v>349</v>
          </cell>
        </row>
        <row r="356">
          <cell r="A356" t="str">
            <v>P041</v>
          </cell>
          <cell r="B356" t="str">
            <v>CAM NANG MUA SAM</v>
          </cell>
          <cell r="C356">
            <v>8634953</v>
          </cell>
          <cell r="D356">
            <v>8634954</v>
          </cell>
          <cell r="E356" t="str">
            <v>781/A12 Le Hong Phong, P12, Q10</v>
          </cell>
          <cell r="F356" t="str">
            <v>Ms Huong 0908474047</v>
          </cell>
          <cell r="G356" t="str">
            <v>5,15,25/ Monthly</v>
          </cell>
          <cell r="I356">
            <v>0.25</v>
          </cell>
          <cell r="K356" t="str">
            <v>P041Cover 2FPFC</v>
          </cell>
          <cell r="L356" t="str">
            <v>Cover 2</v>
          </cell>
          <cell r="M356" t="str">
            <v>FPFC</v>
          </cell>
          <cell r="N356" t="str">
            <v>23X27</v>
          </cell>
          <cell r="P356">
            <v>39000</v>
          </cell>
          <cell r="Q356">
            <v>0.2</v>
          </cell>
          <cell r="R356">
            <v>0.15</v>
          </cell>
          <cell r="AC356">
            <v>15</v>
          </cell>
          <cell r="AD356">
            <v>10</v>
          </cell>
          <cell r="AE356" t="str">
            <v>350 DPI</v>
          </cell>
          <cell r="AF356" t="str">
            <v>CD</v>
          </cell>
          <cell r="AG356">
            <v>350</v>
          </cell>
        </row>
        <row r="357">
          <cell r="A357" t="str">
            <v>P041</v>
          </cell>
          <cell r="B357" t="str">
            <v>12D</v>
          </cell>
          <cell r="K357" t="str">
            <v>P041Cover 3FPFC</v>
          </cell>
          <cell r="L357" t="str">
            <v>Cover 3</v>
          </cell>
          <cell r="M357" t="str">
            <v>FPFC</v>
          </cell>
          <cell r="N357" t="str">
            <v>23X27</v>
          </cell>
          <cell r="P357">
            <v>36000</v>
          </cell>
          <cell r="AG357">
            <v>351</v>
          </cell>
        </row>
        <row r="358">
          <cell r="A358" t="str">
            <v>P041</v>
          </cell>
          <cell r="K358" t="str">
            <v>P041Cover 4FPFC</v>
          </cell>
          <cell r="L358" t="str">
            <v>Cover 4</v>
          </cell>
          <cell r="M358" t="str">
            <v>FPFC</v>
          </cell>
          <cell r="N358" t="str">
            <v>23X27</v>
          </cell>
          <cell r="P358">
            <v>49000</v>
          </cell>
          <cell r="AG358">
            <v>352</v>
          </cell>
        </row>
        <row r="359">
          <cell r="A359" t="str">
            <v>P041</v>
          </cell>
          <cell r="K359" t="str">
            <v>P041FirstFPFC</v>
          </cell>
          <cell r="L359" t="str">
            <v>First</v>
          </cell>
          <cell r="M359" t="str">
            <v>FPFC</v>
          </cell>
          <cell r="N359" t="str">
            <v>21.4X25.2</v>
          </cell>
          <cell r="P359">
            <v>25000</v>
          </cell>
          <cell r="AG359">
            <v>353</v>
          </cell>
        </row>
        <row r="360">
          <cell r="A360" t="str">
            <v>P041</v>
          </cell>
          <cell r="K360" t="str">
            <v>P041InsideFPFC</v>
          </cell>
          <cell r="L360" t="str">
            <v>Inside</v>
          </cell>
          <cell r="M360" t="str">
            <v>FPFC</v>
          </cell>
          <cell r="N360" t="str">
            <v>21.4X25.2</v>
          </cell>
          <cell r="P360">
            <v>16000</v>
          </cell>
          <cell r="AG360">
            <v>354</v>
          </cell>
        </row>
        <row r="361">
          <cell r="A361" t="str">
            <v>P041</v>
          </cell>
          <cell r="B361" t="str">
            <v>HANOI MOI</v>
          </cell>
          <cell r="C361" t="str">
            <v>04 7545379</v>
          </cell>
          <cell r="D361" t="str">
            <v>04 7545378</v>
          </cell>
          <cell r="E361" t="str">
            <v>Vcom: Lau 3, 221B Tran Dang Ninh, cau Giay, HN</v>
          </cell>
          <cell r="F361" t="str">
            <v>Ms Thao 0989585415</v>
          </cell>
          <cell r="G361" t="str">
            <v>Daily</v>
          </cell>
          <cell r="H361">
            <v>52000</v>
          </cell>
          <cell r="I361">
            <v>0.05</v>
          </cell>
          <cell r="K361" t="str">
            <v>P041InsideDPFC</v>
          </cell>
          <cell r="L361" t="str">
            <v>Inside</v>
          </cell>
          <cell r="M361" t="str">
            <v>DPFC</v>
          </cell>
          <cell r="N361" t="str">
            <v>46X27</v>
          </cell>
          <cell r="P361">
            <v>31000</v>
          </cell>
          <cell r="AC361">
            <v>15</v>
          </cell>
          <cell r="AD361">
            <v>10</v>
          </cell>
          <cell r="AE361">
            <v>100</v>
          </cell>
          <cell r="AF361" t="str">
            <v>CD</v>
          </cell>
          <cell r="AG361">
            <v>355</v>
          </cell>
        </row>
        <row r="362">
          <cell r="A362" t="str">
            <v>P041</v>
          </cell>
          <cell r="B362" t="str">
            <v>HANOI MOI</v>
          </cell>
          <cell r="C362" t="str">
            <v>04 7545379</v>
          </cell>
          <cell r="D362" t="str">
            <v>04 7545378</v>
          </cell>
          <cell r="E362" t="str">
            <v>Vcom: Lau 3, 221B Tran Dang Ninh, cau Giay, HN</v>
          </cell>
          <cell r="F362" t="str">
            <v>Ms Thao 0989585415</v>
          </cell>
          <cell r="G362" t="str">
            <v>Daily</v>
          </cell>
          <cell r="H362">
            <v>52000</v>
          </cell>
          <cell r="I362">
            <v>0.05</v>
          </cell>
          <cell r="K362" t="str">
            <v>P041Inside2/3VPFC</v>
          </cell>
          <cell r="L362" t="str">
            <v>Inside</v>
          </cell>
          <cell r="M362" t="str">
            <v>2/3VPFC</v>
          </cell>
          <cell r="N362" t="str">
            <v>14.1X25.2</v>
          </cell>
          <cell r="P362">
            <v>11000</v>
          </cell>
          <cell r="AC362">
            <v>15</v>
          </cell>
          <cell r="AD362">
            <v>10</v>
          </cell>
          <cell r="AE362">
            <v>100</v>
          </cell>
          <cell r="AF362" t="str">
            <v>CD</v>
          </cell>
          <cell r="AG362">
            <v>356</v>
          </cell>
        </row>
        <row r="363">
          <cell r="A363" t="str">
            <v>P041</v>
          </cell>
          <cell r="B363" t="str">
            <v>1C</v>
          </cell>
          <cell r="K363" t="str">
            <v>P041InsideHPFC</v>
          </cell>
          <cell r="L363" t="str">
            <v>Inside</v>
          </cell>
          <cell r="M363" t="str">
            <v>HPFC</v>
          </cell>
          <cell r="N363" t="str">
            <v>21.4X12.3</v>
          </cell>
          <cell r="P363">
            <v>9000</v>
          </cell>
          <cell r="AG363">
            <v>357</v>
          </cell>
        </row>
        <row r="364">
          <cell r="A364" t="str">
            <v>P041</v>
          </cell>
          <cell r="K364" t="str">
            <v>P041InsideVPFC</v>
          </cell>
          <cell r="L364" t="str">
            <v>Inside</v>
          </cell>
          <cell r="M364" t="str">
            <v>VPFC</v>
          </cell>
          <cell r="N364" t="str">
            <v>10.4X25.5</v>
          </cell>
          <cell r="P364">
            <v>9000</v>
          </cell>
          <cell r="AG364">
            <v>358</v>
          </cell>
        </row>
        <row r="365">
          <cell r="A365" t="str">
            <v>P041</v>
          </cell>
          <cell r="B365" t="str">
            <v>HANOI MOI</v>
          </cell>
          <cell r="C365" t="str">
            <v>04 7545379</v>
          </cell>
          <cell r="D365" t="str">
            <v>04 7545378</v>
          </cell>
          <cell r="E365" t="str">
            <v>Vcom: Lau 3, 221B Tran Dang Ninh, cau Giay, HN</v>
          </cell>
          <cell r="F365" t="str">
            <v>Ms Thao 0989585415</v>
          </cell>
          <cell r="G365" t="str">
            <v>Daily</v>
          </cell>
          <cell r="H365">
            <v>52000</v>
          </cell>
          <cell r="I365">
            <v>0.05</v>
          </cell>
          <cell r="K365" t="str">
            <v>P041InsideQPFC</v>
          </cell>
          <cell r="L365" t="str">
            <v>Inside</v>
          </cell>
          <cell r="M365" t="str">
            <v>QPFC</v>
          </cell>
          <cell r="N365" t="str">
            <v>10.4X12.3</v>
          </cell>
          <cell r="P365">
            <v>5000</v>
          </cell>
          <cell r="Q365">
            <v>0.08</v>
          </cell>
          <cell r="AC365">
            <v>15</v>
          </cell>
          <cell r="AD365">
            <v>10</v>
          </cell>
          <cell r="AE365">
            <v>100</v>
          </cell>
          <cell r="AF365" t="str">
            <v>CD</v>
          </cell>
          <cell r="AG365">
            <v>359</v>
          </cell>
        </row>
        <row r="366">
          <cell r="A366" t="str">
            <v>P041</v>
          </cell>
          <cell r="B366" t="str">
            <v>1C</v>
          </cell>
          <cell r="K366" t="str">
            <v>P041Strip ad</v>
          </cell>
          <cell r="L366" t="str">
            <v>Strip ad</v>
          </cell>
          <cell r="M366" t="str">
            <v>1/3HPFC</v>
          </cell>
          <cell r="N366" t="str">
            <v>2.5X23</v>
          </cell>
          <cell r="P366">
            <v>3300</v>
          </cell>
          <cell r="AG366">
            <v>360</v>
          </cell>
        </row>
        <row r="367">
          <cell r="A367" t="str">
            <v>P041</v>
          </cell>
          <cell r="K367" t="str">
            <v>P041Inside1/3HPFC</v>
          </cell>
          <cell r="L367" t="str">
            <v>Inside</v>
          </cell>
          <cell r="M367" t="str">
            <v>1/3HPFC</v>
          </cell>
          <cell r="N367" t="str">
            <v>21.4X8</v>
          </cell>
          <cell r="P367">
            <v>6600</v>
          </cell>
          <cell r="AG367">
            <v>361</v>
          </cell>
        </row>
        <row r="368">
          <cell r="A368" t="str">
            <v>P041</v>
          </cell>
          <cell r="B368" t="str">
            <v>THI TRUONG TIEU DUNG</v>
          </cell>
          <cell r="C368">
            <v>49332728</v>
          </cell>
          <cell r="D368">
            <v>49332729</v>
          </cell>
          <cell r="E368" t="str">
            <v>2A Tran Hung Dao -HN</v>
          </cell>
          <cell r="F368" t="str">
            <v>Ms Giang 0903461009</v>
          </cell>
          <cell r="G368" t="str">
            <v>1,15/ Month</v>
          </cell>
          <cell r="H368">
            <v>20000</v>
          </cell>
          <cell r="I368">
            <v>0.3</v>
          </cell>
          <cell r="K368" t="str">
            <v>P041Inside1/3VPFC</v>
          </cell>
          <cell r="L368" t="str">
            <v>Inside</v>
          </cell>
          <cell r="M368" t="str">
            <v>1/3VPFC</v>
          </cell>
          <cell r="N368" t="str">
            <v>6.8X25.2</v>
          </cell>
          <cell r="P368">
            <v>6600</v>
          </cell>
          <cell r="AC368">
            <v>15</v>
          </cell>
          <cell r="AD368">
            <v>10</v>
          </cell>
          <cell r="AE368">
            <v>150</v>
          </cell>
          <cell r="AF368" t="str">
            <v>CD</v>
          </cell>
          <cell r="AG368">
            <v>362</v>
          </cell>
        </row>
        <row r="369">
          <cell r="A369" t="str">
            <v>CAM NANG MUA SAM</v>
          </cell>
          <cell r="B369" t="str">
            <v>HANOI MOI</v>
          </cell>
          <cell r="C369" t="str">
            <v>04 7545379</v>
          </cell>
          <cell r="D369" t="str">
            <v>04 7545378</v>
          </cell>
          <cell r="E369" t="str">
            <v>Vcom: Lau 3, 221B Tran Dang Ninh, cau Giay, HN</v>
          </cell>
          <cell r="F369" t="str">
            <v>Ms Thao 0989585415</v>
          </cell>
          <cell r="G369" t="str">
            <v>Daily</v>
          </cell>
          <cell r="H369">
            <v>52000</v>
          </cell>
          <cell r="I369">
            <v>0.05</v>
          </cell>
          <cell r="K369" t="str">
            <v>CAM NANG MUA SAM</v>
          </cell>
          <cell r="L369" t="str">
            <v>Inside</v>
          </cell>
          <cell r="M369" t="str">
            <v>FPFC</v>
          </cell>
          <cell r="N369" t="str">
            <v>38X52</v>
          </cell>
          <cell r="P369">
            <v>32000</v>
          </cell>
          <cell r="Q369">
            <v>0.08</v>
          </cell>
          <cell r="AC369">
            <v>15</v>
          </cell>
          <cell r="AD369">
            <v>10</v>
          </cell>
          <cell r="AE369">
            <v>100</v>
          </cell>
          <cell r="AF369" t="str">
            <v>CD</v>
          </cell>
          <cell r="AG369">
            <v>363</v>
          </cell>
        </row>
        <row r="370">
          <cell r="A370" t="str">
            <v>P042</v>
          </cell>
          <cell r="B370" t="str">
            <v>HANOI MOI</v>
          </cell>
          <cell r="C370" t="str">
            <v>04 7545379</v>
          </cell>
          <cell r="D370" t="str">
            <v>04 7545378</v>
          </cell>
          <cell r="E370" t="str">
            <v>Vcom: Lau 3, 221B Tran Dang Ninh, cau Giay, HN</v>
          </cell>
          <cell r="F370" t="str">
            <v>Ms Thao 0989585415</v>
          </cell>
          <cell r="G370" t="str">
            <v>Daily</v>
          </cell>
          <cell r="H370">
            <v>52000</v>
          </cell>
          <cell r="I370">
            <v>0.05</v>
          </cell>
          <cell r="K370" t="str">
            <v>P042InsideFPFC</v>
          </cell>
          <cell r="L370" t="str">
            <v>Inside</v>
          </cell>
          <cell r="M370" t="str">
            <v>FPFC</v>
          </cell>
          <cell r="N370" t="str">
            <v>38X52</v>
          </cell>
          <cell r="P370">
            <v>32000</v>
          </cell>
          <cell r="Q370">
            <v>0.08</v>
          </cell>
          <cell r="AC370">
            <v>15</v>
          </cell>
          <cell r="AD370">
            <v>10</v>
          </cell>
          <cell r="AE370">
            <v>100</v>
          </cell>
          <cell r="AF370" t="str">
            <v>CD</v>
          </cell>
          <cell r="AG370">
            <v>364</v>
          </cell>
        </row>
        <row r="371">
          <cell r="A371" t="str">
            <v>P042</v>
          </cell>
          <cell r="B371" t="str">
            <v>1C</v>
          </cell>
          <cell r="K371" t="str">
            <v>P042InsideHPFC</v>
          </cell>
          <cell r="L371" t="str">
            <v>Inside</v>
          </cell>
          <cell r="M371" t="str">
            <v>HPFC</v>
          </cell>
          <cell r="N371" t="str">
            <v>38X26</v>
          </cell>
          <cell r="P371">
            <v>16500</v>
          </cell>
          <cell r="AG371">
            <v>365</v>
          </cell>
        </row>
        <row r="372">
          <cell r="A372" t="str">
            <v>P042</v>
          </cell>
          <cell r="B372" t="str">
            <v>THI TRUONG TIEU DUNG</v>
          </cell>
          <cell r="C372">
            <v>49332728</v>
          </cell>
          <cell r="D372">
            <v>49332729</v>
          </cell>
          <cell r="E372" t="str">
            <v>2A Tran Hung Dao -HN</v>
          </cell>
          <cell r="F372" t="str">
            <v>Ms Giang 0903461009</v>
          </cell>
          <cell r="G372" t="str">
            <v>1,15/ Month</v>
          </cell>
          <cell r="H372">
            <v>20000</v>
          </cell>
          <cell r="I372">
            <v>0.3</v>
          </cell>
          <cell r="K372" t="str">
            <v>P042InsideVPFC</v>
          </cell>
          <cell r="L372" t="str">
            <v>Inside</v>
          </cell>
          <cell r="M372" t="str">
            <v>VPFC</v>
          </cell>
          <cell r="N372" t="str">
            <v>24X37</v>
          </cell>
          <cell r="P372">
            <v>20000</v>
          </cell>
          <cell r="Q372">
            <v>0.3</v>
          </cell>
          <cell r="AC372">
            <v>15</v>
          </cell>
          <cell r="AD372">
            <v>10</v>
          </cell>
          <cell r="AE372">
            <v>150</v>
          </cell>
          <cell r="AF372" t="str">
            <v>CD</v>
          </cell>
          <cell r="AG372">
            <v>366</v>
          </cell>
        </row>
        <row r="373">
          <cell r="A373" t="str">
            <v>P042</v>
          </cell>
          <cell r="B373" t="str">
            <v>3C</v>
          </cell>
          <cell r="K373" t="str">
            <v>P042Inside1/4VPFC</v>
          </cell>
          <cell r="L373" t="str">
            <v>Inside</v>
          </cell>
          <cell r="M373" t="str">
            <v>1/4VPFC</v>
          </cell>
          <cell r="N373" t="str">
            <v>19X26</v>
          </cell>
          <cell r="P373">
            <v>4600</v>
          </cell>
          <cell r="AG373">
            <v>367</v>
          </cell>
        </row>
        <row r="374">
          <cell r="A374" t="str">
            <v>P042</v>
          </cell>
          <cell r="K374" t="str">
            <v>P042Inside1/4HPFC</v>
          </cell>
          <cell r="L374" t="str">
            <v>Inside</v>
          </cell>
          <cell r="M374" t="str">
            <v>1/4HPFC</v>
          </cell>
          <cell r="N374" t="str">
            <v>38X12</v>
          </cell>
          <cell r="P374">
            <v>5500</v>
          </cell>
          <cell r="AG374">
            <v>368</v>
          </cell>
        </row>
        <row r="375">
          <cell r="A375" t="str">
            <v>P042</v>
          </cell>
          <cell r="K375" t="str">
            <v>P042Strip ad</v>
          </cell>
          <cell r="L375" t="str">
            <v>Strip ad</v>
          </cell>
          <cell r="M375" t="str">
            <v>FPFC</v>
          </cell>
          <cell r="N375" t="str">
            <v>38X6</v>
          </cell>
          <cell r="P375">
            <v>2400</v>
          </cell>
          <cell r="AG375">
            <v>369</v>
          </cell>
        </row>
        <row r="376">
          <cell r="A376" t="str">
            <v>HANOI MOI</v>
          </cell>
          <cell r="B376" t="str">
            <v>THI TRUONG TIEU DUNG</v>
          </cell>
          <cell r="C376">
            <v>49332728</v>
          </cell>
          <cell r="D376">
            <v>49332729</v>
          </cell>
          <cell r="E376" t="str">
            <v>2A Tran Hung Dao -HN</v>
          </cell>
          <cell r="F376" t="str">
            <v>Ms Giang 0903461009</v>
          </cell>
          <cell r="G376" t="str">
            <v>1,15/ Monthly</v>
          </cell>
          <cell r="H376">
            <v>20000</v>
          </cell>
          <cell r="I376">
            <v>0.3</v>
          </cell>
          <cell r="K376" t="str">
            <v>HANOI MOI</v>
          </cell>
          <cell r="L376" t="str">
            <v>Cover 3</v>
          </cell>
          <cell r="M376" t="str">
            <v>FPFC</v>
          </cell>
          <cell r="N376" t="str">
            <v>20X28</v>
          </cell>
          <cell r="O376" t="str">
            <v>22X30</v>
          </cell>
          <cell r="P376">
            <v>13200.000000000002</v>
          </cell>
          <cell r="Q376">
            <v>0.3</v>
          </cell>
          <cell r="AC376">
            <v>15</v>
          </cell>
          <cell r="AD376">
            <v>10</v>
          </cell>
          <cell r="AE376">
            <v>150</v>
          </cell>
          <cell r="AF376" t="str">
            <v>CD</v>
          </cell>
          <cell r="AG376">
            <v>370</v>
          </cell>
        </row>
        <row r="377">
          <cell r="A377" t="str">
            <v>P043</v>
          </cell>
          <cell r="B377" t="str">
            <v>THI TRUONG TIEU DUNG</v>
          </cell>
          <cell r="C377">
            <v>49332728</v>
          </cell>
          <cell r="D377">
            <v>49332729</v>
          </cell>
          <cell r="E377" t="str">
            <v>2A Tran Hung Dao -HN</v>
          </cell>
          <cell r="F377" t="str">
            <v>Ms Giang 0903461009</v>
          </cell>
          <cell r="G377" t="str">
            <v>1,15/ Monthly</v>
          </cell>
          <cell r="H377">
            <v>20000</v>
          </cell>
          <cell r="I377">
            <v>0.3</v>
          </cell>
          <cell r="K377" t="str">
            <v>P043Cover 3FPFC</v>
          </cell>
          <cell r="L377" t="str">
            <v>Cover 3</v>
          </cell>
          <cell r="M377" t="str">
            <v>FPFC</v>
          </cell>
          <cell r="N377" t="str">
            <v>20X28</v>
          </cell>
          <cell r="O377" t="str">
            <v>22X30</v>
          </cell>
          <cell r="P377">
            <v>30800.000000000004</v>
          </cell>
          <cell r="Q377">
            <v>0.3</v>
          </cell>
          <cell r="AC377">
            <v>15</v>
          </cell>
          <cell r="AD377">
            <v>10</v>
          </cell>
          <cell r="AE377">
            <v>150</v>
          </cell>
          <cell r="AF377" t="str">
            <v>CD</v>
          </cell>
          <cell r="AG377">
            <v>371</v>
          </cell>
        </row>
        <row r="378">
          <cell r="A378" t="str">
            <v>P043</v>
          </cell>
          <cell r="B378" t="str">
            <v>3C</v>
          </cell>
          <cell r="K378" t="str">
            <v>P043Cover 2FPFC</v>
          </cell>
          <cell r="L378" t="str">
            <v>Cover 2</v>
          </cell>
          <cell r="M378" t="str">
            <v>FPFC</v>
          </cell>
          <cell r="N378" t="str">
            <v>20X28</v>
          </cell>
          <cell r="O378" t="str">
            <v>22X30</v>
          </cell>
          <cell r="P378">
            <v>41800</v>
          </cell>
          <cell r="AG378">
            <v>372</v>
          </cell>
        </row>
        <row r="379">
          <cell r="A379" t="str">
            <v>P043</v>
          </cell>
          <cell r="K379" t="str">
            <v>P043Cover 4FPFC</v>
          </cell>
          <cell r="L379" t="str">
            <v>Cover 4</v>
          </cell>
          <cell r="M379" t="str">
            <v>FPFC</v>
          </cell>
          <cell r="N379" t="str">
            <v>20X28</v>
          </cell>
          <cell r="O379" t="str">
            <v>22X30</v>
          </cell>
          <cell r="P379">
            <v>49500.000000000007</v>
          </cell>
          <cell r="AG379">
            <v>373</v>
          </cell>
        </row>
        <row r="380">
          <cell r="A380" t="str">
            <v>P043</v>
          </cell>
          <cell r="K380" t="str">
            <v>P043InsideDPFC</v>
          </cell>
          <cell r="L380" t="str">
            <v>Inside</v>
          </cell>
          <cell r="M380" t="str">
            <v>DPFC</v>
          </cell>
          <cell r="P380">
            <v>33000</v>
          </cell>
          <cell r="AG380">
            <v>374</v>
          </cell>
        </row>
        <row r="381">
          <cell r="A381" t="str">
            <v>P043</v>
          </cell>
          <cell r="B381" t="str">
            <v>SAI GON TIEP THI</v>
          </cell>
          <cell r="C381">
            <v>9305377</v>
          </cell>
          <cell r="D381">
            <v>9305378</v>
          </cell>
          <cell r="E381" t="str">
            <v>29 Ngo Thoi Nhiem Q3</v>
          </cell>
          <cell r="F381" t="str">
            <v>Ms Hoa 0913724900</v>
          </cell>
          <cell r="G381" t="str">
            <v>Thu/ Weekly</v>
          </cell>
          <cell r="H381">
            <v>120000</v>
          </cell>
          <cell r="I381">
            <v>0.15</v>
          </cell>
          <cell r="K381" t="str">
            <v>P043FirstDPFC</v>
          </cell>
          <cell r="L381" t="str">
            <v>First</v>
          </cell>
          <cell r="M381" t="str">
            <v>DPFC</v>
          </cell>
          <cell r="N381" t="str">
            <v>20X28</v>
          </cell>
          <cell r="O381" t="str">
            <v>22X30</v>
          </cell>
          <cell r="P381">
            <v>38500</v>
          </cell>
          <cell r="Q381">
            <v>0.15</v>
          </cell>
          <cell r="S381">
            <v>0.15</v>
          </cell>
          <cell r="U381">
            <v>0.15</v>
          </cell>
          <cell r="AC381">
            <v>15</v>
          </cell>
          <cell r="AD381">
            <v>10</v>
          </cell>
          <cell r="AE381">
            <v>150</v>
          </cell>
          <cell r="AF381" t="str">
            <v>CD</v>
          </cell>
          <cell r="AG381">
            <v>375</v>
          </cell>
        </row>
        <row r="382">
          <cell r="A382" t="str">
            <v>P043</v>
          </cell>
          <cell r="B382" t="str">
            <v>SAI GON TIEP THI</v>
          </cell>
          <cell r="C382">
            <v>9305377</v>
          </cell>
          <cell r="D382">
            <v>9305378</v>
          </cell>
          <cell r="E382" t="str">
            <v>29 Ngo Thoi Nhiem Q3</v>
          </cell>
          <cell r="F382" t="str">
            <v>Ms Hoa 0913724900</v>
          </cell>
          <cell r="G382" t="str">
            <v>Thu/ Weekly</v>
          </cell>
          <cell r="H382">
            <v>120000</v>
          </cell>
          <cell r="I382">
            <v>0.15</v>
          </cell>
          <cell r="K382" t="str">
            <v>P043FirstFPFC</v>
          </cell>
          <cell r="L382" t="str">
            <v>First</v>
          </cell>
          <cell r="M382" t="str">
            <v>FPFC</v>
          </cell>
          <cell r="N382" t="str">
            <v>20X28</v>
          </cell>
          <cell r="O382" t="str">
            <v>22X30</v>
          </cell>
          <cell r="P382">
            <v>26400.000000000004</v>
          </cell>
          <cell r="Q382">
            <v>0.15</v>
          </cell>
          <cell r="S382">
            <v>0.15</v>
          </cell>
          <cell r="U382">
            <v>0.15</v>
          </cell>
          <cell r="AC382">
            <v>15</v>
          </cell>
          <cell r="AD382">
            <v>10</v>
          </cell>
          <cell r="AE382">
            <v>150</v>
          </cell>
          <cell r="AF382" t="str">
            <v>CD</v>
          </cell>
          <cell r="AG382">
            <v>376</v>
          </cell>
        </row>
        <row r="383">
          <cell r="A383" t="str">
            <v>P043</v>
          </cell>
          <cell r="B383" t="str">
            <v>6C</v>
          </cell>
          <cell r="K383" t="str">
            <v>P043InsideFPFC</v>
          </cell>
          <cell r="L383" t="str">
            <v>Inside</v>
          </cell>
          <cell r="M383" t="str">
            <v>FPFC</v>
          </cell>
          <cell r="N383" t="str">
            <v>20X28</v>
          </cell>
          <cell r="O383" t="str">
            <v>22X30</v>
          </cell>
          <cell r="P383">
            <v>18700</v>
          </cell>
          <cell r="AG383">
            <v>377</v>
          </cell>
        </row>
        <row r="384">
          <cell r="A384" t="str">
            <v>P043</v>
          </cell>
          <cell r="K384" t="str">
            <v>P043Inside2/3HPFC</v>
          </cell>
          <cell r="L384" t="str">
            <v>Inside</v>
          </cell>
          <cell r="M384" t="str">
            <v>2/3HPFC</v>
          </cell>
          <cell r="N384" t="str">
            <v>12X16</v>
          </cell>
          <cell r="P384">
            <v>13200.000000000002</v>
          </cell>
          <cell r="AG384">
            <v>378</v>
          </cell>
        </row>
        <row r="385">
          <cell r="A385" t="str">
            <v>P043</v>
          </cell>
          <cell r="B385" t="str">
            <v>SAI GON TIEP THI</v>
          </cell>
          <cell r="C385">
            <v>9305377</v>
          </cell>
          <cell r="D385">
            <v>9305378</v>
          </cell>
          <cell r="E385" t="str">
            <v>29 Ngo Thoi Nhiem Q3</v>
          </cell>
          <cell r="F385" t="str">
            <v>Ms Hoa 0913724900</v>
          </cell>
          <cell r="G385" t="str">
            <v>Thu/ Weekly</v>
          </cell>
          <cell r="H385">
            <v>120000</v>
          </cell>
          <cell r="I385">
            <v>0.15</v>
          </cell>
          <cell r="K385" t="str">
            <v>P043Inside2/3VPFC</v>
          </cell>
          <cell r="L385" t="str">
            <v>Inside</v>
          </cell>
          <cell r="M385" t="str">
            <v>2/3VPFC</v>
          </cell>
          <cell r="N385" t="str">
            <v>12X33</v>
          </cell>
          <cell r="P385">
            <v>13200.000000000002</v>
          </cell>
          <cell r="Q385">
            <v>0.15</v>
          </cell>
          <cell r="S385">
            <v>0.15</v>
          </cell>
          <cell r="U385">
            <v>0.15</v>
          </cell>
          <cell r="AC385">
            <v>15</v>
          </cell>
          <cell r="AD385">
            <v>10</v>
          </cell>
          <cell r="AE385">
            <v>150</v>
          </cell>
          <cell r="AF385" t="str">
            <v>CD</v>
          </cell>
          <cell r="AG385">
            <v>379</v>
          </cell>
        </row>
        <row r="386">
          <cell r="A386" t="str">
            <v>P043</v>
          </cell>
          <cell r="B386" t="str">
            <v>6C</v>
          </cell>
          <cell r="K386" t="str">
            <v>P043InsideHPFC</v>
          </cell>
          <cell r="L386" t="str">
            <v>Inside</v>
          </cell>
          <cell r="M386" t="str">
            <v>HPFC</v>
          </cell>
          <cell r="N386" t="str">
            <v>24X8</v>
          </cell>
          <cell r="P386">
            <v>9900</v>
          </cell>
          <cell r="AG386">
            <v>380</v>
          </cell>
        </row>
        <row r="387">
          <cell r="A387" t="str">
            <v>P043</v>
          </cell>
          <cell r="K387" t="str">
            <v>P043InsideVPFC</v>
          </cell>
          <cell r="L387" t="str">
            <v>Inside</v>
          </cell>
          <cell r="M387" t="str">
            <v>VPFC</v>
          </cell>
          <cell r="N387" t="str">
            <v>24X33</v>
          </cell>
          <cell r="O387" t="str">
            <v>41X30</v>
          </cell>
          <cell r="P387">
            <v>9900</v>
          </cell>
          <cell r="AG387">
            <v>381</v>
          </cell>
        </row>
        <row r="388">
          <cell r="A388" t="str">
            <v>P043</v>
          </cell>
          <cell r="K388" t="str">
            <v>P043InsideGatefold</v>
          </cell>
          <cell r="L388" t="str">
            <v>Inside</v>
          </cell>
          <cell r="M388" t="str">
            <v>Gatefold</v>
          </cell>
          <cell r="N388" t="str">
            <v>24X33</v>
          </cell>
          <cell r="O388" t="str">
            <v>41X30</v>
          </cell>
          <cell r="P388" t="str">
            <v>(FPFC+DPFC)-dis+10.000</v>
          </cell>
          <cell r="AG388">
            <v>382</v>
          </cell>
        </row>
        <row r="389">
          <cell r="A389" t="str">
            <v>P043</v>
          </cell>
          <cell r="K389" t="str">
            <v>P043Strip ad</v>
          </cell>
          <cell r="L389" t="str">
            <v>Strip ad</v>
          </cell>
          <cell r="M389" t="str">
            <v>FPFC</v>
          </cell>
          <cell r="N389" t="str">
            <v>24X33</v>
          </cell>
          <cell r="P389">
            <v>2200</v>
          </cell>
          <cell r="AG389">
            <v>383</v>
          </cell>
        </row>
        <row r="390">
          <cell r="A390" t="str">
            <v>THI TRUONG TIEU DUNG</v>
          </cell>
          <cell r="B390" t="str">
            <v>SAI GON TIEP THI</v>
          </cell>
          <cell r="C390">
            <v>9305377</v>
          </cell>
          <cell r="D390">
            <v>9305378</v>
          </cell>
          <cell r="E390" t="str">
            <v>29 Ngo Thoi Nhiem Q3</v>
          </cell>
          <cell r="F390" t="str">
            <v>Ms Hoa 0913724900</v>
          </cell>
          <cell r="G390" t="str">
            <v>Thu/ Weekly</v>
          </cell>
          <cell r="H390">
            <v>120000</v>
          </cell>
          <cell r="I390">
            <v>0.15</v>
          </cell>
          <cell r="K390" t="str">
            <v>THI TRUONG TIEU DUNG</v>
          </cell>
          <cell r="L390" t="str">
            <v>Inside</v>
          </cell>
          <cell r="M390" t="str">
            <v>FPFC</v>
          </cell>
          <cell r="N390" t="str">
            <v>24X33</v>
          </cell>
          <cell r="P390">
            <v>26000</v>
          </cell>
          <cell r="Q390">
            <v>0.15</v>
          </cell>
          <cell r="S390">
            <v>0.15</v>
          </cell>
          <cell r="U390">
            <v>0.15</v>
          </cell>
          <cell r="AC390">
            <v>15</v>
          </cell>
          <cell r="AD390">
            <v>10</v>
          </cell>
          <cell r="AE390">
            <v>150</v>
          </cell>
          <cell r="AF390" t="str">
            <v>CD</v>
          </cell>
          <cell r="AG390">
            <v>384</v>
          </cell>
        </row>
        <row r="391">
          <cell r="A391" t="str">
            <v>P044</v>
          </cell>
          <cell r="B391" t="str">
            <v>SAI GON TIEP THI</v>
          </cell>
          <cell r="C391">
            <v>9305377</v>
          </cell>
          <cell r="D391">
            <v>9305378</v>
          </cell>
          <cell r="E391" t="str">
            <v>29 Ngo Thoi Nhiem Q3</v>
          </cell>
          <cell r="F391" t="str">
            <v>Ms Hoa 0913724900</v>
          </cell>
          <cell r="G391" t="str">
            <v>Thu/ Weekly</v>
          </cell>
          <cell r="H391">
            <v>120000</v>
          </cell>
          <cell r="I391">
            <v>0.15</v>
          </cell>
          <cell r="K391" t="str">
            <v>P044InsideFPFC</v>
          </cell>
          <cell r="L391" t="str">
            <v>Inside</v>
          </cell>
          <cell r="M391" t="str">
            <v>FPFC</v>
          </cell>
          <cell r="N391" t="str">
            <v>24X33</v>
          </cell>
          <cell r="P391">
            <v>26000</v>
          </cell>
          <cell r="Q391">
            <v>0.15</v>
          </cell>
          <cell r="S391">
            <v>0.15</v>
          </cell>
          <cell r="U391">
            <v>0.15</v>
          </cell>
          <cell r="AC391">
            <v>15</v>
          </cell>
          <cell r="AD391">
            <v>10</v>
          </cell>
          <cell r="AE391">
            <v>150</v>
          </cell>
          <cell r="AF391" t="str">
            <v>CD</v>
          </cell>
          <cell r="AG391">
            <v>385</v>
          </cell>
        </row>
        <row r="392">
          <cell r="A392" t="str">
            <v>P044</v>
          </cell>
          <cell r="B392" t="str">
            <v>6C</v>
          </cell>
          <cell r="K392" t="str">
            <v>P044InsideHPFC</v>
          </cell>
          <cell r="L392" t="str">
            <v>Inside</v>
          </cell>
          <cell r="M392" t="str">
            <v>HPFC</v>
          </cell>
          <cell r="N392" t="str">
            <v>24X16</v>
          </cell>
          <cell r="P392">
            <v>14000</v>
          </cell>
          <cell r="AG392">
            <v>386</v>
          </cell>
        </row>
        <row r="393">
          <cell r="A393" t="str">
            <v>P044</v>
          </cell>
          <cell r="K393" t="str">
            <v>P044InsideQPFC</v>
          </cell>
          <cell r="L393" t="str">
            <v>Inside</v>
          </cell>
          <cell r="M393" t="str">
            <v>QPFC</v>
          </cell>
          <cell r="N393" t="str">
            <v>12X16</v>
          </cell>
          <cell r="P393">
            <v>7500</v>
          </cell>
          <cell r="AG393">
            <v>387</v>
          </cell>
        </row>
        <row r="394">
          <cell r="A394" t="str">
            <v>P044</v>
          </cell>
          <cell r="K394" t="str">
            <v>P044InsideVPFC</v>
          </cell>
          <cell r="L394" t="str">
            <v>Inside</v>
          </cell>
          <cell r="M394" t="str">
            <v>VPFC</v>
          </cell>
          <cell r="N394" t="str">
            <v>12X33</v>
          </cell>
          <cell r="P394">
            <v>20000</v>
          </cell>
          <cell r="AG394">
            <v>388</v>
          </cell>
        </row>
        <row r="395">
          <cell r="A395" t="str">
            <v>P044</v>
          </cell>
          <cell r="K395" t="str">
            <v>P044Inside1/4HPFC</v>
          </cell>
          <cell r="L395" t="str">
            <v>Inside</v>
          </cell>
          <cell r="M395" t="str">
            <v>1/4HPFC</v>
          </cell>
          <cell r="N395" t="str">
            <v>24X8</v>
          </cell>
          <cell r="P395">
            <v>10000</v>
          </cell>
          <cell r="AG395">
            <v>389</v>
          </cell>
        </row>
        <row r="396">
          <cell r="A396" t="str">
            <v>P044</v>
          </cell>
          <cell r="B396" t="str">
            <v>DEP</v>
          </cell>
          <cell r="C396">
            <v>8484754</v>
          </cell>
          <cell r="D396">
            <v>8484753</v>
          </cell>
          <cell r="E396" t="str">
            <v>144A Ly Chinh Thang</v>
          </cell>
          <cell r="F396" t="str">
            <v>Ms Tham 0908678580</v>
          </cell>
          <cell r="G396" t="str">
            <v>5th/ monthly</v>
          </cell>
          <cell r="H396">
            <v>47000</v>
          </cell>
          <cell r="I396">
            <v>0.1</v>
          </cell>
          <cell r="J396">
            <v>0.35</v>
          </cell>
          <cell r="K396" t="str">
            <v>P044Cover 4FPFC</v>
          </cell>
          <cell r="L396" t="str">
            <v>Cover 4</v>
          </cell>
          <cell r="M396" t="str">
            <v>FPFC</v>
          </cell>
          <cell r="N396" t="str">
            <v>24X33</v>
          </cell>
          <cell r="O396" t="str">
            <v>21.3X29.1</v>
          </cell>
          <cell r="P396">
            <v>30000</v>
          </cell>
          <cell r="AC396">
            <v>15</v>
          </cell>
          <cell r="AD396">
            <v>10</v>
          </cell>
          <cell r="AE396">
            <v>175</v>
          </cell>
          <cell r="AF396" t="str">
            <v>CD</v>
          </cell>
          <cell r="AG396">
            <v>390</v>
          </cell>
        </row>
        <row r="397">
          <cell r="A397" t="str">
            <v>P044</v>
          </cell>
          <cell r="B397" t="str">
            <v>DEP</v>
          </cell>
          <cell r="C397">
            <v>8484754</v>
          </cell>
          <cell r="D397">
            <v>8484753</v>
          </cell>
          <cell r="E397" t="str">
            <v>144A Ly Chinh Thang</v>
          </cell>
          <cell r="F397" t="str">
            <v>Ms Tham 0908678580</v>
          </cell>
          <cell r="G397" t="str">
            <v>5th/ monthly</v>
          </cell>
          <cell r="H397">
            <v>47000</v>
          </cell>
          <cell r="I397">
            <v>0.1</v>
          </cell>
          <cell r="J397">
            <v>0.35</v>
          </cell>
          <cell r="K397" t="str">
            <v>P044Cover 2FPFC</v>
          </cell>
          <cell r="L397" t="str">
            <v>Cover 2</v>
          </cell>
          <cell r="M397" t="str">
            <v>FPFC</v>
          </cell>
          <cell r="N397" t="str">
            <v>24X33</v>
          </cell>
          <cell r="O397" t="str">
            <v>21.3X29.1</v>
          </cell>
          <cell r="P397">
            <v>30000</v>
          </cell>
          <cell r="AC397">
            <v>15</v>
          </cell>
          <cell r="AD397">
            <v>10</v>
          </cell>
          <cell r="AE397">
            <v>175</v>
          </cell>
          <cell r="AF397" t="str">
            <v>CD</v>
          </cell>
          <cell r="AG397">
            <v>391</v>
          </cell>
        </row>
        <row r="398">
          <cell r="A398" t="str">
            <v>P044</v>
          </cell>
          <cell r="B398" t="str">
            <v>6A</v>
          </cell>
          <cell r="K398" t="str">
            <v>P044Cover 3FPFC</v>
          </cell>
          <cell r="L398" t="str">
            <v>Cover 3</v>
          </cell>
          <cell r="M398" t="str">
            <v>FPFC</v>
          </cell>
          <cell r="N398" t="str">
            <v>24X33</v>
          </cell>
          <cell r="P398">
            <v>30000</v>
          </cell>
          <cell r="AG398">
            <v>392</v>
          </cell>
        </row>
        <row r="399">
          <cell r="A399" t="str">
            <v>P044</v>
          </cell>
          <cell r="K399" t="str">
            <v>P044FirstFPFC</v>
          </cell>
          <cell r="L399" t="str">
            <v>First</v>
          </cell>
          <cell r="M399" t="str">
            <v>FPFC</v>
          </cell>
          <cell r="N399" t="str">
            <v>24X33</v>
          </cell>
          <cell r="O399" t="str">
            <v>21.3X29.1</v>
          </cell>
          <cell r="P399">
            <v>30000</v>
          </cell>
          <cell r="AG399">
            <v>393</v>
          </cell>
        </row>
        <row r="400">
          <cell r="A400" t="str">
            <v>P044</v>
          </cell>
          <cell r="B400" t="str">
            <v>DEP</v>
          </cell>
          <cell r="C400">
            <v>8484754</v>
          </cell>
          <cell r="D400">
            <v>8484753</v>
          </cell>
          <cell r="E400" t="str">
            <v>144A Ly Chinh Thang</v>
          </cell>
          <cell r="F400" t="str">
            <v>Ms Tham 0908678580</v>
          </cell>
          <cell r="G400" t="str">
            <v>5/ Monthly</v>
          </cell>
          <cell r="H400">
            <v>47000</v>
          </cell>
          <cell r="I400">
            <v>0.1</v>
          </cell>
          <cell r="J400">
            <v>0.35</v>
          </cell>
          <cell r="K400" t="str">
            <v>P044ContentFPFC</v>
          </cell>
          <cell r="L400" t="str">
            <v>Content</v>
          </cell>
          <cell r="M400" t="str">
            <v>FPFC</v>
          </cell>
          <cell r="N400" t="str">
            <v>24X33</v>
          </cell>
          <cell r="O400" t="str">
            <v>21.3X29.1</v>
          </cell>
          <cell r="P400">
            <v>30000</v>
          </cell>
          <cell r="Q400">
            <v>0.35</v>
          </cell>
          <cell r="R400">
            <v>0.1</v>
          </cell>
          <cell r="AC400">
            <v>15</v>
          </cell>
          <cell r="AD400">
            <v>10</v>
          </cell>
          <cell r="AE400">
            <v>175</v>
          </cell>
          <cell r="AF400" t="str">
            <v>CD</v>
          </cell>
          <cell r="AG400">
            <v>394</v>
          </cell>
        </row>
        <row r="401">
          <cell r="A401" t="str">
            <v>P044</v>
          </cell>
          <cell r="B401" t="str">
            <v>6A</v>
          </cell>
          <cell r="F401" t="str">
            <v>Ms Lan 0908290108</v>
          </cell>
          <cell r="K401" t="str">
            <v>P044ContentHPFC</v>
          </cell>
          <cell r="L401" t="str">
            <v>Content</v>
          </cell>
          <cell r="M401" t="str">
            <v>HPFC</v>
          </cell>
          <cell r="N401" t="str">
            <v>24X16</v>
          </cell>
          <cell r="O401" t="str">
            <v>21.3X29.1</v>
          </cell>
          <cell r="P401">
            <v>22000</v>
          </cell>
          <cell r="AG401">
            <v>395</v>
          </cell>
        </row>
        <row r="402">
          <cell r="A402" t="str">
            <v>P044</v>
          </cell>
          <cell r="K402" t="str">
            <v>P044ContentVPFC</v>
          </cell>
          <cell r="L402" t="str">
            <v>Content</v>
          </cell>
          <cell r="M402" t="str">
            <v>VPFC</v>
          </cell>
          <cell r="N402" t="str">
            <v>12X33</v>
          </cell>
          <cell r="O402" t="str">
            <v>21.3X29.1</v>
          </cell>
          <cell r="P402">
            <v>22000</v>
          </cell>
          <cell r="AG402">
            <v>396</v>
          </cell>
        </row>
        <row r="403">
          <cell r="A403" t="str">
            <v>P044</v>
          </cell>
          <cell r="K403" t="str">
            <v>P044Content1/4HPFC</v>
          </cell>
          <cell r="L403" t="str">
            <v>Content</v>
          </cell>
          <cell r="M403" t="str">
            <v>1/4HPFC</v>
          </cell>
          <cell r="N403" t="str">
            <v>24X8</v>
          </cell>
          <cell r="O403" t="str">
            <v>21.3X29.1</v>
          </cell>
          <cell r="P403">
            <v>15000</v>
          </cell>
          <cell r="AG403">
            <v>397</v>
          </cell>
        </row>
        <row r="404">
          <cell r="A404" t="str">
            <v>P044</v>
          </cell>
          <cell r="K404" t="str">
            <v>P044Content1/4VPFC</v>
          </cell>
          <cell r="L404" t="str">
            <v>Content</v>
          </cell>
          <cell r="M404" t="str">
            <v>1/4VPFC</v>
          </cell>
          <cell r="N404" t="str">
            <v>20.2X27.7</v>
          </cell>
          <cell r="O404" t="str">
            <v>21.3X29.1</v>
          </cell>
          <cell r="P404">
            <v>15000</v>
          </cell>
          <cell r="AG404">
            <v>398</v>
          </cell>
        </row>
        <row r="405">
          <cell r="A405" t="str">
            <v>SAI GON TIEP THI</v>
          </cell>
          <cell r="B405" t="str">
            <v>DEP</v>
          </cell>
          <cell r="C405">
            <v>8484754</v>
          </cell>
          <cell r="D405">
            <v>8484753</v>
          </cell>
          <cell r="E405" t="str">
            <v>144A Ly Chinh Thang</v>
          </cell>
          <cell r="F405" t="str">
            <v>Ms Tham 0908678580</v>
          </cell>
          <cell r="G405" t="str">
            <v>5/ Monthly</v>
          </cell>
          <cell r="H405">
            <v>47000</v>
          </cell>
          <cell r="I405">
            <v>0.1</v>
          </cell>
          <cell r="J405">
            <v>0.35</v>
          </cell>
          <cell r="K405" t="str">
            <v>SAI GON TIEP THI</v>
          </cell>
          <cell r="L405" t="str">
            <v>Inside</v>
          </cell>
          <cell r="M405" t="str">
            <v>FPFC</v>
          </cell>
          <cell r="N405" t="str">
            <v>19.5X27.7</v>
          </cell>
          <cell r="O405" t="str">
            <v>21.3X29.1</v>
          </cell>
          <cell r="P405">
            <v>30800.000000000004</v>
          </cell>
          <cell r="Q405">
            <v>0.35</v>
          </cell>
          <cell r="R405">
            <v>0.1</v>
          </cell>
          <cell r="AC405">
            <v>15</v>
          </cell>
          <cell r="AD405">
            <v>10</v>
          </cell>
          <cell r="AE405">
            <v>175</v>
          </cell>
          <cell r="AF405" t="str">
            <v>CD</v>
          </cell>
          <cell r="AG405">
            <v>399</v>
          </cell>
        </row>
        <row r="406">
          <cell r="A406" t="str">
            <v>P045</v>
          </cell>
          <cell r="B406" t="str">
            <v>DEP</v>
          </cell>
          <cell r="C406">
            <v>8484754</v>
          </cell>
          <cell r="D406">
            <v>8484753</v>
          </cell>
          <cell r="E406" t="str">
            <v>144A Ly Chinh Thang</v>
          </cell>
          <cell r="F406" t="str">
            <v>Ms Tham 0908678580</v>
          </cell>
          <cell r="G406" t="str">
            <v>5/ Monthly</v>
          </cell>
          <cell r="H406">
            <v>47000</v>
          </cell>
          <cell r="I406">
            <v>0.1</v>
          </cell>
          <cell r="J406">
            <v>0.35</v>
          </cell>
          <cell r="K406" t="str">
            <v>P045InsideFPFC</v>
          </cell>
          <cell r="L406" t="str">
            <v>Inside</v>
          </cell>
          <cell r="M406" t="str">
            <v>FPFC</v>
          </cell>
          <cell r="N406" t="str">
            <v>19.5X27.7</v>
          </cell>
          <cell r="O406" t="str">
            <v>21.3X29.1</v>
          </cell>
          <cell r="P406">
            <v>30800.000000000004</v>
          </cell>
          <cell r="Q406">
            <v>0.35</v>
          </cell>
          <cell r="R406">
            <v>0.1</v>
          </cell>
          <cell r="AC406">
            <v>15</v>
          </cell>
          <cell r="AD406">
            <v>10</v>
          </cell>
          <cell r="AE406">
            <v>175</v>
          </cell>
          <cell r="AF406" t="str">
            <v>CD</v>
          </cell>
          <cell r="AG406">
            <v>400</v>
          </cell>
        </row>
        <row r="407">
          <cell r="A407" t="str">
            <v>P045</v>
          </cell>
          <cell r="B407" t="str">
            <v>6A</v>
          </cell>
          <cell r="F407" t="str">
            <v>Ms Lan 0908290108</v>
          </cell>
          <cell r="K407" t="str">
            <v>P045InsideHPFC</v>
          </cell>
          <cell r="L407" t="str">
            <v>Inside</v>
          </cell>
          <cell r="M407" t="str">
            <v>HPFC</v>
          </cell>
          <cell r="N407" t="str">
            <v>19.5X13.7</v>
          </cell>
          <cell r="O407" t="str">
            <v>21.3X29.1</v>
          </cell>
          <cell r="P407">
            <v>19800</v>
          </cell>
          <cell r="AG407">
            <v>401</v>
          </cell>
        </row>
        <row r="408">
          <cell r="A408" t="str">
            <v>P045</v>
          </cell>
          <cell r="K408" t="str">
            <v>P045Inside1/3VPFC</v>
          </cell>
          <cell r="L408" t="str">
            <v>Inside</v>
          </cell>
          <cell r="M408" t="str">
            <v>1/3VPFC</v>
          </cell>
          <cell r="N408" t="str">
            <v>7X27.7</v>
          </cell>
          <cell r="O408" t="str">
            <v>21.3X29.1</v>
          </cell>
          <cell r="P408">
            <v>15400.000000000002</v>
          </cell>
          <cell r="AG408">
            <v>402</v>
          </cell>
        </row>
        <row r="409">
          <cell r="A409" t="str">
            <v>P045</v>
          </cell>
          <cell r="B409" t="str">
            <v>HOA HOC TRO 1</v>
          </cell>
          <cell r="C409" t="str">
            <v>04 8217162</v>
          </cell>
          <cell r="D409" t="str">
            <v>04 9781477</v>
          </cell>
          <cell r="E409" t="str">
            <v>5 Hoa Ma, HN/ 502 Le Van Sy, Q3, HCM</v>
          </cell>
          <cell r="F409" t="str">
            <v>Mr Lu Thanh Nam 0912259088</v>
          </cell>
          <cell r="G409" t="str">
            <v>Mon/ Weekly</v>
          </cell>
          <cell r="H409">
            <v>200000</v>
          </cell>
          <cell r="K409" t="str">
            <v>P045FirstFPFC</v>
          </cell>
          <cell r="L409" t="str">
            <v>First</v>
          </cell>
          <cell r="M409" t="str">
            <v>FPFC</v>
          </cell>
          <cell r="N409" t="str">
            <v>19.5X27.7</v>
          </cell>
          <cell r="O409" t="str">
            <v>21.3X29.1</v>
          </cell>
          <cell r="P409">
            <v>37400</v>
          </cell>
          <cell r="AC409">
            <v>15</v>
          </cell>
          <cell r="AD409">
            <v>10</v>
          </cell>
          <cell r="AE409">
            <v>150</v>
          </cell>
          <cell r="AF409" t="str">
            <v>CD</v>
          </cell>
          <cell r="AG409">
            <v>403</v>
          </cell>
        </row>
        <row r="410">
          <cell r="A410" t="str">
            <v>P045</v>
          </cell>
          <cell r="B410" t="str">
            <v>8A</v>
          </cell>
          <cell r="K410" t="str">
            <v>P045SecondFPFC</v>
          </cell>
          <cell r="L410" t="str">
            <v>Second</v>
          </cell>
          <cell r="M410" t="str">
            <v>FPFC</v>
          </cell>
          <cell r="N410" t="str">
            <v>19.5X27.7</v>
          </cell>
          <cell r="O410" t="str">
            <v>21.3X29.1</v>
          </cell>
          <cell r="P410">
            <v>35200</v>
          </cell>
          <cell r="AG410">
            <v>404</v>
          </cell>
        </row>
        <row r="411">
          <cell r="A411" t="str">
            <v>P045</v>
          </cell>
          <cell r="B411" t="str">
            <v>HOA HOC TRO 2</v>
          </cell>
          <cell r="C411" t="str">
            <v>04 8217162</v>
          </cell>
          <cell r="D411" t="str">
            <v>04 9781477</v>
          </cell>
          <cell r="E411" t="str">
            <v>5 Hoa Ma, HN/ 502 Le Van Sy, Q3, HCM</v>
          </cell>
          <cell r="F411" t="str">
            <v>Mr Lu Thanh Nam 0912259088</v>
          </cell>
          <cell r="G411" t="str">
            <v>2/ Weekly</v>
          </cell>
          <cell r="H411">
            <v>200000</v>
          </cell>
          <cell r="K411" t="str">
            <v>P045Cover 2FPFC</v>
          </cell>
          <cell r="L411" t="str">
            <v>Cover 2</v>
          </cell>
          <cell r="M411" t="str">
            <v>FPFC</v>
          </cell>
          <cell r="N411" t="str">
            <v>19.5X27.7</v>
          </cell>
          <cell r="O411" t="str">
            <v>21.3X29.1</v>
          </cell>
          <cell r="P411">
            <v>44000</v>
          </cell>
          <cell r="AC411">
            <v>15</v>
          </cell>
          <cell r="AD411">
            <v>10</v>
          </cell>
          <cell r="AE411">
            <v>150</v>
          </cell>
          <cell r="AF411" t="str">
            <v>CD</v>
          </cell>
          <cell r="AG411">
            <v>405</v>
          </cell>
        </row>
        <row r="412">
          <cell r="A412" t="str">
            <v>P045</v>
          </cell>
          <cell r="B412" t="str">
            <v>HOA HOC TRO 2</v>
          </cell>
          <cell r="C412" t="str">
            <v>04 8217162</v>
          </cell>
          <cell r="D412" t="str">
            <v>04 9781477</v>
          </cell>
          <cell r="E412" t="str">
            <v>5 Hoa Ma, HN/ 502 Le Van Sy, Q3, HCM</v>
          </cell>
          <cell r="F412" t="str">
            <v>Mr Lu Thanh Nam 0912259088</v>
          </cell>
          <cell r="G412" t="str">
            <v>2/ Weekly</v>
          </cell>
          <cell r="H412">
            <v>200000</v>
          </cell>
          <cell r="K412" t="str">
            <v>P045Cover 3FPFC</v>
          </cell>
          <cell r="L412" t="str">
            <v>Cover 3</v>
          </cell>
          <cell r="M412" t="str">
            <v>FPFC</v>
          </cell>
          <cell r="N412" t="str">
            <v>19.5X27.7</v>
          </cell>
          <cell r="O412" t="str">
            <v>21.3X29.1</v>
          </cell>
          <cell r="P412">
            <v>40700</v>
          </cell>
          <cell r="AC412">
            <v>15</v>
          </cell>
          <cell r="AD412">
            <v>10</v>
          </cell>
          <cell r="AE412">
            <v>150</v>
          </cell>
          <cell r="AF412" t="str">
            <v>CD</v>
          </cell>
          <cell r="AG412">
            <v>406</v>
          </cell>
        </row>
        <row r="413">
          <cell r="A413" t="str">
            <v>P045</v>
          </cell>
          <cell r="B413" t="str">
            <v>8A</v>
          </cell>
          <cell r="K413" t="str">
            <v>P045Cover 4FPFC</v>
          </cell>
          <cell r="L413" t="str">
            <v>Cover 4</v>
          </cell>
          <cell r="M413" t="str">
            <v>FPFC</v>
          </cell>
          <cell r="N413" t="str">
            <v>20.2X27.7</v>
          </cell>
          <cell r="O413" t="str">
            <v>21.3X29.1</v>
          </cell>
          <cell r="P413">
            <v>51700.000000000007</v>
          </cell>
          <cell r="AG413">
            <v>407</v>
          </cell>
        </row>
        <row r="414">
          <cell r="A414" t="str">
            <v>DEP</v>
          </cell>
          <cell r="B414" t="str">
            <v>HOA HOC TRO 1</v>
          </cell>
          <cell r="C414" t="str">
            <v>04 8217162</v>
          </cell>
          <cell r="D414" t="str">
            <v>04 9781477</v>
          </cell>
          <cell r="E414" t="str">
            <v>5 Hoa Ma, HN/ 502 Le Van Sy, Q3, HCM</v>
          </cell>
          <cell r="F414" t="str">
            <v>Mr Lu Thanh Nam 0912259088</v>
          </cell>
          <cell r="G414" t="str">
            <v>Mon/ Weekly</v>
          </cell>
          <cell r="H414">
            <v>200000</v>
          </cell>
          <cell r="K414" t="str">
            <v>DEP</v>
          </cell>
          <cell r="L414" t="str">
            <v>Cover 2</v>
          </cell>
          <cell r="M414" t="str">
            <v>FPFC</v>
          </cell>
          <cell r="N414" t="str">
            <v>13.5X23.5</v>
          </cell>
          <cell r="P414">
            <v>27170.000000000004</v>
          </cell>
          <cell r="AC414">
            <v>15</v>
          </cell>
          <cell r="AD414">
            <v>10</v>
          </cell>
          <cell r="AE414">
            <v>150</v>
          </cell>
          <cell r="AF414" t="str">
            <v>CD</v>
          </cell>
          <cell r="AG414">
            <v>408</v>
          </cell>
        </row>
        <row r="415">
          <cell r="A415" t="str">
            <v>P046</v>
          </cell>
          <cell r="B415" t="str">
            <v>HOA HOC TRO 1</v>
          </cell>
          <cell r="C415" t="str">
            <v>04 8217162</v>
          </cell>
          <cell r="D415" t="str">
            <v>04 9781477</v>
          </cell>
          <cell r="E415" t="str">
            <v>5 Hoa Ma, HN/ 502 Le Van Sy, Q3, HCM</v>
          </cell>
          <cell r="F415" t="str">
            <v>Mr Lu Thanh Nam 0912259088</v>
          </cell>
          <cell r="G415" t="str">
            <v>Mon/ Weekly</v>
          </cell>
          <cell r="H415">
            <v>200000</v>
          </cell>
          <cell r="K415" t="str">
            <v>P046Cover 2FPFC</v>
          </cell>
          <cell r="L415" t="str">
            <v>Cover 2</v>
          </cell>
          <cell r="M415" t="str">
            <v>FPFC</v>
          </cell>
          <cell r="N415" t="str">
            <v>13.5X23.5</v>
          </cell>
          <cell r="P415">
            <v>27170.000000000004</v>
          </cell>
          <cell r="AC415">
            <v>15</v>
          </cell>
          <cell r="AD415">
            <v>10</v>
          </cell>
          <cell r="AE415">
            <v>150</v>
          </cell>
          <cell r="AF415" t="str">
            <v>CD</v>
          </cell>
          <cell r="AG415">
            <v>409</v>
          </cell>
        </row>
        <row r="416">
          <cell r="A416" t="str">
            <v>P046</v>
          </cell>
          <cell r="B416" t="str">
            <v>8A</v>
          </cell>
          <cell r="K416" t="str">
            <v>P046Cover 3FPFC</v>
          </cell>
          <cell r="L416" t="str">
            <v>Cover 3</v>
          </cell>
          <cell r="M416" t="str">
            <v>FPFC</v>
          </cell>
          <cell r="N416" t="str">
            <v>13.5X23.5</v>
          </cell>
          <cell r="P416">
            <v>27170.000000000004</v>
          </cell>
          <cell r="AG416">
            <v>410</v>
          </cell>
        </row>
        <row r="417">
          <cell r="A417" t="str">
            <v>P046</v>
          </cell>
          <cell r="K417" t="str">
            <v>P046InsideFPFC</v>
          </cell>
          <cell r="L417" t="str">
            <v>Inside</v>
          </cell>
          <cell r="M417" t="str">
            <v>FPFC</v>
          </cell>
          <cell r="N417" t="str">
            <v>13.5X23.5</v>
          </cell>
          <cell r="P417">
            <v>23100.000000000004</v>
          </cell>
          <cell r="AG417">
            <v>411</v>
          </cell>
        </row>
        <row r="418">
          <cell r="A418" t="str">
            <v>P046</v>
          </cell>
          <cell r="K418" t="str">
            <v>P046InsideHPFC</v>
          </cell>
          <cell r="L418" t="str">
            <v>Inside</v>
          </cell>
          <cell r="M418" t="str">
            <v>HPFC</v>
          </cell>
          <cell r="N418" t="str">
            <v>12.5X10.5</v>
          </cell>
          <cell r="P418">
            <v>13200.000000000002</v>
          </cell>
          <cell r="AG418">
            <v>412</v>
          </cell>
        </row>
        <row r="419">
          <cell r="A419" t="str">
            <v>P046</v>
          </cell>
          <cell r="K419" t="str">
            <v>P046InsideVPFC</v>
          </cell>
          <cell r="L419" t="str">
            <v>Inside</v>
          </cell>
          <cell r="M419" t="str">
            <v>VPFC</v>
          </cell>
          <cell r="N419" t="str">
            <v>6X21.5</v>
          </cell>
          <cell r="P419">
            <v>13200.000000000002</v>
          </cell>
          <cell r="AG419">
            <v>413</v>
          </cell>
        </row>
        <row r="420">
          <cell r="A420" t="str">
            <v>HOA HOC TRO 1</v>
          </cell>
          <cell r="B420" t="str">
            <v>HOA HOC TRO 2</v>
          </cell>
          <cell r="C420" t="str">
            <v>04 8217162</v>
          </cell>
          <cell r="D420" t="str">
            <v>04 9781477</v>
          </cell>
          <cell r="E420" t="str">
            <v>5 Hoa Ma, HN/ 502 Le Van Sy, Q3, HCM</v>
          </cell>
          <cell r="F420" t="str">
            <v>Mr Lu Thanh Nam 0912259088</v>
          </cell>
          <cell r="G420" t="str">
            <v>1,15/ Monthly</v>
          </cell>
          <cell r="H420">
            <v>170000</v>
          </cell>
          <cell r="K420" t="str">
            <v>HOA HOC TRO 1</v>
          </cell>
          <cell r="L420" t="str">
            <v>Cover 4</v>
          </cell>
          <cell r="M420" t="str">
            <v>FPFC</v>
          </cell>
          <cell r="N420" t="str">
            <v>24X30</v>
          </cell>
          <cell r="P420">
            <v>40040</v>
          </cell>
          <cell r="AC420">
            <v>15</v>
          </cell>
          <cell r="AD420">
            <v>10</v>
          </cell>
          <cell r="AE420">
            <v>150</v>
          </cell>
          <cell r="AF420" t="str">
            <v>CD</v>
          </cell>
          <cell r="AG420">
            <v>414</v>
          </cell>
        </row>
        <row r="421">
          <cell r="A421" t="str">
            <v>P047</v>
          </cell>
          <cell r="B421" t="str">
            <v>HOA HOC TRO 2</v>
          </cell>
          <cell r="C421" t="str">
            <v>04 8217162</v>
          </cell>
          <cell r="D421" t="str">
            <v>04 9781477</v>
          </cell>
          <cell r="E421" t="str">
            <v>5 Hoa Ma, HN/ 502 Le Van Sy, Q3, HCM</v>
          </cell>
          <cell r="F421" t="str">
            <v>Mr Lu Thanh Nam 0912259088</v>
          </cell>
          <cell r="G421" t="str">
            <v>1,15/ Monthly</v>
          </cell>
          <cell r="H421">
            <v>170000</v>
          </cell>
          <cell r="K421" t="str">
            <v>P047Cover 4FPFC</v>
          </cell>
          <cell r="L421" t="str">
            <v>Cover 4</v>
          </cell>
          <cell r="M421" t="str">
            <v>FPFC</v>
          </cell>
          <cell r="N421" t="str">
            <v>24X30</v>
          </cell>
          <cell r="P421">
            <v>40040</v>
          </cell>
          <cell r="AC421">
            <v>15</v>
          </cell>
          <cell r="AD421">
            <v>10</v>
          </cell>
          <cell r="AE421">
            <v>150</v>
          </cell>
          <cell r="AF421" t="str">
            <v>CD</v>
          </cell>
          <cell r="AG421">
            <v>415</v>
          </cell>
        </row>
        <row r="422">
          <cell r="A422" t="str">
            <v>P047</v>
          </cell>
          <cell r="B422" t="str">
            <v>8A</v>
          </cell>
          <cell r="K422" t="str">
            <v>P047Cover 41/3VPFC</v>
          </cell>
          <cell r="L422" t="str">
            <v>Cover 4</v>
          </cell>
          <cell r="M422" t="str">
            <v>1/3VPFC</v>
          </cell>
          <cell r="N422" t="str">
            <v>8X30</v>
          </cell>
          <cell r="P422">
            <v>20020</v>
          </cell>
          <cell r="AG422">
            <v>416</v>
          </cell>
        </row>
        <row r="423">
          <cell r="A423" t="str">
            <v>P047</v>
          </cell>
          <cell r="B423" t="str">
            <v>PHU NU THE THAO</v>
          </cell>
          <cell r="C423">
            <v>9102539</v>
          </cell>
          <cell r="D423">
            <v>8222143</v>
          </cell>
          <cell r="E423" t="str">
            <v>48 Nguyen Dinh Chieu Q1</v>
          </cell>
          <cell r="F423" t="str">
            <v>Ms Yen 0903735445</v>
          </cell>
          <cell r="G423" t="str">
            <v>5/ Monthly</v>
          </cell>
          <cell r="H423">
            <v>40000</v>
          </cell>
          <cell r="I423">
            <v>0.15</v>
          </cell>
          <cell r="K423" t="str">
            <v>P047Cover 2FPFC</v>
          </cell>
          <cell r="L423" t="str">
            <v>Cover 2</v>
          </cell>
          <cell r="M423" t="str">
            <v>FPFC</v>
          </cell>
          <cell r="N423" t="str">
            <v>24X30</v>
          </cell>
          <cell r="P423">
            <v>33000</v>
          </cell>
          <cell r="S423">
            <v>0.15</v>
          </cell>
          <cell r="AC423">
            <v>15</v>
          </cell>
          <cell r="AD423">
            <v>10</v>
          </cell>
          <cell r="AE423">
            <v>150</v>
          </cell>
          <cell r="AF423" t="str">
            <v>CD</v>
          </cell>
          <cell r="AG423">
            <v>417</v>
          </cell>
        </row>
        <row r="424">
          <cell r="A424" t="str">
            <v>P047</v>
          </cell>
          <cell r="B424" t="str">
            <v>PHU NU THE THAO</v>
          </cell>
          <cell r="C424">
            <v>9102539</v>
          </cell>
          <cell r="D424">
            <v>8222143</v>
          </cell>
          <cell r="E424" t="str">
            <v>48 Nguyen Dinh Chieu Q1</v>
          </cell>
          <cell r="F424" t="str">
            <v>Ms Yen 0903735445</v>
          </cell>
          <cell r="G424" t="str">
            <v>5/ Monthly</v>
          </cell>
          <cell r="H424">
            <v>40000</v>
          </cell>
          <cell r="I424">
            <v>0.15</v>
          </cell>
          <cell r="K424" t="str">
            <v>P047Cover 3FPFC</v>
          </cell>
          <cell r="L424" t="str">
            <v>Cover 3</v>
          </cell>
          <cell r="M424" t="str">
            <v>FPFC</v>
          </cell>
          <cell r="N424" t="str">
            <v>24X30</v>
          </cell>
          <cell r="P424">
            <v>33000</v>
          </cell>
          <cell r="S424">
            <v>0.15</v>
          </cell>
          <cell r="AC424">
            <v>15</v>
          </cell>
          <cell r="AD424">
            <v>10</v>
          </cell>
          <cell r="AE424">
            <v>150</v>
          </cell>
          <cell r="AF424" t="str">
            <v>CD</v>
          </cell>
          <cell r="AG424">
            <v>418</v>
          </cell>
        </row>
        <row r="425">
          <cell r="A425" t="str">
            <v>P047</v>
          </cell>
          <cell r="B425" t="str">
            <v>12E</v>
          </cell>
          <cell r="K425" t="str">
            <v>P047Cover 21/3VPFC</v>
          </cell>
          <cell r="L425" t="str">
            <v>Cover 2</v>
          </cell>
          <cell r="M425" t="str">
            <v>1/3VPFC</v>
          </cell>
          <cell r="N425" t="str">
            <v>8X30</v>
          </cell>
          <cell r="P425">
            <v>16500</v>
          </cell>
          <cell r="AG425">
            <v>419</v>
          </cell>
        </row>
        <row r="426">
          <cell r="A426" t="str">
            <v>P047</v>
          </cell>
          <cell r="K426" t="str">
            <v>P047Cover 31/3VPFC</v>
          </cell>
          <cell r="L426" t="str">
            <v>Cover 3</v>
          </cell>
          <cell r="M426" t="str">
            <v>1/3VPFC</v>
          </cell>
          <cell r="N426" t="str">
            <v>8X30</v>
          </cell>
          <cell r="P426">
            <v>16500</v>
          </cell>
          <cell r="AG426">
            <v>420</v>
          </cell>
        </row>
        <row r="427">
          <cell r="A427" t="str">
            <v>P047</v>
          </cell>
          <cell r="B427" t="str">
            <v>PHU NU THE THAO</v>
          </cell>
          <cell r="C427">
            <v>9102539</v>
          </cell>
          <cell r="D427">
            <v>8222143</v>
          </cell>
          <cell r="E427" t="str">
            <v>48 Nguyen Dinh Chieu Q1</v>
          </cell>
          <cell r="F427" t="str">
            <v>Ms Yen 0903735445</v>
          </cell>
          <cell r="G427" t="str">
            <v>5/ Monthly</v>
          </cell>
          <cell r="H427">
            <v>40000</v>
          </cell>
          <cell r="I427">
            <v>0.15</v>
          </cell>
          <cell r="K427" t="str">
            <v>P047InsideFPFC</v>
          </cell>
          <cell r="L427" t="str">
            <v>Inside</v>
          </cell>
          <cell r="M427" t="str">
            <v>FPFC</v>
          </cell>
          <cell r="N427" t="str">
            <v>24X30</v>
          </cell>
          <cell r="P427">
            <v>28270.000000000004</v>
          </cell>
          <cell r="S427">
            <v>0.15</v>
          </cell>
          <cell r="AC427">
            <v>15</v>
          </cell>
          <cell r="AD427">
            <v>10</v>
          </cell>
          <cell r="AE427">
            <v>150</v>
          </cell>
          <cell r="AF427" t="str">
            <v>CD</v>
          </cell>
          <cell r="AG427">
            <v>421</v>
          </cell>
        </row>
        <row r="428">
          <cell r="A428" t="str">
            <v>P047</v>
          </cell>
          <cell r="B428" t="str">
            <v>12E</v>
          </cell>
          <cell r="K428" t="str">
            <v>P047InsideHPFC</v>
          </cell>
          <cell r="L428" t="str">
            <v>Inside</v>
          </cell>
          <cell r="M428" t="str">
            <v>HPFC</v>
          </cell>
          <cell r="N428" t="str">
            <v>24X15</v>
          </cell>
          <cell r="P428">
            <v>15730.000000000002</v>
          </cell>
          <cell r="AG428">
            <v>422</v>
          </cell>
        </row>
        <row r="429">
          <cell r="A429" t="str">
            <v>P047</v>
          </cell>
          <cell r="K429" t="str">
            <v>P047InsideVPFC</v>
          </cell>
          <cell r="L429" t="str">
            <v>Inside</v>
          </cell>
          <cell r="M429" t="str">
            <v>VPFC</v>
          </cell>
          <cell r="N429" t="str">
            <v>12X30</v>
          </cell>
          <cell r="P429">
            <v>15730.000000000002</v>
          </cell>
          <cell r="AG429">
            <v>423</v>
          </cell>
        </row>
        <row r="430">
          <cell r="A430" t="str">
            <v>P047</v>
          </cell>
          <cell r="K430" t="str">
            <v>P047Content1/4VPFC</v>
          </cell>
          <cell r="L430" t="str">
            <v>Content</v>
          </cell>
          <cell r="M430" t="str">
            <v>1/4VPFC</v>
          </cell>
          <cell r="N430" t="str">
            <v>12X15</v>
          </cell>
          <cell r="P430">
            <v>10120</v>
          </cell>
          <cell r="AG430">
            <v>424</v>
          </cell>
        </row>
        <row r="431">
          <cell r="A431" t="str">
            <v>P047</v>
          </cell>
          <cell r="K431" t="str">
            <v>P047Inside- Consicutive1/3VPFC</v>
          </cell>
          <cell r="L431" t="str">
            <v>Inside- Consicutive</v>
          </cell>
          <cell r="M431" t="str">
            <v>1/3VPFC</v>
          </cell>
          <cell r="N431" t="str">
            <v>8X30</v>
          </cell>
          <cell r="P431">
            <v>16500</v>
          </cell>
          <cell r="AG431">
            <v>425</v>
          </cell>
        </row>
        <row r="432">
          <cell r="A432" t="str">
            <v>HOA HOC TRO 2</v>
          </cell>
          <cell r="B432" t="str">
            <v>PHU NU THE THAO</v>
          </cell>
          <cell r="C432">
            <v>9102539</v>
          </cell>
          <cell r="D432">
            <v>8222143</v>
          </cell>
          <cell r="E432" t="str">
            <v>48 Nguyen Dinh Chieu Q1</v>
          </cell>
          <cell r="F432" t="str">
            <v>Ms Yen 0903735445</v>
          </cell>
          <cell r="G432" t="str">
            <v>5/ Monthly</v>
          </cell>
          <cell r="H432">
            <v>40000</v>
          </cell>
          <cell r="I432">
            <v>0.15</v>
          </cell>
          <cell r="K432" t="str">
            <v>HOA HOC TRO 2</v>
          </cell>
          <cell r="L432" t="str">
            <v>Cover 4</v>
          </cell>
          <cell r="M432" t="str">
            <v>FPFC</v>
          </cell>
          <cell r="N432" t="str">
            <v>19.5X27.5</v>
          </cell>
          <cell r="P432">
            <v>30000</v>
          </cell>
          <cell r="S432">
            <v>0.15</v>
          </cell>
          <cell r="AC432">
            <v>15</v>
          </cell>
          <cell r="AD432">
            <v>10</v>
          </cell>
          <cell r="AE432">
            <v>150</v>
          </cell>
          <cell r="AF432" t="str">
            <v>CD</v>
          </cell>
          <cell r="AG432">
            <v>426</v>
          </cell>
        </row>
        <row r="433">
          <cell r="A433" t="str">
            <v>P048</v>
          </cell>
          <cell r="B433" t="str">
            <v>PHU NU THE THAO</v>
          </cell>
          <cell r="C433">
            <v>9102539</v>
          </cell>
          <cell r="D433">
            <v>8222143</v>
          </cell>
          <cell r="E433" t="str">
            <v>48 Nguyen Dinh Chieu Q1</v>
          </cell>
          <cell r="F433" t="str">
            <v>Ms Yen 0903735445</v>
          </cell>
          <cell r="G433" t="str">
            <v>5/ Monthly</v>
          </cell>
          <cell r="H433">
            <v>40000</v>
          </cell>
          <cell r="I433">
            <v>0.15</v>
          </cell>
          <cell r="K433" t="str">
            <v>P048Cover 4FPFC</v>
          </cell>
          <cell r="L433" t="str">
            <v>Cover 4</v>
          </cell>
          <cell r="M433" t="str">
            <v>FPFC</v>
          </cell>
          <cell r="N433" t="str">
            <v>19.5X27.5</v>
          </cell>
          <cell r="P433">
            <v>30000</v>
          </cell>
          <cell r="S433">
            <v>0.15</v>
          </cell>
          <cell r="AC433">
            <v>15</v>
          </cell>
          <cell r="AD433">
            <v>10</v>
          </cell>
          <cell r="AE433">
            <v>150</v>
          </cell>
          <cell r="AF433" t="str">
            <v>CD</v>
          </cell>
          <cell r="AG433">
            <v>427</v>
          </cell>
        </row>
        <row r="434">
          <cell r="A434" t="str">
            <v>P048</v>
          </cell>
          <cell r="B434" t="str">
            <v>12E</v>
          </cell>
          <cell r="K434" t="str">
            <v>P048Cover 2FPFC</v>
          </cell>
          <cell r="L434" t="str">
            <v>Cover 2</v>
          </cell>
          <cell r="M434" t="str">
            <v>FPFC</v>
          </cell>
          <cell r="N434" t="str">
            <v>19.5X27.5</v>
          </cell>
          <cell r="P434">
            <v>28000</v>
          </cell>
          <cell r="AG434">
            <v>428</v>
          </cell>
        </row>
        <row r="435">
          <cell r="A435" t="str">
            <v>P048</v>
          </cell>
          <cell r="K435" t="str">
            <v>P048Cover 3FPFC</v>
          </cell>
          <cell r="L435" t="str">
            <v>Cover 3</v>
          </cell>
          <cell r="M435" t="str">
            <v>FPFC</v>
          </cell>
          <cell r="N435" t="str">
            <v>19.5X27.5</v>
          </cell>
          <cell r="P435">
            <v>28000</v>
          </cell>
          <cell r="AG435">
            <v>429</v>
          </cell>
        </row>
        <row r="436">
          <cell r="A436" t="str">
            <v>P048</v>
          </cell>
          <cell r="B436" t="str">
            <v>NGUOI LAO DONG CN</v>
          </cell>
          <cell r="C436">
            <v>9303373</v>
          </cell>
          <cell r="D436">
            <v>9303373</v>
          </cell>
          <cell r="E436" t="str">
            <v>19 Vo Van Tan, Q.3, Qp. HCM</v>
          </cell>
          <cell r="F436" t="str">
            <v>Ms Hien 098 8883754/ Ms Ha 0903122633</v>
          </cell>
          <cell r="G436" t="str">
            <v>Sun/ Weekly</v>
          </cell>
          <cell r="K436" t="str">
            <v>P048InsideFPFC</v>
          </cell>
          <cell r="L436" t="str">
            <v>Inside</v>
          </cell>
          <cell r="M436" t="str">
            <v>FPFC</v>
          </cell>
          <cell r="N436" t="str">
            <v>19.5X27.5</v>
          </cell>
          <cell r="P436">
            <v>20000</v>
          </cell>
          <cell r="AC436">
            <v>15</v>
          </cell>
          <cell r="AD436">
            <v>10</v>
          </cell>
          <cell r="AE436">
            <v>150</v>
          </cell>
          <cell r="AF436" t="str">
            <v>CD</v>
          </cell>
          <cell r="AG436">
            <v>430</v>
          </cell>
        </row>
        <row r="437">
          <cell r="A437" t="str">
            <v>P048</v>
          </cell>
          <cell r="B437" t="str">
            <v>11D</v>
          </cell>
          <cell r="K437" t="str">
            <v>P048InsideHPFC</v>
          </cell>
          <cell r="L437" t="str">
            <v>Inside</v>
          </cell>
          <cell r="M437" t="str">
            <v>HPFC</v>
          </cell>
          <cell r="N437" t="str">
            <v>19.5X13.5</v>
          </cell>
          <cell r="P437">
            <v>10500</v>
          </cell>
          <cell r="AG437">
            <v>431</v>
          </cell>
        </row>
        <row r="438">
          <cell r="A438" t="str">
            <v>P048</v>
          </cell>
          <cell r="K438" t="str">
            <v>P048InsideQPFC</v>
          </cell>
          <cell r="L438" t="str">
            <v>Inside</v>
          </cell>
          <cell r="M438" t="str">
            <v>QPFC</v>
          </cell>
          <cell r="N438" t="str">
            <v>9.5X13</v>
          </cell>
          <cell r="P438">
            <v>5500</v>
          </cell>
          <cell r="AG438">
            <v>432</v>
          </cell>
        </row>
        <row r="439">
          <cell r="A439" t="str">
            <v>P048</v>
          </cell>
          <cell r="B439" t="str">
            <v>NHA DEP</v>
          </cell>
          <cell r="D439">
            <v>8483810</v>
          </cell>
          <cell r="F439" t="str">
            <v>Ms Huong 0918291777</v>
          </cell>
          <cell r="G439" t="str">
            <v>5/ Monthly</v>
          </cell>
          <cell r="I439">
            <v>0.1</v>
          </cell>
          <cell r="K439" t="str">
            <v>P048Inside1/4HPFC</v>
          </cell>
          <cell r="L439" t="str">
            <v>Inside</v>
          </cell>
          <cell r="M439" t="str">
            <v>1/4HPFC</v>
          </cell>
          <cell r="N439" t="str">
            <v>19.5X7</v>
          </cell>
          <cell r="P439">
            <v>5500</v>
          </cell>
          <cell r="Y439">
            <v>0.1</v>
          </cell>
          <cell r="AC439">
            <v>15</v>
          </cell>
          <cell r="AD439">
            <v>15</v>
          </cell>
          <cell r="AE439">
            <v>175</v>
          </cell>
          <cell r="AF439" t="str">
            <v>CD</v>
          </cell>
          <cell r="AG439">
            <v>433</v>
          </cell>
        </row>
        <row r="440">
          <cell r="A440" t="str">
            <v>P048</v>
          </cell>
          <cell r="B440" t="str">
            <v>9G</v>
          </cell>
          <cell r="K440" t="str">
            <v>P048Strip ad</v>
          </cell>
          <cell r="L440" t="str">
            <v>Strip ad</v>
          </cell>
          <cell r="M440" t="str">
            <v>FPFC</v>
          </cell>
          <cell r="N440" t="str">
            <v>19.5X5</v>
          </cell>
          <cell r="P440">
            <v>5500</v>
          </cell>
          <cell r="AG440">
            <v>434</v>
          </cell>
        </row>
        <row r="441">
          <cell r="A441" t="str">
            <v>PHU NU THE THAO</v>
          </cell>
          <cell r="B441" t="str">
            <v>NGUOI LAO DONG CN</v>
          </cell>
          <cell r="C441">
            <v>9303373</v>
          </cell>
          <cell r="D441">
            <v>9303373</v>
          </cell>
          <cell r="E441" t="str">
            <v>19 Vo Van Tan, Q.3, Qp. HCM</v>
          </cell>
          <cell r="F441" t="str">
            <v>Ms Hien 098 8883754/ Ms Ha 0903122633</v>
          </cell>
          <cell r="G441" t="str">
            <v>Sun/ Weekly</v>
          </cell>
          <cell r="K441" t="str">
            <v>PHU NU THE THAO</v>
          </cell>
          <cell r="L441" t="str">
            <v>Last</v>
          </cell>
          <cell r="M441" t="str">
            <v>FPFC</v>
          </cell>
          <cell r="N441" t="str">
            <v>26.5X37</v>
          </cell>
          <cell r="P441">
            <v>25000</v>
          </cell>
          <cell r="AC441">
            <v>15</v>
          </cell>
          <cell r="AD441">
            <v>10</v>
          </cell>
          <cell r="AE441">
            <v>150</v>
          </cell>
          <cell r="AF441" t="str">
            <v>CD</v>
          </cell>
          <cell r="AG441">
            <v>435</v>
          </cell>
        </row>
        <row r="442">
          <cell r="A442" t="str">
            <v>P049</v>
          </cell>
          <cell r="B442" t="str">
            <v>NGUOI LAO DONG CN</v>
          </cell>
          <cell r="C442">
            <v>9303373</v>
          </cell>
          <cell r="D442">
            <v>9303373</v>
          </cell>
          <cell r="E442" t="str">
            <v>19 Vo Van Tan, Q.3, Qp. HCM</v>
          </cell>
          <cell r="F442" t="str">
            <v>Ms Hien 098 8883754/ Ms Ha 0903122633</v>
          </cell>
          <cell r="G442" t="str">
            <v>Sun/ Weekly</v>
          </cell>
          <cell r="I442">
            <v>0.1</v>
          </cell>
          <cell r="K442" t="str">
            <v>P049LastFPFC</v>
          </cell>
          <cell r="L442" t="str">
            <v>Last</v>
          </cell>
          <cell r="M442" t="str">
            <v>FPFC</v>
          </cell>
          <cell r="N442" t="str">
            <v>26.5X37</v>
          </cell>
          <cell r="P442">
            <v>25000</v>
          </cell>
          <cell r="Y442">
            <v>0.1</v>
          </cell>
          <cell r="AC442">
            <v>15</v>
          </cell>
          <cell r="AD442">
            <v>10</v>
          </cell>
          <cell r="AE442">
            <v>150</v>
          </cell>
          <cell r="AF442" t="str">
            <v>CD</v>
          </cell>
          <cell r="AG442">
            <v>436</v>
          </cell>
        </row>
        <row r="443">
          <cell r="A443" t="str">
            <v>P049</v>
          </cell>
          <cell r="B443" t="str">
            <v>11D</v>
          </cell>
          <cell r="K443" t="str">
            <v>P049FirstFPFC</v>
          </cell>
          <cell r="L443" t="str">
            <v>First</v>
          </cell>
          <cell r="M443" t="str">
            <v>FPFC</v>
          </cell>
          <cell r="N443" t="str">
            <v>26.5X35.5</v>
          </cell>
          <cell r="P443">
            <v>16000</v>
          </cell>
          <cell r="AG443">
            <v>437</v>
          </cell>
        </row>
        <row r="444">
          <cell r="A444" t="str">
            <v>P049</v>
          </cell>
          <cell r="K444" t="str">
            <v>P049InsideFPFC</v>
          </cell>
          <cell r="L444" t="str">
            <v>Inside</v>
          </cell>
          <cell r="M444" t="str">
            <v>FPFC</v>
          </cell>
          <cell r="N444" t="str">
            <v>26.5X37</v>
          </cell>
          <cell r="O444" t="str">
            <v>23.6X28.1</v>
          </cell>
          <cell r="P444">
            <v>14000</v>
          </cell>
          <cell r="AG444">
            <v>438</v>
          </cell>
        </row>
        <row r="445">
          <cell r="A445" t="str">
            <v>P049</v>
          </cell>
          <cell r="B445" t="str">
            <v>BO SUU TAP NHA DEP</v>
          </cell>
          <cell r="D445">
            <v>8483810</v>
          </cell>
          <cell r="F445" t="str">
            <v>Ms Huong 0918291777</v>
          </cell>
          <cell r="G445" t="str">
            <v>5/ Monthly</v>
          </cell>
          <cell r="K445" t="str">
            <v>P049InsideHPFC</v>
          </cell>
          <cell r="L445" t="str">
            <v>Inside</v>
          </cell>
          <cell r="M445" t="str">
            <v>HPFC</v>
          </cell>
          <cell r="N445" t="str">
            <v>26.5X17.5</v>
          </cell>
          <cell r="P445">
            <v>7000</v>
          </cell>
          <cell r="AC445">
            <v>15</v>
          </cell>
          <cell r="AD445">
            <v>15</v>
          </cell>
          <cell r="AE445">
            <v>175</v>
          </cell>
          <cell r="AF445" t="str">
            <v>CD</v>
          </cell>
          <cell r="AG445">
            <v>439</v>
          </cell>
        </row>
        <row r="446">
          <cell r="A446" t="str">
            <v>P049</v>
          </cell>
          <cell r="B446" t="str">
            <v>9G</v>
          </cell>
          <cell r="K446" t="str">
            <v>P049Strip ad</v>
          </cell>
          <cell r="L446" t="str">
            <v>Strip ad</v>
          </cell>
          <cell r="M446" t="str">
            <v>FPFC</v>
          </cell>
          <cell r="N446" t="str">
            <v>26.5X4.5</v>
          </cell>
          <cell r="P446">
            <v>2200</v>
          </cell>
          <cell r="AG446">
            <v>440</v>
          </cell>
        </row>
        <row r="447">
          <cell r="A447" t="str">
            <v>NGUOI LAO DONG</v>
          </cell>
          <cell r="B447" t="str">
            <v>NHA DEP</v>
          </cell>
          <cell r="D447">
            <v>8483810</v>
          </cell>
          <cell r="F447" t="str">
            <v>Ms Huong 0918291777</v>
          </cell>
          <cell r="G447" t="str">
            <v>5/ Monthly</v>
          </cell>
          <cell r="I447">
            <v>0.1</v>
          </cell>
          <cell r="K447" t="str">
            <v>NGUOI LAO DONG</v>
          </cell>
          <cell r="L447" t="str">
            <v>Cover 2</v>
          </cell>
          <cell r="M447" t="str">
            <v>FPFC</v>
          </cell>
          <cell r="N447" t="str">
            <v>19.4X23.9</v>
          </cell>
          <cell r="P447">
            <v>26400.000000000004</v>
          </cell>
          <cell r="Y447">
            <v>0.1</v>
          </cell>
          <cell r="AC447">
            <v>15</v>
          </cell>
          <cell r="AD447">
            <v>15</v>
          </cell>
          <cell r="AE447">
            <v>175</v>
          </cell>
          <cell r="AF447" t="str">
            <v>CD</v>
          </cell>
          <cell r="AG447">
            <v>441</v>
          </cell>
        </row>
        <row r="448">
          <cell r="A448" t="str">
            <v>P050</v>
          </cell>
          <cell r="B448" t="str">
            <v>NHA DEP</v>
          </cell>
          <cell r="D448">
            <v>8483810</v>
          </cell>
          <cell r="F448" t="str">
            <v>Ms Huong 0918291777</v>
          </cell>
          <cell r="G448" t="str">
            <v>5/ Monthly</v>
          </cell>
          <cell r="I448">
            <v>0.1</v>
          </cell>
          <cell r="K448" t="str">
            <v>P050Cover 2FPFC</v>
          </cell>
          <cell r="L448" t="str">
            <v>Cover 2</v>
          </cell>
          <cell r="M448" t="str">
            <v>FPFC</v>
          </cell>
          <cell r="N448" t="str">
            <v>19.4X23.9</v>
          </cell>
          <cell r="P448">
            <v>26400.000000000004</v>
          </cell>
          <cell r="Y448">
            <v>0.1</v>
          </cell>
          <cell r="AC448">
            <v>15</v>
          </cell>
          <cell r="AD448">
            <v>15</v>
          </cell>
          <cell r="AE448">
            <v>175</v>
          </cell>
          <cell r="AF448" t="str">
            <v>CD</v>
          </cell>
          <cell r="AG448">
            <v>442</v>
          </cell>
        </row>
        <row r="449">
          <cell r="A449" t="str">
            <v>P050</v>
          </cell>
          <cell r="B449" t="str">
            <v>9G</v>
          </cell>
          <cell r="K449" t="str">
            <v>P050Cover 3FPFC</v>
          </cell>
          <cell r="L449" t="str">
            <v>Cover 3</v>
          </cell>
          <cell r="M449" t="str">
            <v>FPFC</v>
          </cell>
          <cell r="N449" t="str">
            <v>19.4X23.9</v>
          </cell>
          <cell r="O449" t="str">
            <v>23.6X28.1</v>
          </cell>
          <cell r="P449">
            <v>24200.000000000004</v>
          </cell>
          <cell r="AG449">
            <v>443</v>
          </cell>
        </row>
        <row r="450">
          <cell r="A450" t="str">
            <v>P050</v>
          </cell>
          <cell r="K450" t="str">
            <v>P050Cover 4FPFC</v>
          </cell>
          <cell r="L450" t="str">
            <v>Cover 4</v>
          </cell>
          <cell r="M450" t="str">
            <v>FPFC</v>
          </cell>
          <cell r="N450" t="str">
            <v>23X27.5</v>
          </cell>
          <cell r="O450" t="str">
            <v>23.6X28.1</v>
          </cell>
          <cell r="P450">
            <v>28600.000000000004</v>
          </cell>
          <cell r="AG450">
            <v>444</v>
          </cell>
        </row>
        <row r="451">
          <cell r="A451" t="str">
            <v>P050</v>
          </cell>
          <cell r="K451" t="str">
            <v>P050InsideFPFC</v>
          </cell>
          <cell r="L451" t="str">
            <v>Inside</v>
          </cell>
          <cell r="M451" t="str">
            <v>FPFC</v>
          </cell>
          <cell r="N451" t="str">
            <v>19.4X23.9</v>
          </cell>
          <cell r="P451">
            <v>19800</v>
          </cell>
          <cell r="AG451">
            <v>445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ER 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P3_to_P4_New"/>
      <sheetName val="P3_template_for_Automation"/>
      <sheetName val="Rate-Card-04"/>
      <sheetName val="BR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609C-5352-41D4-95E3-9D5BFF811ECB}">
  <dimension ref="A2:U33"/>
  <sheetViews>
    <sheetView showGridLines="0" tabSelected="1" topLeftCell="A7" zoomScaleNormal="100" zoomScaleSheetLayoutView="113" workbookViewId="0">
      <selection activeCell="K20" sqref="K20"/>
    </sheetView>
  </sheetViews>
  <sheetFormatPr defaultColWidth="0" defaultRowHeight="14.5"/>
  <cols>
    <col min="1" max="1" width="2.36328125" style="3" customWidth="1"/>
    <col min="2" max="2" width="6.6328125" style="3" customWidth="1"/>
    <col min="3" max="3" width="29" style="3" customWidth="1"/>
    <col min="4" max="4" width="30" style="3" customWidth="1"/>
    <col min="5" max="5" width="8.36328125" style="3" customWidth="1"/>
    <col min="6" max="6" width="10.453125" style="3" customWidth="1"/>
    <col min="7" max="7" width="14.6328125" style="3" customWidth="1"/>
    <col min="8" max="8" width="15.453125" style="3" customWidth="1"/>
    <col min="9" max="9" width="16.81640625" style="27" customWidth="1"/>
    <col min="10" max="10" width="8.453125" style="25" customWidth="1"/>
    <col min="11" max="11" width="7.81640625" style="4" customWidth="1"/>
    <col min="12" max="12" width="10.1796875" style="5" bestFit="1" customWidth="1"/>
    <col min="13" max="13" width="8.81640625" style="4" customWidth="1"/>
    <col min="14" max="14" width="12.1796875" style="4" customWidth="1"/>
    <col min="15" max="15" width="8.81640625" style="4" customWidth="1"/>
    <col min="16" max="16" width="11" style="4" customWidth="1"/>
    <col min="17" max="19" width="8.81640625" style="4" customWidth="1"/>
    <col min="20" max="20" width="6.453125" style="4" customWidth="1"/>
    <col min="21" max="21" width="8.81640625" style="4" hidden="1" bestFit="1" customWidth="1"/>
    <col min="22" max="249" width="8.81640625" style="4" customWidth="1"/>
    <col min="250" max="250" width="2.36328125" style="4" customWidth="1"/>
    <col min="251" max="251" width="8" style="4" customWidth="1"/>
    <col min="252" max="252" width="0" style="4" hidden="1"/>
    <col min="253" max="253" width="55" style="4" customWidth="1"/>
    <col min="254" max="16384" width="0" style="4" hidden="1"/>
  </cols>
  <sheetData>
    <row r="2" spans="1:12" ht="18" customHeight="1">
      <c r="B2" s="6" t="s">
        <v>0</v>
      </c>
      <c r="C2" s="7" t="s">
        <v>14</v>
      </c>
      <c r="D2" s="7"/>
      <c r="E2" s="8" t="s">
        <v>1</v>
      </c>
      <c r="F2" s="9"/>
      <c r="G2" s="9"/>
    </row>
    <row r="3" spans="1:12">
      <c r="A3" s="10"/>
      <c r="B3" s="6" t="s">
        <v>2</v>
      </c>
      <c r="C3" s="11" t="s">
        <v>13</v>
      </c>
      <c r="D3" s="11"/>
      <c r="E3" s="12" t="s">
        <v>2</v>
      </c>
      <c r="F3" s="11" t="s">
        <v>3</v>
      </c>
      <c r="G3" s="11"/>
      <c r="H3" s="10"/>
    </row>
    <row r="4" spans="1:12">
      <c r="A4" s="10"/>
      <c r="B4" s="12"/>
      <c r="C4" s="13"/>
      <c r="D4" s="13"/>
      <c r="E4" s="12" t="s">
        <v>4</v>
      </c>
      <c r="F4" s="44" t="s">
        <v>20</v>
      </c>
      <c r="G4" s="11"/>
      <c r="H4" s="10"/>
    </row>
    <row r="5" spans="1:12">
      <c r="A5" s="10"/>
      <c r="B5" s="12"/>
      <c r="C5" s="11"/>
      <c r="D5" s="11"/>
      <c r="E5" s="12"/>
      <c r="F5" s="14"/>
      <c r="G5" s="11"/>
      <c r="H5" s="10"/>
    </row>
    <row r="6" spans="1:12">
      <c r="A6" s="10"/>
      <c r="B6" s="59" t="s">
        <v>21</v>
      </c>
      <c r="C6" s="59"/>
      <c r="D6" s="59"/>
      <c r="E6" s="59"/>
      <c r="F6" s="59"/>
      <c r="G6" s="59"/>
      <c r="H6" s="59"/>
      <c r="I6" s="59"/>
      <c r="J6" s="21"/>
      <c r="K6" s="21"/>
    </row>
    <row r="7" spans="1:12" ht="17.5">
      <c r="B7" s="60" t="s">
        <v>48</v>
      </c>
      <c r="C7" s="60"/>
      <c r="D7" s="60"/>
      <c r="E7" s="60"/>
      <c r="F7" s="60"/>
      <c r="G7" s="60"/>
      <c r="H7" s="60"/>
      <c r="I7" s="60"/>
    </row>
    <row r="8" spans="1:12">
      <c r="B8" s="61" t="s">
        <v>22</v>
      </c>
      <c r="C8" s="61"/>
      <c r="D8" s="61"/>
      <c r="E8" s="61"/>
      <c r="F8" s="61"/>
      <c r="G8" s="61"/>
      <c r="H8" s="61"/>
      <c r="I8" s="61"/>
    </row>
    <row r="9" spans="1:12">
      <c r="A9" s="10"/>
      <c r="B9" s="15" t="s">
        <v>15</v>
      </c>
      <c r="C9" s="16"/>
      <c r="D9" s="16"/>
      <c r="E9" s="17"/>
      <c r="F9" s="17"/>
      <c r="G9" s="16"/>
      <c r="H9" s="17"/>
      <c r="L9" s="4"/>
    </row>
    <row r="10" spans="1:12" ht="12" customHeight="1" thickBot="1">
      <c r="B10" s="62"/>
      <c r="C10" s="62"/>
      <c r="D10" s="62"/>
      <c r="E10" s="62"/>
      <c r="F10" s="62"/>
      <c r="G10" s="62"/>
      <c r="H10" s="62"/>
      <c r="I10" s="62"/>
      <c r="L10" s="4"/>
    </row>
    <row r="11" spans="1:12" ht="33" customHeight="1">
      <c r="B11" s="30" t="s">
        <v>5</v>
      </c>
      <c r="C11" s="31" t="s">
        <v>6</v>
      </c>
      <c r="D11" s="31" t="s">
        <v>7</v>
      </c>
      <c r="E11" s="31" t="s">
        <v>8</v>
      </c>
      <c r="F11" s="31" t="s">
        <v>9</v>
      </c>
      <c r="G11" s="32" t="s">
        <v>10</v>
      </c>
      <c r="H11" s="32" t="s">
        <v>11</v>
      </c>
      <c r="I11" s="33" t="s">
        <v>12</v>
      </c>
      <c r="L11" s="24"/>
    </row>
    <row r="12" spans="1:12" ht="25" customHeight="1">
      <c r="A12" s="18"/>
      <c r="B12" s="34">
        <v>1</v>
      </c>
      <c r="C12" s="35" t="s">
        <v>23</v>
      </c>
      <c r="D12" s="36" t="s">
        <v>24</v>
      </c>
      <c r="E12" s="37" t="s">
        <v>17</v>
      </c>
      <c r="F12" s="38">
        <v>1</v>
      </c>
      <c r="G12" s="45">
        <v>150000</v>
      </c>
      <c r="H12" s="39">
        <f>G12*F12</f>
        <v>150000</v>
      </c>
      <c r="I12" s="40"/>
    </row>
    <row r="13" spans="1:12" ht="44" customHeight="1">
      <c r="A13" s="18"/>
      <c r="B13" s="34">
        <v>2</v>
      </c>
      <c r="C13" s="35" t="s">
        <v>25</v>
      </c>
      <c r="D13" s="36" t="s">
        <v>26</v>
      </c>
      <c r="E13" s="37" t="s">
        <v>31</v>
      </c>
      <c r="F13" s="38">
        <v>500</v>
      </c>
      <c r="G13" s="45">
        <v>22000</v>
      </c>
      <c r="H13" s="39">
        <f>G13*F13</f>
        <v>11000000</v>
      </c>
      <c r="I13" s="40" t="s">
        <v>46</v>
      </c>
    </row>
    <row r="14" spans="1:12" ht="44" customHeight="1">
      <c r="A14" s="18"/>
      <c r="B14" s="34">
        <v>3</v>
      </c>
      <c r="C14" s="35" t="s">
        <v>28</v>
      </c>
      <c r="D14" s="36" t="s">
        <v>50</v>
      </c>
      <c r="E14" s="37" t="s">
        <v>29</v>
      </c>
      <c r="F14" s="38">
        <v>20</v>
      </c>
      <c r="G14" s="45">
        <v>95000</v>
      </c>
      <c r="H14" s="39">
        <f>G14*F14</f>
        <v>1900000</v>
      </c>
      <c r="I14" s="40" t="s">
        <v>47</v>
      </c>
    </row>
    <row r="15" spans="1:12" ht="44" customHeight="1">
      <c r="A15" s="18"/>
      <c r="B15" s="34">
        <v>4</v>
      </c>
      <c r="C15" s="35" t="s">
        <v>30</v>
      </c>
      <c r="D15" s="36" t="s">
        <v>45</v>
      </c>
      <c r="E15" s="37" t="s">
        <v>27</v>
      </c>
      <c r="F15" s="38">
        <v>2</v>
      </c>
      <c r="G15" s="45">
        <v>150000</v>
      </c>
      <c r="H15" s="39">
        <f>G15*F15</f>
        <v>300000</v>
      </c>
      <c r="I15" s="40"/>
    </row>
    <row r="16" spans="1:12" ht="44" customHeight="1">
      <c r="A16" s="18"/>
      <c r="B16" s="34">
        <v>5</v>
      </c>
      <c r="C16" s="35" t="s">
        <v>33</v>
      </c>
      <c r="D16" s="36" t="s">
        <v>32</v>
      </c>
      <c r="E16" s="37" t="s">
        <v>17</v>
      </c>
      <c r="F16" s="38">
        <v>1</v>
      </c>
      <c r="G16" s="45">
        <f>2.5*2.5*650000</f>
        <v>4062500</v>
      </c>
      <c r="H16" s="39"/>
      <c r="I16" s="40" t="s">
        <v>34</v>
      </c>
      <c r="J16" s="25" t="s">
        <v>49</v>
      </c>
    </row>
    <row r="17" spans="1:12" ht="44" customHeight="1">
      <c r="A17" s="18"/>
      <c r="B17" s="34">
        <v>6</v>
      </c>
      <c r="C17" s="35" t="s">
        <v>36</v>
      </c>
      <c r="D17" s="36" t="s">
        <v>37</v>
      </c>
      <c r="E17" s="37" t="s">
        <v>17</v>
      </c>
      <c r="F17" s="38">
        <v>2</v>
      </c>
      <c r="G17" s="45">
        <v>2000000</v>
      </c>
      <c r="H17" s="39"/>
      <c r="I17" s="40"/>
    </row>
    <row r="18" spans="1:12" ht="44" customHeight="1">
      <c r="A18" s="18"/>
      <c r="B18" s="34">
        <v>7</v>
      </c>
      <c r="C18" s="35" t="s">
        <v>35</v>
      </c>
      <c r="D18" s="36" t="s">
        <v>38</v>
      </c>
      <c r="E18" s="37" t="s">
        <v>17</v>
      </c>
      <c r="F18" s="38">
        <v>1</v>
      </c>
      <c r="G18" s="45">
        <v>600000</v>
      </c>
      <c r="H18" s="39"/>
      <c r="I18" s="40" t="s">
        <v>39</v>
      </c>
    </row>
    <row r="19" spans="1:12" ht="44" customHeight="1">
      <c r="A19" s="18"/>
      <c r="B19" s="34">
        <v>8</v>
      </c>
      <c r="C19" s="35" t="s">
        <v>41</v>
      </c>
      <c r="D19" s="36" t="s">
        <v>40</v>
      </c>
      <c r="E19" s="37" t="s">
        <v>17</v>
      </c>
      <c r="F19" s="38">
        <v>1</v>
      </c>
      <c r="G19" s="45">
        <v>100000</v>
      </c>
      <c r="H19" s="39"/>
      <c r="I19" s="40" t="s">
        <v>42</v>
      </c>
    </row>
    <row r="20" spans="1:12" ht="31" customHeight="1">
      <c r="A20" s="18"/>
      <c r="B20" s="34">
        <v>9</v>
      </c>
      <c r="C20" s="35" t="s">
        <v>44</v>
      </c>
      <c r="D20" s="36"/>
      <c r="E20" s="37" t="s">
        <v>16</v>
      </c>
      <c r="F20" s="38">
        <v>1</v>
      </c>
      <c r="G20" s="45">
        <v>800000</v>
      </c>
      <c r="H20" s="39"/>
      <c r="I20" s="40"/>
    </row>
    <row r="21" spans="1:12" ht="30" customHeight="1" thickBot="1">
      <c r="A21" s="18"/>
      <c r="B21" s="28">
        <v>10</v>
      </c>
      <c r="C21" s="29" t="s">
        <v>43</v>
      </c>
      <c r="D21" s="46"/>
      <c r="E21" s="47" t="s">
        <v>16</v>
      </c>
      <c r="F21" s="48">
        <v>1</v>
      </c>
      <c r="G21" s="49">
        <v>1500000</v>
      </c>
      <c r="H21" s="50">
        <f>G21*F21</f>
        <v>1500000</v>
      </c>
      <c r="I21" s="51" t="s">
        <v>51</v>
      </c>
    </row>
    <row r="22" spans="1:12" s="1" customFormat="1" ht="22" customHeight="1">
      <c r="A22" s="19"/>
      <c r="B22" s="3"/>
      <c r="C22" s="3"/>
      <c r="D22" s="3"/>
      <c r="E22" s="3"/>
      <c r="F22" s="57"/>
      <c r="G22" s="58"/>
      <c r="H22" s="52">
        <f>SUM(H12:H21)</f>
        <v>14850000</v>
      </c>
      <c r="I22" s="27"/>
      <c r="J22" s="26"/>
      <c r="L22" s="22"/>
    </row>
    <row r="23" spans="1:12" ht="22" customHeight="1">
      <c r="A23" s="18"/>
      <c r="B23" s="20"/>
      <c r="F23" s="53" t="s">
        <v>18</v>
      </c>
      <c r="G23" s="54"/>
      <c r="H23" s="42">
        <f>H22*8%</f>
        <v>1188000</v>
      </c>
    </row>
    <row r="24" spans="1:12" s="2" customFormat="1" ht="22" customHeight="1" thickBot="1">
      <c r="A24" s="4"/>
      <c r="B24" s="3"/>
      <c r="C24" s="3"/>
      <c r="D24" s="3"/>
      <c r="E24" s="3"/>
      <c r="F24" s="55" t="s">
        <v>19</v>
      </c>
      <c r="G24" s="56"/>
      <c r="H24" s="41">
        <f>H22+H23</f>
        <v>16038000</v>
      </c>
      <c r="I24" s="27"/>
      <c r="J24" s="25"/>
      <c r="K24" s="4"/>
      <c r="L24" s="23"/>
    </row>
    <row r="25" spans="1:12" s="2" customFormat="1">
      <c r="A25" s="4"/>
      <c r="B25" s="3"/>
      <c r="C25" s="3"/>
      <c r="D25" s="3"/>
      <c r="E25" s="3"/>
      <c r="F25" s="43"/>
      <c r="G25" s="43"/>
      <c r="H25" s="43"/>
      <c r="I25" s="27"/>
      <c r="J25" s="25"/>
      <c r="K25" s="4"/>
      <c r="L25" s="23"/>
    </row>
    <row r="26" spans="1:12" s="2" customFormat="1">
      <c r="A26" s="3"/>
      <c r="B26" s="3"/>
      <c r="C26" s="3"/>
      <c r="D26" s="3"/>
      <c r="E26" s="3"/>
      <c r="F26" s="43"/>
      <c r="G26" s="43"/>
      <c r="H26" s="43"/>
      <c r="I26" s="27"/>
      <c r="J26" s="25"/>
      <c r="K26" s="4"/>
      <c r="L26" s="23"/>
    </row>
    <row r="27" spans="1:12" s="2" customFormat="1">
      <c r="A27" s="3"/>
      <c r="B27" s="3"/>
      <c r="C27" s="3"/>
      <c r="D27" s="3"/>
      <c r="E27" s="3"/>
      <c r="F27" s="43"/>
      <c r="G27" s="43"/>
      <c r="H27" s="43"/>
      <c r="I27" s="27"/>
      <c r="J27" s="25"/>
      <c r="K27" s="4"/>
      <c r="L27" s="23"/>
    </row>
    <row r="28" spans="1:12" s="2" customFormat="1">
      <c r="A28" s="3"/>
      <c r="B28" s="3"/>
      <c r="C28" s="3"/>
      <c r="D28" s="3"/>
      <c r="E28" s="3"/>
      <c r="F28" s="3"/>
      <c r="G28" s="3"/>
      <c r="H28" s="3"/>
      <c r="I28" s="27"/>
      <c r="J28" s="25"/>
      <c r="K28" s="4"/>
      <c r="L28" s="23"/>
    </row>
    <row r="29" spans="1:12" s="2" customFormat="1">
      <c r="A29" s="4"/>
      <c r="B29" s="3"/>
      <c r="C29" s="3"/>
      <c r="D29" s="3"/>
      <c r="E29" s="3"/>
      <c r="F29" s="3"/>
      <c r="G29" s="3"/>
      <c r="H29" s="3"/>
      <c r="I29" s="27"/>
      <c r="J29" s="25"/>
      <c r="K29" s="4"/>
      <c r="L29" s="23"/>
    </row>
    <row r="30" spans="1:12" s="2" customFormat="1">
      <c r="A30" s="4"/>
      <c r="B30" s="3"/>
      <c r="C30" s="3"/>
      <c r="D30" s="3"/>
      <c r="E30" s="3"/>
      <c r="F30" s="3"/>
      <c r="G30" s="3"/>
      <c r="H30" s="3"/>
      <c r="I30" s="27"/>
      <c r="J30" s="25"/>
      <c r="K30" s="4"/>
      <c r="L30" s="23"/>
    </row>
    <row r="31" spans="1:12" s="2" customFormat="1">
      <c r="A31" s="4"/>
      <c r="B31" s="3"/>
      <c r="C31" s="3"/>
      <c r="D31" s="3"/>
      <c r="E31" s="3"/>
      <c r="F31" s="3"/>
      <c r="G31" s="3"/>
      <c r="H31" s="3"/>
      <c r="I31" s="27"/>
      <c r="J31" s="25"/>
      <c r="K31" s="4"/>
      <c r="L31" s="23"/>
    </row>
    <row r="32" spans="1:12" s="2" customFormat="1">
      <c r="A32" s="4"/>
      <c r="B32" s="3"/>
      <c r="C32" s="3"/>
      <c r="D32" s="3"/>
      <c r="E32" s="3"/>
      <c r="F32" s="3"/>
      <c r="G32" s="3"/>
      <c r="H32" s="3"/>
      <c r="I32" s="27"/>
      <c r="J32" s="25"/>
      <c r="K32" s="4"/>
      <c r="L32" s="23"/>
    </row>
    <row r="33" spans="1:12" s="2" customFormat="1">
      <c r="A33" s="4"/>
      <c r="B33" s="3"/>
      <c r="C33" s="3"/>
      <c r="D33" s="3"/>
      <c r="E33" s="3"/>
      <c r="F33" s="3"/>
      <c r="G33" s="3"/>
      <c r="H33" s="3"/>
      <c r="I33" s="27"/>
      <c r="J33" s="25"/>
      <c r="K33" s="4"/>
      <c r="L33" s="23"/>
    </row>
  </sheetData>
  <mergeCells count="7">
    <mergeCell ref="F23:G23"/>
    <mergeCell ref="F24:G24"/>
    <mergeCell ref="F22:G22"/>
    <mergeCell ref="B6:I6"/>
    <mergeCell ref="B7:I7"/>
    <mergeCell ref="B8:I8"/>
    <mergeCell ref="B10:I10"/>
  </mergeCells>
  <pageMargins left="0.7" right="0.7" top="0.75" bottom="0.75" header="0.3" footer="0.3"/>
  <pageSetup paperSize="9" scale="55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0DAB15C8A8248A4BA6CC97C9AE157" ma:contentTypeVersion="13" ma:contentTypeDescription="Create a new document." ma:contentTypeScope="" ma:versionID="6cfdc5d5082dc3791ad70262c2e988d3">
  <xsd:schema xmlns:xsd="http://www.w3.org/2001/XMLSchema" xmlns:xs="http://www.w3.org/2001/XMLSchema" xmlns:p="http://schemas.microsoft.com/office/2006/metadata/properties" xmlns:ns2="cbedb530-a382-4b46-985b-b66cbc72a9de" xmlns:ns3="8a1cff5a-f867-43c2-b284-3de6d9a96492" targetNamespace="http://schemas.microsoft.com/office/2006/metadata/properties" ma:root="true" ma:fieldsID="94927a11d1ce4b49b75e12c724bbc6f6" ns2:_="" ns3:_="">
    <xsd:import namespace="cbedb530-a382-4b46-985b-b66cbc72a9de"/>
    <xsd:import namespace="8a1cff5a-f867-43c2-b284-3de6d9a96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db530-a382-4b46-985b-b66cbc72a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cff5a-f867-43c2-b284-3de6d9a9649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38548fb-cb78-47cb-9d4a-5667d4d127d6}" ma:internalName="TaxCatchAll" ma:showField="CatchAllData" ma:web="8a1cff5a-f867-43c2-b284-3de6d9a96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edb530-a382-4b46-985b-b66cbc72a9de">
      <Terms xmlns="http://schemas.microsoft.com/office/infopath/2007/PartnerControls"/>
    </lcf76f155ced4ddcb4097134ff3c332f>
    <TaxCatchAll xmlns="8a1cff5a-f867-43c2-b284-3de6d9a96492"/>
  </documentManagement>
</p:properties>
</file>

<file path=customXml/itemProps1.xml><?xml version="1.0" encoding="utf-8"?>
<ds:datastoreItem xmlns:ds="http://schemas.openxmlformats.org/officeDocument/2006/customXml" ds:itemID="{A9E4A444-6405-4F91-A334-A273BA4A22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DD1DA8-2392-45C1-BDAE-004444216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edb530-a382-4b46-985b-b66cbc72a9de"/>
    <ds:schemaRef ds:uri="8a1cff5a-f867-43c2-b284-3de6d9a96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2AFA91-B03A-41AA-8D4D-6F9FE21D2C6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2023-11-28T10:37:37Z</cp:lastPrinted>
  <dcterms:created xsi:type="dcterms:W3CDTF">2000-06-22T04:23:24Z</dcterms:created>
  <dcterms:modified xsi:type="dcterms:W3CDTF">2026-05-28T05:51:45Z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8FFCEDBC79C94C6386A1F41FEA312276</vt:lpwstr>
  </property>
  <property fmtid="{D5CDD505-2E9C-101B-9397-08002B2CF9AE}" pid="3" name="KSOProductBuildVer">
    <vt:lpwstr>1033-11.2.0.10351</vt:lpwstr>
  </property>
</Properties>
</file>