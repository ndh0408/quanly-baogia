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\Desktop\QuanLY\templates\"/>
    </mc:Choice>
  </mc:AlternateContent>
  <xr:revisionPtr revIDLastSave="0" documentId="8_{76D4C3EA-8C02-42FB-A7B4-FCEF2513FB74}" xr6:coauthVersionLast="47" xr6:coauthVersionMax="47" xr10:uidLastSave="{00000000-0000-0000-0000-000000000000}"/>
  <bookViews>
    <workbookView xWindow="2240" yWindow="2240" windowWidth="19200" windowHeight="11170" xr2:uid="{217BC85B-E6B8-4720-B391-0EFAFEA2E846}"/>
  </bookViews>
  <sheets>
    <sheet name="CLF " sheetId="7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\A">#REF!</definedName>
    <definedName name="\D">#REF!</definedName>
    <definedName name="\gfresgh" hidden="1">{#N/A,#N/A,FALSE,"sum";#N/A,#N/A,FALSE,"MARTV";#N/A,#N/A,FALSE,"APRTV"}</definedName>
    <definedName name="\I">#REF!</definedName>
    <definedName name="\J">#REF!</definedName>
    <definedName name="\P">#REF!</definedName>
    <definedName name="\T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EAU95">#REF!</definedName>
    <definedName name="_EJL95">#REF!</definedName>
    <definedName name="_ESE95">#REF!</definedName>
    <definedName name="_Fill" hidden="1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ort" hidden="1">#REF!</definedName>
    <definedName name="agstyhjt">[2]expenditure!#REF!</definedName>
    <definedName name="Apr">#REF!</definedName>
    <definedName name="ARJN95">[2]I!#REF!</definedName>
    <definedName name="aSC">#REF!</definedName>
    <definedName name="asdgadthrtj">#REF!</definedName>
    <definedName name="asgfwerg">[3]S!#REF!,[3]S!#REF!</definedName>
    <definedName name="Aug">#REF!</definedName>
    <definedName name="AWDVG" hidden="1">{#N/A,#N/A,FALSE,"sum";#N/A,#N/A,FALSE,"MARTV";#N/A,#N/A,FALSE,"APRTV"}</definedName>
    <definedName name="azwrhjny7i5l97" hidden="1">{#N/A,#N/A,FALSE,"sum";#N/A,#N/A,FALSE,"MARTV";#N/A,#N/A,FALSE,"APRTV"}</definedName>
    <definedName name="bangchu">#REF!</definedName>
    <definedName name="bengam">#REF!</definedName>
    <definedName name="benuoc">#REF!</definedName>
    <definedName name="BINH">#REF!</definedName>
    <definedName name="Blademan" hidden="1">{#N/A,#N/A,FALSE,"sum";#N/A,#N/A,FALSE,"MARTV";#N/A,#N/A,FALSE,"APRTV"}</definedName>
    <definedName name="cao">#REF!</definedName>
    <definedName name="CC3Q95">[2]expenditure!#REF!</definedName>
    <definedName name="CC4Q95">[2]expenditure!#REF!</definedName>
    <definedName name="cd">#REF!</definedName>
    <definedName name="CD3Q95">[2]expenditure!#REF!</definedName>
    <definedName name="CD4Q95">[2]expenditure!#REF!</definedName>
    <definedName name="Channels">[4]Lists!$A$1:$A$17</definedName>
    <definedName name="CO">[5]DATA!$I$12:$I$318</definedName>
    <definedName name="coc">#REF!</definedName>
    <definedName name="cocbtct">#REF!</definedName>
    <definedName name="cock">#REF!</definedName>
    <definedName name="cocot">#REF!</definedName>
    <definedName name="cocott">#REF!</definedName>
    <definedName name="comong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no">#REF!</definedName>
    <definedName name="congpanen">#REF!</definedName>
    <definedName name="congsan">#REF!</definedName>
    <definedName name="congthang">#REF!</definedName>
    <definedName name="cottron">#REF!</definedName>
    <definedName name="cotvuong">#REF!</definedName>
    <definedName name="CT3Q95">[2]expenditure!#REF!</definedName>
    <definedName name="dam">#REF!</definedName>
    <definedName name="danducsan">#REF!</definedName>
    <definedName name="_xlnm.Database" hidden="1">#REF!</definedName>
    <definedName name="DC">[6]DC!$A$1:$D$395</definedName>
    <definedName name="Dec">#REF!</definedName>
    <definedName name="dfbgf">#REF!</definedName>
    <definedName name="dfdfas" hidden="1">{#N/A,#N/A,FALSE,"sum";#N/A,#N/A,FALSE,"MARTV";#N/A,#N/A,FALSE,"APRTV"}</definedName>
    <definedName name="dfjhfkg" hidden="1">{#N/A,#N/A,FALSE,"sum";#N/A,#N/A,FALSE,"MARTV";#N/A,#N/A,FALSE,"APRTV"}</definedName>
    <definedName name="dientichck">#REF!</definedName>
    <definedName name="Discount">'[7]Rate-Card-04'!$W$6:$AF$7</definedName>
    <definedName name="DL50SEC">#REF!</definedName>
    <definedName name="DL50SEC_5">#REF!</definedName>
    <definedName name="DLSCM15">#REF!</definedName>
    <definedName name="DLSCM15_5">#REF!</definedName>
    <definedName name="DLSCM30">#REF!</definedName>
    <definedName name="DLSCM30_5">#REF!</definedName>
    <definedName name="DLSCM40">#REF!</definedName>
    <definedName name="DLSCM40_5">#REF!</definedName>
    <definedName name="DLUHT">#REF!</definedName>
    <definedName name="DLUHT_5">#REF!</definedName>
    <definedName name="DLUHT30">#REF!</definedName>
    <definedName name="DLUHT40">#REF!</definedName>
    <definedName name="dnjret" hidden="1">{#N/A,#N/A,FALSE,"sum";#N/A,#N/A,FALSE,"MARTV";#N/A,#N/A,FALSE,"APRTV"}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cumentYear">'[8]#REF'!#REF!</definedName>
    <definedName name="dsds" hidden="1">{#N/A,#N/A,FALSE,"sum";#N/A,#N/A,FALSE,"MARTV";#N/A,#N/A,FALSE,"APRTV"}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eatfgbhrgb">#REF!</definedName>
    <definedName name="ecpn">#REF!</definedName>
    <definedName name="EDAU95">#REF!</definedName>
    <definedName name="edjl95">#REF!</definedName>
    <definedName name="EDSE95">#REF!</definedName>
    <definedName name="Est">'[9]Cover Estimator'!$C$10</definedName>
    <definedName name="fb" hidden="1">{#N/A,#N/A,FALSE,"sum";#N/A,#N/A,FALSE,"MARTV";#N/A,#N/A,FALSE,"APRTV"}</definedName>
    <definedName name="fdfdsd" hidden="1">{#N/A,#N/A,FALSE,"sum";#N/A,#N/A,FALSE,"MARTV";#N/A,#N/A,FALSE,"APRTV"}</definedName>
    <definedName name="feb">#REF!</definedName>
    <definedName name="FLEX">[10]data!#REF!</definedName>
    <definedName name="FLO1Q96">#REF!</definedName>
    <definedName name="FLO2Q96">#REF!</definedName>
    <definedName name="FLO3Q96">#REF!</definedName>
    <definedName name="FLO4Q95">#REF!</definedName>
    <definedName name="FLO4Q96">#REF!</definedName>
    <definedName name="FLOAU95">#REF!</definedName>
    <definedName name="FLOJL95">#REF!</definedName>
    <definedName name="FLOJN95">#REF!</definedName>
    <definedName name="FLOSE95">#REF!</definedName>
    <definedName name="fnghx">[11]Ratecard!$AG$5</definedName>
    <definedName name="frawerh">#REF!</definedName>
    <definedName name="gfg">#REF!</definedName>
    <definedName name="GOC_NGAY">[5]DATA!#REF!</definedName>
    <definedName name="GOC_SO">[5]DATA!#REF!</definedName>
    <definedName name="GOC_TENHANG">[5]DATA!#REF!</definedName>
    <definedName name="GOC_TIENHANG">[5]DATA!#REF!</definedName>
    <definedName name="Grad">'[9]Cover Estimator'!$C$7</definedName>
    <definedName name="IAR1Q96">[2]I!#REF!</definedName>
    <definedName name="IAR2Q96">[2]I!#REF!</definedName>
    <definedName name="IAR3Q95">[2]I!#REF!</definedName>
    <definedName name="IAR3Q96">[2]I!#REF!</definedName>
    <definedName name="IAR4Q95">[2]I!#REF!</definedName>
    <definedName name="IAR4Q96">[2]I!#REF!</definedName>
    <definedName name="IARJN95">[2]I!#REF!</definedName>
    <definedName name="Info">[11]Ratecard!$A$7:$AG$451</definedName>
    <definedName name="Input">'[9]Cover Estimator'!$A$11</definedName>
    <definedName name="INV3Q95">[2]I!#REF!</definedName>
    <definedName name="INV4Q95">[2]I!#REF!</definedName>
    <definedName name="IPP3Q95">[2]I!#REF!</definedName>
    <definedName name="IPP4Q95">[2]I!#REF!</definedName>
    <definedName name="IV16384\">#REF!</definedName>
    <definedName name="jan">#REF!</definedName>
    <definedName name="jhlhyioh" hidden="1">{#N/A,#N/A,FALSE,"sum";#N/A,#N/A,FALSE,"MARTV";#N/A,#N/A,FALSE,"APRTV"}</definedName>
    <definedName name="Jul">#REF!</definedName>
    <definedName name="Jun">#REF!</definedName>
    <definedName name="KCSCM">#REF!</definedName>
    <definedName name="KCSCM_5">#REF!</definedName>
    <definedName name="lanhto">#REF!</definedName>
    <definedName name="LAO1Q96">#REF!</definedName>
    <definedName name="LAO2Q96">#REF!</definedName>
    <definedName name="LAO3Q96">#REF!</definedName>
    <definedName name="LAO4Q95">#REF!</definedName>
    <definedName name="LAO4Q96">#REF!</definedName>
    <definedName name="LAOAU95">#REF!</definedName>
    <definedName name="LAOJL95">#REF!</definedName>
    <definedName name="LAOJN95">#REF!</definedName>
    <definedName name="LAOSE95">#REF!</definedName>
    <definedName name="LCODE">[3]S!#REF!</definedName>
    <definedName name="Limit">'[9]Cover Estimator'!$C$8</definedName>
    <definedName name="link_cd">#REF!</definedName>
    <definedName name="LOTG" hidden="1">{#N/A,#N/A,FALSE,"sum";#N/A,#N/A,FALSE,"MARTV";#N/A,#N/A,FALSE,"APRTV"}</definedName>
    <definedName name="lsdrjhnopjy5io">#REF!</definedName>
    <definedName name="MACN">#REF!</definedName>
    <definedName name="MACO">[5]DATA!$L$12:$L$318</definedName>
    <definedName name="MajorHeader">'[8]#REF'!#REF!</definedName>
    <definedName name="MANO">[5]DATA!$K$12:$K$318</definedName>
    <definedName name="mar">#REF!</definedName>
    <definedName name="may">#REF!</definedName>
    <definedName name="MENG1Q96">#REF!</definedName>
    <definedName name="MENG2Q96">#REF!</definedName>
    <definedName name="MENG3Q95">#REF!</definedName>
    <definedName name="MENG3Q96">#REF!</definedName>
    <definedName name="MENG4Q95">#REF!</definedName>
    <definedName name="MENG4Q96">#REF!</definedName>
    <definedName name="MENGAU95">#REF!</definedName>
    <definedName name="MENGJL95">#REF!</definedName>
    <definedName name="MENGJN95">#REF!</definedName>
    <definedName name="MENGSE95">#REF!</definedName>
    <definedName name="MEQU1Q96">#REF!</definedName>
    <definedName name="MEQU2Q96">#REF!</definedName>
    <definedName name="MEQU3Q95">#REF!</definedName>
    <definedName name="MEQU3Q96">#REF!</definedName>
    <definedName name="MEQU4Q95">#REF!</definedName>
    <definedName name="MEQU4Q96">#REF!</definedName>
    <definedName name="MEQUAU95">#REF!</definedName>
    <definedName name="MEQUJL95">#REF!</definedName>
    <definedName name="MEQUJN95">#REF!</definedName>
    <definedName name="MEQUSE95">#REF!</definedName>
    <definedName name="MFLO1Q96">#REF!</definedName>
    <definedName name="MFLO2Q96">#REF!</definedName>
    <definedName name="MFLO3Q96">#REF!</definedName>
    <definedName name="MFLO4Q95">#REF!</definedName>
    <definedName name="MFLO4Q96">#REF!</definedName>
    <definedName name="MFLOAU95">#REF!</definedName>
    <definedName name="MFLOJL95">#REF!</definedName>
    <definedName name="MFLOJN95">#REF!</definedName>
    <definedName name="MFLOSE95">#REF!</definedName>
    <definedName name="MFLU1Q96">#REF!</definedName>
    <definedName name="MFLU2Q96">#REF!</definedName>
    <definedName name="MFLU3Q95">#REF!</definedName>
    <definedName name="MFLU3Q96">#REF!</definedName>
    <definedName name="MFLU4Q95">#REF!</definedName>
    <definedName name="MFLU4Q96">#REF!</definedName>
    <definedName name="MFLUAU95">#REF!</definedName>
    <definedName name="MFLUJL95">#REF!</definedName>
    <definedName name="MFLUJN95">#REF!</definedName>
    <definedName name="MFLUSE95">#REF!</definedName>
    <definedName name="MLAO1Q96">#REF!</definedName>
    <definedName name="MLAO2Q96">#REF!</definedName>
    <definedName name="MLAO3Q96">#REF!</definedName>
    <definedName name="MLAO4Q95">#REF!</definedName>
    <definedName name="MLAO4Q96">#REF!</definedName>
    <definedName name="MLAOAU95">#REF!</definedName>
    <definedName name="MLAOJL95">#REF!</definedName>
    <definedName name="MLAOJN95">#REF!</definedName>
    <definedName name="MLAOSE95">#REF!</definedName>
    <definedName name="MMENG1Q96">#REF!</definedName>
    <definedName name="MMENG2Q96">#REF!</definedName>
    <definedName name="MMENG3Q95">#REF!</definedName>
    <definedName name="MMENG3Q96">#REF!</definedName>
    <definedName name="MMENG4Q95">#REF!</definedName>
    <definedName name="MMENG4Q96">#REF!</definedName>
    <definedName name="MMENGAU95">#REF!</definedName>
    <definedName name="MMENGJL95">#REF!</definedName>
    <definedName name="MMENGJN95">#REF!</definedName>
    <definedName name="MMENGSE95">#REF!</definedName>
    <definedName name="MMEQU1Q96">#REF!</definedName>
    <definedName name="MMEQU2Q96">#REF!</definedName>
    <definedName name="MMEQU3Q95">#REF!</definedName>
    <definedName name="MMEQU3Q96">#REF!</definedName>
    <definedName name="MMEQU4Q95">#REF!</definedName>
    <definedName name="MMEQU4Q96">#REF!</definedName>
    <definedName name="MMEQUAU95">#REF!</definedName>
    <definedName name="MMEQUJL95">#REF!</definedName>
    <definedName name="MMEQUJN95">#REF!</definedName>
    <definedName name="MMEQUSE95">#REF!</definedName>
    <definedName name="MMFLU1Q96">#REF!</definedName>
    <definedName name="MMFLU2Q96">#REF!</definedName>
    <definedName name="MMFLU3Q95">#REF!</definedName>
    <definedName name="MMFLU3Q96">#REF!</definedName>
    <definedName name="MMFLU4Q95">#REF!</definedName>
    <definedName name="MMFLU4Q96">#REF!</definedName>
    <definedName name="MMFLUAU95">#REF!</definedName>
    <definedName name="MMFLUJL95">#REF!</definedName>
    <definedName name="MMFLUJN95">#REF!</definedName>
    <definedName name="MMFLUSE95">#REF!</definedName>
    <definedName name="MMOTH1Q96">#REF!</definedName>
    <definedName name="MMOTH2Q96">#REF!</definedName>
    <definedName name="MMOTH3Q95">#REF!</definedName>
    <definedName name="MMOTH3Q96">#REF!</definedName>
    <definedName name="MMOTH4Q95">#REF!</definedName>
    <definedName name="MMOTH4Q96">#REF!</definedName>
    <definedName name="MMOTHAU95">#REF!</definedName>
    <definedName name="MMOTHJL95">#REF!</definedName>
    <definedName name="MMOTHJN95">#REF!</definedName>
    <definedName name="MMOTHSE95">#REF!</definedName>
    <definedName name="MMPRO1Q96">#REF!</definedName>
    <definedName name="MMPRO2Q96">#REF!</definedName>
    <definedName name="MMPRO3Q95">#REF!</definedName>
    <definedName name="MMPRO3Q96">#REF!</definedName>
    <definedName name="MMPRO4Q95">#REF!</definedName>
    <definedName name="MMPRO4Q96">#REF!</definedName>
    <definedName name="MMPROAU95">#REF!</definedName>
    <definedName name="MMPROJL95">#REF!</definedName>
    <definedName name="MMPROJN95">#REF!</definedName>
    <definedName name="MMPROSE95">#REF!</definedName>
    <definedName name="MMTRA1Q96">#REF!</definedName>
    <definedName name="MMTRA2Q96">#REF!</definedName>
    <definedName name="MMTRA3Q95">#REF!</definedName>
    <definedName name="MMTRA3Q96">#REF!</definedName>
    <definedName name="MMTRA4Q95">#REF!</definedName>
    <definedName name="MMTRA4Q96">#REF!</definedName>
    <definedName name="MMTRAAU95">#REF!</definedName>
    <definedName name="MMTRAJL95">#REF!</definedName>
    <definedName name="MMTRAJN95">#REF!</definedName>
    <definedName name="MMTRASE95">#REF!</definedName>
    <definedName name="mongbang">#REF!</definedName>
    <definedName name="mongdon">#REF!</definedName>
    <definedName name="MOTH1Q96">#REF!</definedName>
    <definedName name="MOTH2Q96">#REF!</definedName>
    <definedName name="MOTH3Q95">#REF!</definedName>
    <definedName name="MOTH3Q96">#REF!</definedName>
    <definedName name="MOTH4Q95">#REF!</definedName>
    <definedName name="MOTH4Q96">#REF!</definedName>
    <definedName name="MOTHAU95">#REF!</definedName>
    <definedName name="MOTHJL95">#REF!</definedName>
    <definedName name="MOTHJN95">#REF!</definedName>
    <definedName name="MOTHSE95">#REF!</definedName>
    <definedName name="MPAO1Q96">#REF!</definedName>
    <definedName name="MPAO2Q96">#REF!</definedName>
    <definedName name="MPAO3Q96">#REF!</definedName>
    <definedName name="MPAO4Q95">#REF!</definedName>
    <definedName name="MPAO4Q96">#REF!</definedName>
    <definedName name="MPAOAU95">#REF!</definedName>
    <definedName name="MPAOJL95">#REF!</definedName>
    <definedName name="MPAOJN95">#REF!</definedName>
    <definedName name="MPAOSE95">#REF!</definedName>
    <definedName name="MPRO1Q96">#REF!</definedName>
    <definedName name="MPRO2Q96">#REF!</definedName>
    <definedName name="MPRO3Q95">#REF!</definedName>
    <definedName name="MPRO3Q96">#REF!</definedName>
    <definedName name="MPRO4Q95">#REF!</definedName>
    <definedName name="MPRO4Q96">#REF!</definedName>
    <definedName name="MPROAU95">#REF!</definedName>
    <definedName name="MPROJL95">#REF!</definedName>
    <definedName name="MPROJN95">#REF!</definedName>
    <definedName name="MPROSE95">#REF!</definedName>
    <definedName name="MSYN1Q96">#REF!</definedName>
    <definedName name="MSYN2Q96">#REF!</definedName>
    <definedName name="MSYN3Q96">#REF!</definedName>
    <definedName name="MSYN4Q95">#REF!</definedName>
    <definedName name="MSYN4Q96">#REF!</definedName>
    <definedName name="MSYNAU95">#REF!</definedName>
    <definedName name="MSYNJL95">#REF!</definedName>
    <definedName name="MSYNJN95">#REF!</definedName>
    <definedName name="MSYNSE95">#REF!</definedName>
    <definedName name="MTHPLAN">#REF!</definedName>
    <definedName name="MTRA1Q96">#REF!</definedName>
    <definedName name="MTRA2Q96">#REF!</definedName>
    <definedName name="MTRA3Q95">#REF!</definedName>
    <definedName name="MTRA3Q96">#REF!</definedName>
    <definedName name="MTRA4Q95">#REF!</definedName>
    <definedName name="MTRA4Q96">#REF!</definedName>
    <definedName name="MTRAAU95">#REF!</definedName>
    <definedName name="MTRAJL95">#REF!</definedName>
    <definedName name="MTRAJN95">#REF!</definedName>
    <definedName name="MTRASE95">#REF!</definedName>
    <definedName name="MWELL95">#REF!</definedName>
    <definedName name="MWELL96">#REF!</definedName>
    <definedName name="NAME">#REF!</definedName>
    <definedName name="NET_PDT">[3]S!#REF!,[3]S!#REF!</definedName>
    <definedName name="NET_PDT16">[3]S!#REF!,[3]S!#REF!</definedName>
    <definedName name="NET_PDT26">[3]S!#REF!,[3]S!#REF!</definedName>
    <definedName name="NET_PDT35">[3]S!#REF!,[3]S!#REF!</definedName>
    <definedName name="NET_PDT36">[3]S!#REF!,[3]S!#REF!</definedName>
    <definedName name="NET_PDT45">[3]S!#REF!,[3]S!#REF!</definedName>
    <definedName name="NET_PDT46">[3]S!#REF!,[3]S!#REF!</definedName>
    <definedName name="NET_PDT55">[3]S!#REF!,[3]S!#REF!</definedName>
    <definedName name="NET_PDT56">[3]S!$Q$18:$Q$24,[3]S!$Q$27</definedName>
    <definedName name="NET_PDT66">[3]S!$R$18:$R$24,[3]S!$R$27</definedName>
    <definedName name="nkmjk" hidden="1">{#N/A,#N/A,FALSE,"sum";#N/A,#N/A,FALSE,"MARTV";#N/A,#N/A,FALSE,"APRTV"}</definedName>
    <definedName name="NL01_InKTS_nganhang">#REF!</definedName>
    <definedName name="NO">[5]DATA!$H$12:$H$318</definedName>
    <definedName name="nock">#REF!</definedName>
    <definedName name="Nov">#REF!</definedName>
    <definedName name="object">#REF!</definedName>
    <definedName name="Oct">#REF!</definedName>
    <definedName name="ojec">#REF!</definedName>
    <definedName name="OneTwoThree">#REF!</definedName>
    <definedName name="OneTwoThree_5">#REF!</definedName>
    <definedName name="Online" hidden="1">{#N/A,#N/A,FALSE,"sum";#N/A,#N/A,FALSE,"MARTV";#N/A,#N/A,FALSE,"APRTV"}</definedName>
    <definedName name="PAGE1">'[3]MI2A-A:MI3'!$A$1:$N$58</definedName>
    <definedName name="PAGE2">#REF!</definedName>
    <definedName name="PAGE3">'[3]MI3:MI20(1)'!$A$1:$I$41</definedName>
    <definedName name="PAGE4">#REF!</definedName>
    <definedName name="PAGE5">#REF!</definedName>
    <definedName name="PAGE6">#REF!</definedName>
    <definedName name="PAGE7">#REF!</definedName>
    <definedName name="panen">#REF!</definedName>
    <definedName name="PAO1Q96">#REF!</definedName>
    <definedName name="PAO2Q96">#REF!</definedName>
    <definedName name="PAO3Q96">#REF!</definedName>
    <definedName name="PAO4Q95">#REF!</definedName>
    <definedName name="PAO4Q96">#REF!</definedName>
    <definedName name="PAOAU95">#REF!</definedName>
    <definedName name="PAOJL95">#REF!</definedName>
    <definedName name="PAOJN95">#REF!</definedName>
    <definedName name="PAOSE95">#REF!</definedName>
    <definedName name="_xlnm.Print_Area">#REF!</definedName>
    <definedName name="PRINT_AREA_MI">#REF!</definedName>
    <definedName name="PS">[5]DATA!$J$12:$J$318</definedName>
    <definedName name="q">#REF!</definedName>
    <definedName name="QQWQFG">#REF!</definedName>
    <definedName name="qw" hidden="1">{#N/A,#N/A,FALSE,"sum";#N/A,#N/A,FALSE,"MARTV";#N/A,#N/A,FALSE,"APRTV"}</definedName>
    <definedName name="qwd" hidden="1">{#N/A,#N/A,FALSE,"sum";#N/A,#N/A,FALSE,"MARTV";#N/A,#N/A,FALSE,"APRTV"}</definedName>
    <definedName name="qwdEF" hidden="1">{#N/A,#N/A,FALSE,"sum";#N/A,#N/A,FALSE,"MARTV";#N/A,#N/A,FALSE,"APRTV"}</definedName>
    <definedName name="qwe">#REF!</definedName>
    <definedName name="rate10">#REF!</definedName>
    <definedName name="Rate2004Print">'[7]Rate-Card-04'!$A$6:$AP$116</definedName>
    <definedName name="Ratecard">[11]Ratecard!$K$7:$P$451</definedName>
    <definedName name="rateù0">#REF!</definedName>
    <definedName name="rere" hidden="1">{#N/A,#N/A,FALSE,"sum";#N/A,#N/A,FALSE,"MARTV";#N/A,#N/A,FALSE,"APRTV"}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[11]Ratecard!$AG$5</definedName>
    <definedName name="san">#REF!</definedName>
    <definedName name="sccr">#REF!</definedName>
    <definedName name="scdt">#REF!</definedName>
    <definedName name="SDF" hidden="1">{#N/A,#N/A,FALSE,"sum";#N/A,#N/A,FALSE,"MARTV";#N/A,#N/A,FALSE,"APRTV"}</definedName>
    <definedName name="sdfdsf">#REF!</definedName>
    <definedName name="Sep">#REF!</definedName>
    <definedName name="sfagasertuyjhrt6">#REF!</definedName>
    <definedName name="sGB" hidden="1">{#N/A,#N/A,FALSE,"sum";#N/A,#N/A,FALSE,"MARTV";#N/A,#N/A,FALSE,"APRTV"}</definedName>
    <definedName name="Size">'[7]Rate-Card-04'!$F$5:$V$7</definedName>
    <definedName name="slg">#REF!</definedName>
    <definedName name="sm">#REF!</definedName>
    <definedName name="sqacf" hidden="1">{#N/A,#N/A,FALSE,"sum";#N/A,#N/A,FALSE,"MARTV";#N/A,#N/A,FALSE,"APRTV"}</definedName>
    <definedName name="SUM_VND_SPARE">#REF!</definedName>
    <definedName name="SYN1Q96">#REF!</definedName>
    <definedName name="SYN2Q96">#REF!</definedName>
    <definedName name="SYN3Q96">#REF!</definedName>
    <definedName name="SYN4Q95">#REF!</definedName>
    <definedName name="SYN4Q96">#REF!</definedName>
    <definedName name="SYNAU95">#REF!</definedName>
    <definedName name="SYNJL95">#REF!</definedName>
    <definedName name="SYNJN95">#REF!</definedName>
    <definedName name="SYNSE95">#REF!</definedName>
    <definedName name="TA07_Bang_Doimoitungngay">#REF!</definedName>
    <definedName name="Table1">[7]BRAND!$B$6:$F$53</definedName>
    <definedName name="Tangled">#REF!</definedName>
    <definedName name="TEMP">#REF!</definedName>
    <definedName name="tenck">#REF!</definedName>
    <definedName name="TENG1Q96">#REF!</definedName>
    <definedName name="TENG2Q96">#REF!</definedName>
    <definedName name="TENG3Q95">#REF!</definedName>
    <definedName name="TENG3Q96">#REF!</definedName>
    <definedName name="TENG4Q95">#REF!</definedName>
    <definedName name="TENG4Q96">#REF!</definedName>
    <definedName name="TENGAU95">#REF!</definedName>
    <definedName name="TENGJL95">#REF!</definedName>
    <definedName name="TENGJN95">#REF!</definedName>
    <definedName name="TENGSE95">#REF!</definedName>
    <definedName name="TEQU1Q96">#REF!</definedName>
    <definedName name="TEQU2Q96">#REF!</definedName>
    <definedName name="TEQU3Q95">#REF!</definedName>
    <definedName name="TEQU3Q96">#REF!</definedName>
    <definedName name="TEQU4Q95">#REF!</definedName>
    <definedName name="TEQU4Q96">#REF!</definedName>
    <definedName name="TEQUAU95">#REF!</definedName>
    <definedName name="TEQUJL95">#REF!</definedName>
    <definedName name="TEQUJN95">#REF!</definedName>
    <definedName name="TEQUSE95">#REF!</definedName>
    <definedName name="TFLU1Q96">#REF!</definedName>
    <definedName name="TFLU2Q96">#REF!</definedName>
    <definedName name="TFLU3Q95">#REF!</definedName>
    <definedName name="TFLU3Q96">#REF!</definedName>
    <definedName name="TFLU4Q95">#REF!</definedName>
    <definedName name="TFLU4Q96">#REF!</definedName>
    <definedName name="TFLUAU95">#REF!</definedName>
    <definedName name="TFLUJL95">#REF!</definedName>
    <definedName name="TFLUJN95">#REF!</definedName>
    <definedName name="TFLUSE95">#REF!</definedName>
    <definedName name="thang">#REF!</definedName>
    <definedName name="thanhtien">#REF!</definedName>
    <definedName name="thepban">#REF!</definedName>
    <definedName name="thetichck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O_HANGVAO">[5]MUAVAO!#REF!</definedName>
    <definedName name="TO_THUEVAO">#REF!</definedName>
    <definedName name="tongbt">#REF!</definedName>
    <definedName name="tongcong">#REF!</definedName>
    <definedName name="tongdientich">#REF!</definedName>
    <definedName name="tongthep">#REF!</definedName>
    <definedName name="tongthetich">#REF!</definedName>
    <definedName name="tongvao">#REF!</definedName>
    <definedName name="TOTH1Q96">#REF!</definedName>
    <definedName name="TOTH2Q96">#REF!</definedName>
    <definedName name="TOTH3Q95">#REF!</definedName>
    <definedName name="TOTH3Q96">#REF!</definedName>
    <definedName name="TOTH4Q95">#REF!</definedName>
    <definedName name="TOTH4Q96">#REF!</definedName>
    <definedName name="TOTHAU95">#REF!</definedName>
    <definedName name="TOTHJL95">#REF!</definedName>
    <definedName name="TOTHJN95">#REF!</definedName>
    <definedName name="TOTHSE95">#REF!</definedName>
    <definedName name="TPRO1Q96">#REF!</definedName>
    <definedName name="TPRO2Q96">#REF!</definedName>
    <definedName name="TPRO3Q95">#REF!</definedName>
    <definedName name="TPRO3Q96">#REF!</definedName>
    <definedName name="TPRO4Q95">#REF!</definedName>
    <definedName name="TPRO4Q96">#REF!</definedName>
    <definedName name="TPROAU95">#REF!</definedName>
    <definedName name="TPROJL95">#REF!</definedName>
    <definedName name="TPROJN95">#REF!</definedName>
    <definedName name="TPROSE95">#REF!</definedName>
    <definedName name="trt" hidden="1">{#N/A,#N/A,FALSE,"sum";#N/A,#N/A,FALSE,"MARTV";#N/A,#N/A,FALSE,"APRTV"}</definedName>
    <definedName name="TSSCM">#REF!</definedName>
    <definedName name="TSSCM_5">#REF!</definedName>
    <definedName name="TTRA1Q96">#REF!</definedName>
    <definedName name="TTRA2Q96">#REF!</definedName>
    <definedName name="TTRA3Q95">#REF!</definedName>
    <definedName name="TTRA3Q96">#REF!</definedName>
    <definedName name="TTRA4Q95">#REF!</definedName>
    <definedName name="TTRA4Q96">#REF!</definedName>
    <definedName name="TTRAAU95">#REF!</definedName>
    <definedName name="TTRAJL95">#REF!</definedName>
    <definedName name="TTRAJN95">#REF!</definedName>
    <definedName name="TTRASE95">#REF!</definedName>
    <definedName name="Ttruc01_thiep2004">#REF!</definedName>
    <definedName name="TV0997_TV0997_List">#REF!</definedName>
    <definedName name="TWELL95">#REF!</definedName>
    <definedName name="TWELL96">#REF!</definedName>
    <definedName name="uiui">#REF!</definedName>
    <definedName name="WeekNumbers">'[8]#REF'!#REF!</definedName>
    <definedName name="weqw">[13]P3!#REF!</definedName>
    <definedName name="werwr">#REF!</definedName>
    <definedName name="WQGVWET35YHJ" hidden="1">{#N/A,#N/A,FALSE,"sum";#N/A,#N/A,FALSE,"MARTV";#N/A,#N/A,FALSE,"APRTV"}</definedName>
    <definedName name="wrgftqw" hidden="1">{#N/A,#N/A,FALSE,"sum";#N/A,#N/A,FALSE,"MARTV";#N/A,#N/A,FALSE,"APRTV"}</definedName>
    <definedName name="wrn.BAOCAO." hidden="1">{#N/A,#N/A,FALSE,"sum";#N/A,#N/A,FALSE,"MARTV";#N/A,#N/A,FALSE,"APRTV"}</definedName>
    <definedName name="wtaehashb">#REF!</definedName>
    <definedName name="xgfjdtyj">#REF!</definedName>
    <definedName name="xgs">#REF!</definedName>
    <definedName name="Yomost">#REF!</definedName>
    <definedName name="Yomost_5">#REF!</definedName>
    <definedName name="전">#REF!</definedName>
    <definedName name="주택사업본부">#REF!</definedName>
    <definedName name="철구사업본부">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1" i="71" l="1"/>
  <c r="H11" i="71"/>
  <c r="G12" i="71"/>
  <c r="H12" i="71"/>
  <c r="G8" i="71"/>
  <c r="H8" i="71"/>
  <c r="H9" i="71"/>
  <c r="F10" i="71"/>
  <c r="H10" i="71"/>
  <c r="F7" i="71"/>
  <c r="H7" i="71"/>
  <c r="H6" i="71"/>
  <c r="H13" i="71"/>
  <c r="H14" i="71"/>
  <c r="H15" i="71"/>
</calcChain>
</file>

<file path=xl/sharedStrings.xml><?xml version="1.0" encoding="utf-8"?>
<sst xmlns="http://schemas.openxmlformats.org/spreadsheetml/2006/main" count="40" uniqueCount="36">
  <si>
    <t>STT</t>
  </si>
  <si>
    <t>Hạng Mục</t>
  </si>
  <si>
    <t>Chi Tiết</t>
  </si>
  <si>
    <t>ĐVT</t>
  </si>
  <si>
    <t>SỐ LƯỢNG</t>
  </si>
  <si>
    <t>Tổng Cộng</t>
  </si>
  <si>
    <t>VAT(8%)</t>
  </si>
  <si>
    <t>Thành Tiền</t>
  </si>
  <si>
    <t>bộ</t>
  </si>
  <si>
    <t>Khu Vực Check In</t>
  </si>
  <si>
    <t>m2</t>
  </si>
  <si>
    <t>Booth cụm Typo</t>
  </si>
  <si>
    <r>
      <rPr>
        <b/>
        <i/>
        <sz val="10"/>
        <rFont val="Times New Roman"/>
        <family val="1"/>
      </rPr>
      <t xml:space="preserve">Backdrop: </t>
    </r>
    <r>
      <rPr>
        <i/>
        <sz val="10"/>
        <rFont val="Times New Roman"/>
        <family val="1"/>
      </rPr>
      <t xml:space="preserve">
. KT: 14mW x 5mH
. Khung xương sắt căng hiflex</t>
    </r>
  </si>
  <si>
    <t>Sân Khấu</t>
  </si>
  <si>
    <r>
      <rPr>
        <b/>
        <i/>
        <sz val="10"/>
        <rFont val="Times New Roman"/>
        <family val="1"/>
      </rPr>
      <t>Backdrop sân khấu</t>
    </r>
    <r>
      <rPr>
        <i/>
        <sz val="10"/>
        <rFont val="Times New Roman"/>
        <family val="1"/>
      </rPr>
      <t xml:space="preserve">
. KT:  9m x 5m 
. Khung xương sắt căng hiflex</t>
    </r>
  </si>
  <si>
    <t>cái</t>
  </si>
  <si>
    <r>
      <rPr>
        <b/>
        <i/>
        <sz val="10"/>
        <rFont val="Times New Roman"/>
        <family val="1"/>
      </rPr>
      <t>Đèn pha</t>
    </r>
    <r>
      <rPr>
        <i/>
        <sz val="10"/>
        <rFont val="Times New Roman"/>
        <family val="1"/>
      </rPr>
      <t xml:space="preserve"> trên backdrop chiếu sáng xuống</t>
    </r>
  </si>
  <si>
    <r>
      <rPr>
        <b/>
        <i/>
        <sz val="10"/>
        <rFont val="Times New Roman"/>
        <family val="1"/>
      </rPr>
      <t>Sàn sân khấu</t>
    </r>
    <r>
      <rPr>
        <i/>
        <sz val="10"/>
        <rFont val="Times New Roman"/>
        <family val="1"/>
      </rPr>
      <t xml:space="preserve">
. KT:  9mW x 0,6H  x  2,5mD
. Sàn bọc thảm</t>
    </r>
  </si>
  <si>
    <r>
      <rPr>
        <b/>
        <i/>
        <sz val="10"/>
        <rFont val="Times New Roman"/>
        <family val="1"/>
      </rPr>
      <t>Bàn check in:</t>
    </r>
    <r>
      <rPr>
        <i/>
        <sz val="10"/>
        <rFont val="Times New Roman"/>
        <family val="1"/>
      </rPr>
      <t xml:space="preserve"> bàn dán AW</t>
    </r>
  </si>
  <si>
    <r>
      <rPr>
        <b/>
        <i/>
        <sz val="10"/>
        <rFont val="Times New Roman"/>
        <family val="1"/>
      </rPr>
      <t>Phía sau sâu sân khấu</t>
    </r>
    <r>
      <rPr>
        <i/>
        <sz val="10"/>
        <rFont val="Times New Roman"/>
        <family val="1"/>
      </rPr>
      <t xml:space="preserve">
. KT:  9m x 1mD
. Khung xương sắt căng hiflex - 2 vách đứng che lối exit + cửa</t>
    </r>
  </si>
  <si>
    <t>ĐƠN GIÁ</t>
  </si>
  <si>
    <t xml:space="preserve">THÀNH TIỀN </t>
  </si>
  <si>
    <t>Ghi Chú</t>
  </si>
  <si>
    <r>
      <t xml:space="preserve">Sàn sân khấu
</t>
    </r>
    <r>
      <rPr>
        <i/>
        <sz val="10"/>
        <rFont val="Times New Roman"/>
        <family val="1"/>
      </rPr>
      <t>. KT:  9mW x 0,6H  x  2,5mD
. Sàn bọc thảm</t>
    </r>
  </si>
  <si>
    <t xml:space="preserve">Quotation_ Phim Thỏ Ơi_Decor Premiere </t>
  </si>
  <si>
    <t xml:space="preserve">CÔNG TY TNHH  COLORFULL
34 Đào Trí, 34 Đào Trí, Phường Phú Thuận, HCM
Ms. Phương Hồng - 0914291951
Email: hong.ton@colorfull.com.vn                           </t>
  </si>
  <si>
    <t xml:space="preserve">Kính gửi: Cty …....
Mr/Ms
Email: …....          </t>
  </si>
  <si>
    <t>TP.HCM , ngày 05/07/2018</t>
  </si>
  <si>
    <t>XÁC NHẬN ĐỒNG Ý ĐẶT HÀNG</t>
  </si>
  <si>
    <t>Công Ty TNHH Colorfull</t>
  </si>
  <si>
    <t>Trần Thị Lan Anh</t>
  </si>
  <si>
    <t>hàng này có hoặc ko tùy chương trình</t>
  </si>
  <si>
    <t>* Thông tin chương trình: …..........</t>
  </si>
  <si>
    <t>* Ghi chú: 
- Tất cả các hạng mục trên là cho thuê, Colofull thu hồi sau khi tháo dỡ</t>
  </si>
  <si>
    <t>logo cty khách hàng</t>
  </si>
  <si>
    <t>tạo được những hàng con trong hạng mục chính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</si>
</sst>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44" formatCode="_(&quot;$&quot;* #,##0.00_);_(&quot;$&quot;* \(#,##0.00\);_(&quot;$&quot;* &quot;-&quot;??_);_(@_)"/>
    <numFmt numFmtId="43" formatCode="_(* #,##0.00_);_(* \(#,##0.00\);_(* &quot;-&quot;??_);_(@_)"/>
    <numFmt numFmtId="182" formatCode="&quot;$&quot;#,##0.00;[Red]&quot;\&quot;&quot;\&quot;&quot;\&quot;&quot;\&quot;&quot;\&quot;&quot;\&quot;\-&quot;$&quot;#,##0.00"/>
    <numFmt numFmtId="183" formatCode="_-&quot;$&quot;* #,##0_-;&quot;\&quot;&quot;\&quot;&quot;\&quot;&quot;\&quot;&quot;\&quot;&quot;\&quot;\-&quot;$&quot;* #,##0_-;_-&quot;$&quot;* &quot;-&quot;_-;_-@_-"/>
    <numFmt numFmtId="184" formatCode="_-* #,##0.00_-;\-* #,##0.00_-;_-* &quot;-&quot;??_-;_-@_-"/>
    <numFmt numFmtId="185" formatCode="_-&quot;\&quot;* #,##0.00_-;&quot;\&quot;\-&quot;\&quot;* #,##0.00_-;_-&quot;\&quot;* &quot;-&quot;??_-;_-@_-"/>
    <numFmt numFmtId="186" formatCode="\$#,##0.00_);[Red]\(\$#,##0.00\)"/>
    <numFmt numFmtId="187" formatCode="&quot;\&quot;#,##0.00;[Red]&quot;\&quot;\-#,##0.00"/>
    <numFmt numFmtId="188" formatCode="\$#,##0\ ;\(\$#,##0\)"/>
    <numFmt numFmtId="189" formatCode="_(&quot;$&quot;* #,##0.0_);_(&quot;$&quot;* \(#,##0.0\);_(&quot;$&quot;* &quot;-&quot;??_);_(@_)"/>
    <numFmt numFmtId="190" formatCode="_ * #,##0.00_ ;_ * \-#,##0.00_ ;_ * &quot;-&quot;??_ ;_ @_ "/>
    <numFmt numFmtId="191" formatCode="0.00\ &quot;in&quot;"/>
    <numFmt numFmtId="192" formatCode="[Blue]0.00\ &quot;in&quot;"/>
    <numFmt numFmtId="193" formatCode="&quot;¥&quot;#,##0.00;[Red]&quot;¥&quot;&quot;¥&quot;&quot;¥&quot;&quot;¥&quot;&quot;¥&quot;&quot;¥&quot;\-#,##0.00"/>
    <numFmt numFmtId="194" formatCode="_-&quot;$&quot;* #,##0.00_-;\-&quot;$&quot;* #,##0.00_-;_-&quot;$&quot;* &quot;-&quot;??_-;_-@_-"/>
    <numFmt numFmtId="195" formatCode="_(\$* #,##0.00_);_(\$* \(#,##0.00\);_(\$* \-??_);_(@_)"/>
    <numFmt numFmtId="196" formatCode="&quot;¥&quot;#,##0;[Red]&quot;¥&quot;&quot;¥&quot;\-#,##0"/>
    <numFmt numFmtId="197" formatCode="&quot;$&quot;#,##0.00;&quot;\&quot;&quot;\&quot;&quot;\&quot;&quot;\&quot;&quot;\&quot;&quot;\&quot;\-&quot;$&quot;#,##0.00"/>
    <numFmt numFmtId="198" formatCode="[Blue]0.0000\ &quot;Cft/ft&quot;"/>
    <numFmt numFmtId="199" formatCode="&quot;$&quot;#,##0;[Red]&quot;\&quot;&quot;\&quot;&quot;\&quot;&quot;\&quot;&quot;\&quot;&quot;\&quot;\-&quot;$&quot;#,##0"/>
    <numFmt numFmtId="200" formatCode="_-&quot;$&quot;* #,##0_-;\-&quot;$&quot;* #,##0_-;_-&quot;$&quot;* &quot;-&quot;_-;_-@_-"/>
    <numFmt numFmtId="201" formatCode="#,###,;\-#,###,"/>
    <numFmt numFmtId="202" formatCode="#,##0;\-#,##0;&quot;---&quot;"/>
    <numFmt numFmtId="203" formatCode="&quot;\&quot;#,##0;[Red]&quot;\&quot;&quot;\&quot;\-#,##0"/>
    <numFmt numFmtId="204" formatCode="_ * #,##0_ ;_ * \-#,##0_ ;_ * &quot;-&quot;_ ;_ @_ "/>
    <numFmt numFmtId="205" formatCode="_-* #,##0_-;\-* #,##0_-;_-* &quot;-&quot;_-;_-@_-"/>
    <numFmt numFmtId="206" formatCode="_-&quot;\&quot;* #,##0_-;&quot;\&quot;&quot;\&quot;\-&quot;\&quot;* #,##0_-;_-&quot;\&quot;* &quot;-&quot;_-;_-@_-"/>
    <numFmt numFmtId="207" formatCode="_-&quot;\&quot;* #,##0.00_-;&quot;\&quot;&quot;\&quot;\-&quot;\&quot;* #,##0.00_-;_-&quot;\&quot;* &quot;-&quot;??_-;_-@_-"/>
    <numFmt numFmtId="208" formatCode="&quot;\&quot;#,##0.00;[Red]&quot;\&quot;&quot;\&quot;&quot;\&quot;&quot;\&quot;&quot;\&quot;&quot;\&quot;\-#,##0.00"/>
    <numFmt numFmtId="209" formatCode="&quot;\&quot;#,##0;[Red]&quot;\&quot;\-#,##0"/>
    <numFmt numFmtId="210" formatCode="_(* #,##0_);_(* \(#,##0\);_(* &quot;-&quot;??_);_(@_)"/>
  </numFmts>
  <fonts count="72">
    <font>
      <sz val="10"/>
      <name val="Arial"/>
      <family val="2"/>
    </font>
    <font>
      <sz val="11"/>
      <name val="Times New Roman"/>
      <family val="1"/>
    </font>
    <font>
      <sz val="10"/>
      <name val="Times New Roman"/>
      <family val="1"/>
    </font>
    <font>
      <i/>
      <sz val="10"/>
      <name val="Times New Roman"/>
      <family val="1"/>
    </font>
    <font>
      <sz val="7"/>
      <name val="Small Fonts"/>
      <family val="2"/>
    </font>
    <font>
      <sz val="11"/>
      <color indexed="20"/>
      <name val="宋体"/>
      <charset val="134"/>
    </font>
    <font>
      <sz val="11"/>
      <color indexed="17"/>
      <name val="宋体"/>
      <charset val="134"/>
    </font>
    <font>
      <sz val="11"/>
      <color indexed="8"/>
      <name val="Calibri"/>
      <family val="2"/>
    </font>
    <font>
      <sz val="12"/>
      <name val="¹ÙÅÁÃ¼"/>
      <family val="2"/>
    </font>
    <font>
      <sz val="10"/>
      <name val="VNI-Aptima"/>
    </font>
    <font>
      <sz val="11"/>
      <color indexed="8"/>
      <name val="宋体"/>
      <charset val="134"/>
    </font>
    <font>
      <sz val="11"/>
      <name val="–¾’©"/>
      <family val="2"/>
    </font>
    <font>
      <sz val="11"/>
      <color indexed="9"/>
      <name val="宋体"/>
      <charset val="134"/>
    </font>
    <font>
      <sz val="12"/>
      <name val="Times New Roman"/>
      <family val="1"/>
    </font>
    <font>
      <u/>
      <sz val="10"/>
      <color indexed="12"/>
      <name val="Arial"/>
      <family val="2"/>
    </font>
    <font>
      <sz val="10"/>
      <color indexed="8"/>
      <name val="MS Sans Serif"/>
      <family val="2"/>
    </font>
    <font>
      <sz val="14"/>
      <name val="??"/>
      <family val="2"/>
    </font>
    <font>
      <sz val="12"/>
      <name val="宋体"/>
      <charset val="134"/>
    </font>
    <font>
      <sz val="10"/>
      <name val="N Helvetica Narrow"/>
      <family val="2"/>
    </font>
    <font>
      <sz val="12"/>
      <name val="바탕체"/>
      <family val="2"/>
    </font>
    <font>
      <sz val="12"/>
      <name val="Helv"/>
      <family val="2"/>
    </font>
    <font>
      <b/>
      <sz val="12"/>
      <name val="Arial"/>
      <family val="2"/>
    </font>
    <font>
      <sz val="12"/>
      <name val="VNI-Aptima"/>
    </font>
    <font>
      <sz val="10"/>
      <name val="Verdana"/>
      <family val="2"/>
    </font>
    <font>
      <b/>
      <sz val="18"/>
      <color indexed="62"/>
      <name val="宋体"/>
      <charset val="134"/>
    </font>
    <font>
      <sz val="11"/>
      <color indexed="52"/>
      <name val="宋体"/>
      <charset val="134"/>
    </font>
    <font>
      <sz val="8"/>
      <name val="Arial"/>
      <family val="2"/>
    </font>
    <font>
      <sz val="12"/>
      <name val="新細明體"/>
      <family val="1"/>
      <charset val="136"/>
    </font>
    <font>
      <sz val="10"/>
      <name val="???"/>
      <family val="2"/>
    </font>
    <font>
      <u/>
      <sz val="12"/>
      <color indexed="12"/>
      <name val="宋体"/>
      <charset val="134"/>
    </font>
    <font>
      <sz val="12"/>
      <name val="뼻뮝"/>
      <family val="2"/>
    </font>
    <font>
      <sz val="12"/>
      <name val="±¼¸²Ã¼"/>
      <family val="2"/>
    </font>
    <font>
      <b/>
      <sz val="13"/>
      <color indexed="62"/>
      <name val="宋体"/>
      <charset val="134"/>
    </font>
    <font>
      <b/>
      <i/>
      <sz val="9"/>
      <name val="Arial"/>
      <family val="2"/>
    </font>
    <font>
      <b/>
      <sz val="9"/>
      <name val="Arial"/>
      <family val="2"/>
    </font>
    <font>
      <b/>
      <sz val="11"/>
      <color indexed="8"/>
      <name val="宋体"/>
      <charset val="134"/>
    </font>
    <font>
      <sz val="14"/>
      <name val="뼻뮝"/>
      <family val="2"/>
    </font>
    <font>
      <b/>
      <sz val="11"/>
      <color indexed="9"/>
      <name val="宋体"/>
      <charset val="134"/>
    </font>
    <font>
      <b/>
      <sz val="11"/>
      <color indexed="62"/>
      <name val="宋体"/>
      <charset val="134"/>
    </font>
    <font>
      <i/>
      <sz val="11"/>
      <color indexed="23"/>
      <name val="宋体"/>
      <charset val="134"/>
    </font>
    <font>
      <sz val="10"/>
      <name val="VNI-Helve-Condense"/>
    </font>
    <font>
      <sz val="10"/>
      <name val="굴림체"/>
      <family val="2"/>
    </font>
    <font>
      <sz val="11"/>
      <color indexed="60"/>
      <name val="宋体"/>
      <charset val="134"/>
    </font>
    <font>
      <b/>
      <sz val="15"/>
      <color indexed="62"/>
      <name val="宋体"/>
      <charset val="134"/>
    </font>
    <font>
      <sz val="11"/>
      <color indexed="10"/>
      <name val="宋体"/>
      <charset val="134"/>
    </font>
    <font>
      <b/>
      <sz val="11"/>
      <color indexed="52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sz val="10"/>
      <name val="Arial"/>
      <family val="2"/>
    </font>
    <font>
      <b/>
      <i/>
      <sz val="10"/>
      <name val="Times New Roman"/>
      <family val="1"/>
    </font>
    <font>
      <sz val="12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3" tint="0.39997558519241921"/>
      <name val="Times New Roman"/>
      <family val="1"/>
    </font>
    <font>
      <sz val="11"/>
      <color theme="1"/>
      <name val="Times New Roman"/>
      <family val="1"/>
    </font>
    <font>
      <sz val="10"/>
      <color rgb="FFFF0000"/>
      <name val="Arial"/>
      <family val="2"/>
    </font>
    <font>
      <b/>
      <sz val="11"/>
      <color theme="9" tint="-0.499984740745262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22"/>
      <color theme="1"/>
      <name val="Times New Roman"/>
      <family val="1"/>
    </font>
    <font>
      <sz val="10"/>
      <color theme="1"/>
      <name val="Arial"/>
      <family val="2"/>
    </font>
    <font>
      <sz val="12"/>
      <color rgb="FFFF0000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2"/>
      <color rgb="FF000000"/>
      <name val="Calibri"/>
      <family val="2"/>
    </font>
    <font>
      <sz val="11"/>
      <color theme="3" tint="0.39997558519241921"/>
      <name val="Calibri"/>
      <family val="2"/>
    </font>
    <font>
      <b/>
      <i/>
      <sz val="12"/>
      <color theme="1"/>
      <name val="Times New Roman"/>
      <family val="1"/>
    </font>
    <font>
      <sz val="12"/>
      <color theme="1"/>
      <name val="Times New Roman"/>
      <family val="2"/>
    </font>
    <font>
      <b/>
      <sz val="18"/>
      <color theme="1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38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000000"/>
      </patternFill>
    </fill>
  </fills>
  <borders count="2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393">
    <xf numFmtId="0" fontId="0" fillId="0" borderId="0"/>
    <xf numFmtId="193" fontId="48" fillId="0" borderId="0" applyFont="0" applyFill="0" applyBorder="0" applyAlignment="0" applyProtection="0"/>
    <xf numFmtId="0" fontId="16" fillId="0" borderId="0" applyFont="0" applyFill="0" applyBorder="0" applyAlignment="0" applyProtection="0"/>
    <xf numFmtId="196" fontId="48" fillId="0" borderId="0" applyFont="0" applyFill="0" applyBorder="0" applyAlignment="0" applyProtection="0"/>
    <xf numFmtId="40" fontId="16" fillId="0" borderId="0" applyFont="0" applyFill="0" applyBorder="0" applyAlignment="0" applyProtection="0"/>
    <xf numFmtId="38" fontId="16" fillId="0" borderId="0" applyFont="0" applyFill="0" applyBorder="0" applyAlignment="0" applyProtection="0"/>
    <xf numFmtId="10" fontId="48" fillId="0" borderId="0" applyFont="0" applyFill="0" applyBorder="0" applyAlignment="0" applyProtection="0"/>
    <xf numFmtId="0" fontId="28" fillId="0" borderId="0"/>
    <xf numFmtId="0" fontId="15" fillId="0" borderId="0" applyNumberForma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15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13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15" fillId="0" borderId="0" applyNumberForma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15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1" fillId="0" borderId="0"/>
    <xf numFmtId="9" fontId="8" fillId="0" borderId="0" applyFont="0" applyFill="0" applyBorder="0" applyAlignment="0" applyProtection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2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3" borderId="0" applyNumberFormat="0" applyBorder="0" applyAlignment="0" applyProtection="0">
      <alignment vertical="center"/>
    </xf>
    <xf numFmtId="199" fontId="9" fillId="0" borderId="0" applyFont="0" applyFill="0" applyBorder="0" applyAlignment="0" applyProtection="0"/>
    <xf numFmtId="182" fontId="9" fillId="0" borderId="0" applyFont="0" applyFill="0" applyBorder="0" applyAlignment="0" applyProtection="0"/>
    <xf numFmtId="197" fontId="9" fillId="0" borderId="0" applyFont="0" applyFill="0" applyBorder="0" applyAlignment="0" applyProtection="0"/>
    <xf numFmtId="183" fontId="9" fillId="0" borderId="0" applyFont="0" applyFill="0" applyBorder="0" applyAlignment="0" applyProtection="0"/>
    <xf numFmtId="0" fontId="31" fillId="0" borderId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84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86" fontId="17" fillId="0" borderId="0" applyFont="0" applyFill="0" applyBorder="0" applyAlignment="0" applyProtection="0">
      <alignment vertical="center"/>
    </xf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97" fontId="52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90" fontId="17" fillId="0" borderId="0" applyFont="0" applyFill="0" applyBorder="0" applyAlignment="0" applyProtection="0">
      <alignment vertical="center"/>
    </xf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195" fontId="48" fillId="0" borderId="0" applyFill="0" applyBorder="0" applyAlignment="0" applyProtection="0"/>
    <xf numFmtId="44" fontId="7" fillId="0" borderId="0" applyFont="0" applyFill="0" applyBorder="0" applyAlignment="0" applyProtection="0"/>
    <xf numFmtId="44" fontId="48" fillId="0" borderId="0" applyFont="0" applyFill="0" applyBorder="0" applyAlignment="0" applyProtection="0"/>
    <xf numFmtId="44" fontId="48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48" fillId="0" borderId="0" applyFont="0" applyFill="0" applyBorder="0" applyAlignment="0" applyProtection="0"/>
    <xf numFmtId="44" fontId="48" fillId="0" borderId="0" applyFont="0" applyFill="0" applyBorder="0" applyAlignment="0" applyProtection="0"/>
    <xf numFmtId="188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4" fontId="48" fillId="0" borderId="0"/>
    <xf numFmtId="2" fontId="48" fillId="0" borderId="0" applyFont="0" applyFill="0" applyBorder="0" applyAlignment="0" applyProtection="0"/>
    <xf numFmtId="38" fontId="26" fillId="6" borderId="0" applyNumberFormat="0" applyBorder="0" applyAlignment="0" applyProtection="0"/>
    <xf numFmtId="0" fontId="21" fillId="0" borderId="3" applyNumberFormat="0" applyAlignment="0" applyProtection="0">
      <alignment horizontal="left" vertical="center"/>
    </xf>
    <xf numFmtId="0" fontId="21" fillId="0" borderId="4">
      <alignment horizontal="left" vertical="center"/>
    </xf>
    <xf numFmtId="0" fontId="14" fillId="0" borderId="0" applyNumberFormat="0" applyFill="0" applyBorder="0" applyAlignment="0" applyProtection="0">
      <alignment vertical="top"/>
      <protection locked="0"/>
    </xf>
    <xf numFmtId="0" fontId="14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10" fontId="26" fillId="4" borderId="8" applyNumberFormat="0" applyBorder="0" applyAlignment="0" applyProtection="0"/>
    <xf numFmtId="201" fontId="33" fillId="0" borderId="9" applyFont="0" applyFill="0" applyBorder="0" applyAlignment="0" applyProtection="0">
      <alignment horizontal="center"/>
    </xf>
    <xf numFmtId="202" fontId="34" fillId="0" borderId="10" applyFont="0" applyFill="0" applyBorder="0" applyAlignment="0" applyProtection="0">
      <alignment horizontal="center"/>
    </xf>
    <xf numFmtId="192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185" fontId="9" fillId="0" borderId="0" applyFont="0" applyFill="0" applyBorder="0" applyAlignment="0" applyProtection="0"/>
    <xf numFmtId="189" fontId="9" fillId="0" borderId="0" applyFont="0" applyFill="0" applyBorder="0" applyAlignment="0" applyProtection="0"/>
    <xf numFmtId="191" fontId="48" fillId="0" borderId="0" applyFont="0" applyFill="0" applyBorder="0" applyAlignment="0" applyProtection="0"/>
    <xf numFmtId="198" fontId="48" fillId="0" borderId="0" applyFont="0" applyFill="0" applyBorder="0" applyAlignment="0" applyProtection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37" fontId="4" fillId="0" borderId="0"/>
    <xf numFmtId="0" fontId="20" fillId="0" borderId="0"/>
    <xf numFmtId="0" fontId="13" fillId="0" borderId="0"/>
    <xf numFmtId="0" fontId="22" fillId="0" borderId="0"/>
    <xf numFmtId="0" fontId="51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23" fillId="0" borderId="0"/>
    <xf numFmtId="0" fontId="48" fillId="0" borderId="0"/>
    <xf numFmtId="0" fontId="48" fillId="0" borderId="0"/>
    <xf numFmtId="0" fontId="48" fillId="0" borderId="0"/>
    <xf numFmtId="0" fontId="7" fillId="0" borderId="0"/>
    <xf numFmtId="0" fontId="48" fillId="0" borderId="0"/>
    <xf numFmtId="0" fontId="51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/>
    <xf numFmtId="0" fontId="17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8" fillId="0" borderId="0" applyFill="0" applyBorder="0" applyAlignment="0" applyProtection="0"/>
    <xf numFmtId="9" fontId="23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206" fontId="9" fillId="0" borderId="0" applyFont="0" applyFill="0" applyBorder="0" applyAlignment="0" applyProtection="0"/>
    <xf numFmtId="207" fontId="9" fillId="0" borderId="0" applyFont="0" applyFill="0" applyBorder="0" applyAlignment="0" applyProtection="0"/>
    <xf numFmtId="0" fontId="18" fillId="0" borderId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3" fillId="0" borderId="0"/>
    <xf numFmtId="40" fontId="36" fillId="0" borderId="0" applyFont="0" applyFill="0" applyBorder="0" applyAlignment="0" applyProtection="0"/>
    <xf numFmtId="38" fontId="36" fillId="0" borderId="0" applyFont="0" applyFill="0" applyBorder="0" applyAlignment="0" applyProtection="0"/>
    <xf numFmtId="0" fontId="36" fillId="0" borderId="0" applyFont="0" applyFill="0" applyBorder="0" applyAlignment="0" applyProtection="0"/>
    <xf numFmtId="0" fontId="36" fillId="0" borderId="0" applyFont="0" applyFill="0" applyBorder="0" applyAlignment="0" applyProtection="0"/>
    <xf numFmtId="10" fontId="48" fillId="0" borderId="0" applyFont="0" applyFill="0" applyBorder="0" applyAlignment="0" applyProtection="0"/>
    <xf numFmtId="0" fontId="30" fillId="0" borderId="0"/>
    <xf numFmtId="204" fontId="19" fillId="0" borderId="0" applyFont="0" applyFill="0" applyBorder="0" applyAlignment="0" applyProtection="0"/>
    <xf numFmtId="203" fontId="48" fillId="0" borderId="0" applyFont="0" applyFill="0" applyBorder="0" applyAlignment="0" applyProtection="0"/>
    <xf numFmtId="208" fontId="48" fillId="0" borderId="0" applyFont="0" applyFill="0" applyBorder="0" applyAlignment="0" applyProtection="0"/>
    <xf numFmtId="187" fontId="19" fillId="0" borderId="0" applyFont="0" applyFill="0" applyBorder="0" applyAlignment="0" applyProtection="0"/>
    <xf numFmtId="209" fontId="19" fillId="0" borderId="0" applyFont="0" applyFill="0" applyBorder="0" applyAlignment="0" applyProtection="0"/>
    <xf numFmtId="0" fontId="41" fillId="0" borderId="0"/>
    <xf numFmtId="0" fontId="27" fillId="0" borderId="0"/>
    <xf numFmtId="205" fontId="27" fillId="0" borderId="0" applyFont="0" applyFill="0" applyBorder="0" applyAlignment="0" applyProtection="0"/>
    <xf numFmtId="184" fontId="27" fillId="0" borderId="0" applyFont="0" applyFill="0" applyBorder="0" applyAlignment="0" applyProtection="0"/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0"/>
    <xf numFmtId="0" fontId="17" fillId="0" borderId="0">
      <alignment vertical="center"/>
    </xf>
    <xf numFmtId="0" fontId="17" fillId="0" borderId="0"/>
    <xf numFmtId="0" fontId="17" fillId="0" borderId="0"/>
    <xf numFmtId="0" fontId="12" fillId="1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43" fillId="0" borderId="5" applyNumberFormat="0" applyFill="0" applyAlignment="0" applyProtection="0">
      <alignment vertical="center"/>
    </xf>
    <xf numFmtId="0" fontId="32" fillId="0" borderId="6" applyNumberFormat="0" applyFill="0" applyAlignment="0" applyProtection="0">
      <alignment vertical="center"/>
    </xf>
    <xf numFmtId="0" fontId="38" fillId="0" borderId="7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3" fillId="0" borderId="0"/>
    <xf numFmtId="0" fontId="37" fillId="15" borderId="2" applyNumberFormat="0" applyAlignment="0" applyProtection="0">
      <alignment vertical="center"/>
    </xf>
    <xf numFmtId="0" fontId="35" fillId="0" borderId="14" applyNumberFormat="0" applyFill="0" applyAlignment="0" applyProtection="0">
      <alignment vertical="center"/>
    </xf>
    <xf numFmtId="0" fontId="17" fillId="4" borderId="12" applyNumberFormat="0" applyFont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2" borderId="1" applyNumberFormat="0" applyAlignment="0" applyProtection="0">
      <alignment vertical="center"/>
    </xf>
    <xf numFmtId="200" fontId="27" fillId="0" borderId="0" applyFont="0" applyFill="0" applyBorder="0" applyAlignment="0" applyProtection="0"/>
    <xf numFmtId="194" fontId="27" fillId="0" borderId="0" applyFont="0" applyFill="0" applyBorder="0" applyAlignment="0" applyProtection="0"/>
    <xf numFmtId="0" fontId="29" fillId="0" borderId="0" applyNumberFormat="0" applyFill="0" applyBorder="0" applyAlignment="0" applyProtection="0">
      <alignment vertical="top"/>
      <protection locked="0"/>
    </xf>
    <xf numFmtId="0" fontId="46" fillId="3" borderId="1" applyNumberFormat="0" applyAlignment="0" applyProtection="0">
      <alignment vertical="center"/>
    </xf>
    <xf numFmtId="0" fontId="47" fillId="2" borderId="13" applyNumberFormat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25" fillId="0" borderId="11" applyNumberFormat="0" applyFill="0" applyAlignment="0" applyProtection="0">
      <alignment vertical="center"/>
    </xf>
  </cellStyleXfs>
  <cellXfs count="65">
    <xf numFmtId="0" fontId="0" fillId="0" borderId="0" xfId="0"/>
    <xf numFmtId="43" fontId="1" fillId="0" borderId="0" xfId="112" applyFont="1" applyAlignment="1">
      <alignment vertical="center"/>
    </xf>
    <xf numFmtId="43" fontId="53" fillId="0" borderId="0" xfId="112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 wrapText="1"/>
    </xf>
    <xf numFmtId="0" fontId="54" fillId="0" borderId="8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3" fontId="54" fillId="0" borderId="8" xfId="0" applyNumberFormat="1" applyFont="1" applyBorder="1" applyAlignment="1">
      <alignment horizontal="right" vertical="center"/>
    </xf>
    <xf numFmtId="184" fontId="2" fillId="0" borderId="0" xfId="0" quotePrefix="1" applyNumberFormat="1" applyFont="1" applyAlignment="1">
      <alignment horizontal="left" vertical="center"/>
    </xf>
    <xf numFmtId="184" fontId="55" fillId="0" borderId="0" xfId="0" applyNumberFormat="1" applyFont="1" applyAlignment="1">
      <alignment horizontal="center" vertical="center"/>
    </xf>
    <xf numFmtId="0" fontId="49" fillId="0" borderId="8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center" vertical="center"/>
    </xf>
    <xf numFmtId="0" fontId="56" fillId="0" borderId="8" xfId="0" applyFont="1" applyBorder="1" applyAlignment="1">
      <alignment horizontal="center" vertical="center"/>
    </xf>
    <xf numFmtId="0" fontId="57" fillId="18" borderId="8" xfId="0" applyFont="1" applyFill="1" applyBorder="1" applyAlignment="1">
      <alignment horizontal="center" vertical="center"/>
    </xf>
    <xf numFmtId="0" fontId="57" fillId="18" borderId="8" xfId="0" applyFont="1" applyFill="1" applyBorder="1" applyAlignment="1">
      <alignment horizontal="center" vertical="center" wrapText="1"/>
    </xf>
    <xf numFmtId="3" fontId="57" fillId="18" borderId="8" xfId="0" applyNumberFormat="1" applyFont="1" applyFill="1" applyBorder="1" applyAlignment="1">
      <alignment horizontal="right" vertical="center"/>
    </xf>
    <xf numFmtId="3" fontId="58" fillId="19" borderId="8" xfId="0" applyNumberFormat="1" applyFont="1" applyFill="1" applyBorder="1" applyAlignment="1">
      <alignment horizontal="right" vertical="center"/>
    </xf>
    <xf numFmtId="0" fontId="58" fillId="0" borderId="8" xfId="0" applyFont="1" applyBorder="1" applyAlignment="1">
      <alignment horizontal="left" vertical="center"/>
    </xf>
    <xf numFmtId="0" fontId="54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59" fillId="0" borderId="0" xfId="0" applyFont="1" applyAlignment="1">
      <alignment vertical="center"/>
    </xf>
    <xf numFmtId="0" fontId="60" fillId="0" borderId="0" xfId="0" applyFont="1" applyAlignment="1">
      <alignment vertical="center"/>
    </xf>
    <xf numFmtId="43" fontId="13" fillId="0" borderId="0" xfId="112" applyFont="1" applyAlignment="1">
      <alignment vertical="center"/>
    </xf>
    <xf numFmtId="0" fontId="13" fillId="0" borderId="0" xfId="0" applyFont="1" applyAlignment="1">
      <alignment vertical="center"/>
    </xf>
    <xf numFmtId="0" fontId="61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210" fontId="13" fillId="0" borderId="0" xfId="105" applyNumberFormat="1" applyFont="1" applyAlignment="1">
      <alignment vertical="center"/>
    </xf>
    <xf numFmtId="0" fontId="50" fillId="0" borderId="0" xfId="0" applyFont="1" applyAlignment="1">
      <alignment vertical="center"/>
    </xf>
    <xf numFmtId="43" fontId="62" fillId="0" borderId="0" xfId="112" applyFont="1" applyAlignment="1">
      <alignment vertical="center"/>
    </xf>
    <xf numFmtId="0" fontId="63" fillId="0" borderId="0" xfId="0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4" fillId="0" borderId="0" xfId="0" applyFont="1" applyAlignment="1">
      <alignment vertical="center"/>
    </xf>
    <xf numFmtId="0" fontId="65" fillId="0" borderId="0" xfId="0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0" fontId="67" fillId="0" borderId="0" xfId="0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8" fillId="0" borderId="0" xfId="0" applyFont="1" applyAlignment="1">
      <alignment vertical="center"/>
    </xf>
    <xf numFmtId="0" fontId="66" fillId="0" borderId="0" xfId="0" applyFont="1" applyAlignment="1">
      <alignment horizontal="center" vertical="center"/>
    </xf>
    <xf numFmtId="43" fontId="1" fillId="0" borderId="0" xfId="112" applyFont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0" borderId="0" xfId="0" applyFont="1" applyAlignment="1">
      <alignment horizontal="center" vertical="center"/>
    </xf>
    <xf numFmtId="210" fontId="54" fillId="0" borderId="0" xfId="105" applyNumberFormat="1" applyFont="1" applyAlignment="1">
      <alignment vertical="center"/>
    </xf>
    <xf numFmtId="0" fontId="58" fillId="0" borderId="0" xfId="0" applyFont="1" applyAlignment="1">
      <alignment horizontal="center" vertical="center"/>
    </xf>
    <xf numFmtId="0" fontId="58" fillId="0" borderId="0" xfId="0" applyFont="1" applyAlignment="1">
      <alignment vertical="center"/>
    </xf>
    <xf numFmtId="210" fontId="58" fillId="0" borderId="0" xfId="105" applyNumberFormat="1" applyFont="1" applyAlignment="1">
      <alignment vertical="center"/>
    </xf>
    <xf numFmtId="3" fontId="66" fillId="0" borderId="0" xfId="0" applyNumberFormat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43" fontId="69" fillId="0" borderId="0" xfId="0" applyNumberFormat="1" applyFont="1" applyAlignment="1">
      <alignment horizontal="center" vertical="center"/>
    </xf>
    <xf numFmtId="43" fontId="1" fillId="0" borderId="0" xfId="112" applyFont="1" applyAlignment="1">
      <alignment horizontal="left" vertical="center"/>
    </xf>
    <xf numFmtId="0" fontId="58" fillId="0" borderId="17" xfId="0" applyFont="1" applyBorder="1" applyAlignment="1">
      <alignment horizontal="left" vertical="center"/>
    </xf>
    <xf numFmtId="0" fontId="58" fillId="0" borderId="18" xfId="0" applyFont="1" applyBorder="1" applyAlignment="1">
      <alignment horizontal="left" vertical="center"/>
    </xf>
    <xf numFmtId="0" fontId="58" fillId="0" borderId="19" xfId="0" applyFont="1" applyBorder="1" applyAlignment="1">
      <alignment horizontal="left" vertical="center"/>
    </xf>
    <xf numFmtId="0" fontId="71" fillId="18" borderId="0" xfId="0" applyFont="1" applyFill="1" applyAlignment="1">
      <alignment horizontal="center" vertical="center"/>
    </xf>
    <xf numFmtId="0" fontId="54" fillId="0" borderId="0" xfId="0" applyFont="1" applyAlignment="1">
      <alignment horizontal="left" vertical="center" wrapText="1"/>
    </xf>
    <xf numFmtId="0" fontId="57" fillId="18" borderId="15" xfId="0" applyFont="1" applyFill="1" applyBorder="1" applyAlignment="1">
      <alignment horizontal="left" vertical="center"/>
    </xf>
    <xf numFmtId="0" fontId="57" fillId="18" borderId="4" xfId="0" applyFont="1" applyFill="1" applyBorder="1" applyAlignment="1">
      <alignment horizontal="left" vertical="center"/>
    </xf>
    <xf numFmtId="0" fontId="57" fillId="18" borderId="16" xfId="0" applyFont="1" applyFill="1" applyBorder="1" applyAlignment="1">
      <alignment horizontal="left" vertical="center"/>
    </xf>
    <xf numFmtId="0" fontId="56" fillId="0" borderId="17" xfId="0" applyFont="1" applyBorder="1" applyAlignment="1">
      <alignment horizontal="center" vertical="center"/>
    </xf>
    <xf numFmtId="0" fontId="56" fillId="0" borderId="18" xfId="0" applyFont="1" applyBorder="1" applyAlignment="1">
      <alignment horizontal="center" vertical="center"/>
    </xf>
    <xf numFmtId="0" fontId="56" fillId="0" borderId="19" xfId="0" applyFont="1" applyBorder="1" applyAlignment="1">
      <alignment horizontal="center" vertical="center"/>
    </xf>
    <xf numFmtId="210" fontId="70" fillId="0" borderId="0" xfId="105" applyNumberFormat="1" applyFont="1" applyAlignment="1">
      <alignment horizontal="center" vertical="center" wrapText="1"/>
    </xf>
    <xf numFmtId="210" fontId="70" fillId="0" borderId="0" xfId="105" applyNumberFormat="1" applyFont="1" applyAlignment="1">
      <alignment horizontal="center" vertical="center"/>
    </xf>
    <xf numFmtId="0" fontId="58" fillId="19" borderId="8" xfId="0" applyFont="1" applyFill="1" applyBorder="1" applyAlignment="1">
      <alignment horizontal="center" vertical="center"/>
    </xf>
  </cellXfs>
  <cellStyles count="1393">
    <cellStyle name="??" xfId="1" xr:uid="{378784F2-937B-44E2-8FF4-28883AFEF6BF}"/>
    <cellStyle name="?? [0.00]_PRODUCT DETAIL Q1" xfId="2" xr:uid="{8622D17D-0B48-4C02-8C38-31F13B94B03D}"/>
    <cellStyle name="?? [0]" xfId="3" xr:uid="{FBE9B3AF-F611-4BDC-921D-5ADEF373D8DB}"/>
    <cellStyle name="???? [0.00]_PRODUCT DETAIL Q1" xfId="4" xr:uid="{2B0037F8-89E9-423E-8A0B-9A513E9A617B}"/>
    <cellStyle name="????_PRODUCT DETAIL Q1" xfId="5" xr:uid="{9E4890A5-4993-4D7C-B481-61757FF5EA4A}"/>
    <cellStyle name="???_HOBONG" xfId="6" xr:uid="{32EB2EEF-F4F5-4557-8C10-13CA5803052E}"/>
    <cellStyle name="??_(????)??????" xfId="7" xr:uid="{FD78DC01-8713-40A0-966B-48DCDA6A7D47}"/>
    <cellStyle name="_~6064872" xfId="8" xr:uid="{90E7B1E9-4C98-4F67-89EA-47F169FCDA70}"/>
    <cellStyle name="_06.Media Plan Jun'09-option 2" xfId="9" xr:uid="{A5D1DAB4-3888-4A18-BEC7-9CA3582C0F66}"/>
    <cellStyle name="_06.Media Plan Jun'09-option 2_ADJUSTMENT BUREAU" xfId="10" xr:uid="{1E5E1B76-18B3-45D4-A8AE-7B5BAC811642}"/>
    <cellStyle name="_06.Media Plan Jun'09-option 2_I am Number Four MP - Master" xfId="11" xr:uid="{5992C942-A1EB-4DFD-ADAF-7EB4C89B06D5}"/>
    <cellStyle name="_06.Media Plan Jun'09-option 2_Little Fockers MP - Master" xfId="12" xr:uid="{3FD3B53B-39FE-4B0D-9054-7DE92803CF07}"/>
    <cellStyle name="_06.Media Plan Jun'09-option 2_MARS NEEDS MOMS" xfId="13" xr:uid="{02B483B2-5164-4097-AF06-FCCC09A73AF6}"/>
    <cellStyle name="_06.Media Plan Jun'09-option 2_MEgamind updated 23.10" xfId="14" xr:uid="{C4AB0BAE-7667-41AE-97CA-12922E80FA33}"/>
    <cellStyle name="_06.Media Plan Jun'09-option 2_Plan of FOH, OOH " xfId="15" xr:uid="{D8B9CB01-DEA6-4F74-AC2D-1C9848470205}"/>
    <cellStyle name="_06.Media Plan Jun'09-option 2_RANGO MP" xfId="16" xr:uid="{776919E1-9423-4588-8020-0E07C51E4CFD}"/>
    <cellStyle name="_06.Media Plan Jun'09-option 2_Tangled MP - Master" xfId="17" xr:uid="{31905251-354D-4154-8539-5A2E00060F36}"/>
    <cellStyle name="_Biore Sparkling-Booking (Apr'09) " xfId="18" xr:uid="{76B77788-C8F2-42B2-A24D-216AB6565EFF}"/>
    <cellStyle name="_Danh sách thang máy tòa nhà " xfId="19" xr:uid="{D311235A-1FD2-4309-8D51-5C1B450780A9}"/>
    <cellStyle name="_Kotex_media plan V8 in Jan.08" xfId="20" xr:uid="{6492AFFC-7AE6-4D3D-B112-534E43CFF0E2}"/>
    <cellStyle name="_List Update 09-07-09" xfId="21" xr:uid="{BD7CEAB9-1866-460B-9FC9-749C3B4C9B59}"/>
    <cellStyle name="_Material" xfId="22" xr:uid="{0B344D72-43AF-43CA-A012-A9BF9F996D5C}"/>
    <cellStyle name="_Material_ADJUSTMENT BUREAU" xfId="23" xr:uid="{9AF79680-FC52-43C4-B2ED-F500A27FEEEE}"/>
    <cellStyle name="_Material_I am Number Four MP - Master" xfId="24" xr:uid="{C59B2C88-24FE-4E96-8954-413B0DD64B3E}"/>
    <cellStyle name="_Material_Little Fockers MP - Master" xfId="25" xr:uid="{BD8406DA-5366-4832-8C75-524204EC5B68}"/>
    <cellStyle name="_Material_MARS NEEDS MOMS" xfId="26" xr:uid="{41FC5177-1B96-41E8-9E39-F3B7F1693046}"/>
    <cellStyle name="_Material_MEgamind updated 23.10" xfId="27" xr:uid="{42D5DC87-B1CA-463F-9354-B37A0C26F779}"/>
    <cellStyle name="_Material_Plan of FOH, OOH " xfId="28" xr:uid="{7A610E42-6192-4A20-97CB-20E5F36040CB}"/>
    <cellStyle name="_Material_RANGO MP" xfId="29" xr:uid="{CB09C88A-A762-4C33-A9E9-EDE775B8D542}"/>
    <cellStyle name="_Material_Tangled MP - Master" xfId="30" xr:uid="{E84BBEF7-F076-45A7-A374-A3FB89D120C0}"/>
    <cellStyle name="_MEGASTAR-CHICILON Proposal Master2011-2012" xfId="31" xr:uid="{5153FA27-6C74-41B2-87CF-88656099D5C1}"/>
    <cellStyle name="_MEGASTAR-CHICILON Proposal Nov Option2 (5)" xfId="32" xr:uid="{D0858396-BB06-4CD3-8647-D85BC4EF3AB4}"/>
    <cellStyle name="_MEGASTAR-CHICILON.Proposal.HN4w.Jan" xfId="33" xr:uid="{790D276B-9AEC-444B-913C-86357542DC0C}"/>
    <cellStyle name="_MEGASTAR-CHICILON.Proposal.Master2011" xfId="34" xr:uid="{5C78503B-2ADC-44A0-B486-622AF6D4E091}"/>
    <cellStyle name="_MKT Plan 2008 - A&amp;P expense" xfId="35" xr:uid="{4D0A4E07-622D-4700-ABC9-667B47E974A7}"/>
    <cellStyle name="_MKT Plan 2008 - A&amp;P expense_ADJUSTMENT BUREAU" xfId="36" xr:uid="{51A961F5-F3B7-456C-A724-5E257A4C7B69}"/>
    <cellStyle name="_MKT Plan 2008 - A&amp;P expense_I am Number Four MP - Master" xfId="37" xr:uid="{4C8CC38D-07DB-40C9-83C0-DF0247D674A5}"/>
    <cellStyle name="_MKT Plan 2008 - A&amp;P expense_Little Fockers MP - Master" xfId="38" xr:uid="{3D077984-B76B-4111-AE23-8872F3DF8B17}"/>
    <cellStyle name="_MKT Plan 2008 - A&amp;P expense_MARS NEEDS MOMS" xfId="39" xr:uid="{9977F35C-2797-4097-BBA1-9AB409CB033F}"/>
    <cellStyle name="_MKT Plan 2008 - A&amp;P expense_MEgamind updated 23.10" xfId="40" xr:uid="{172F7CE1-DF54-4ABB-9199-697F8D4ADB3D}"/>
    <cellStyle name="_MKT Plan 2008 - A&amp;P expense_Plan of FOH, OOH " xfId="41" xr:uid="{EC8457E8-3967-4702-A8CB-CB3EB8883996}"/>
    <cellStyle name="_MKT Plan 2008 - A&amp;P expense_RANGO MP" xfId="42" xr:uid="{ABF6A16C-A1D2-45B4-8653-6A751B10DEB5}"/>
    <cellStyle name="_MKT Plan 2008 - A&amp;P expense_Tangled MP - Master" xfId="43" xr:uid="{063A31DE-F882-40E1-9311-5A82451732F1}"/>
    <cellStyle name="_OOH Plan for Latte 020609" xfId="44" xr:uid="{AEBBB485-4A86-46E0-AFFF-9E9CAE8FDD23}"/>
    <cellStyle name="_Print plan  - Nov &amp; Dec (Revised)" xfId="45" xr:uid="{74A18B4D-DD6A-4A8A-B217-7E4CC3195338}"/>
    <cellStyle name="_Print plan  - Nov &amp; Dec (Revised)_ADJUSTMENT BUREAU" xfId="46" xr:uid="{0D17E5D0-FAC2-41B7-BCC1-BA37AC67FE69}"/>
    <cellStyle name="_Print plan  - Nov &amp; Dec (Revised)_I am Number Four MP - Master" xfId="47" xr:uid="{636EB9F1-F250-42BF-99AF-E50990DF4761}"/>
    <cellStyle name="_Print plan  - Nov &amp; Dec (Revised)_Little Fockers MP - Master" xfId="48" xr:uid="{98EB0106-2434-45FD-B334-3F475460E52D}"/>
    <cellStyle name="_Print plan  - Nov &amp; Dec (Revised)_MARS NEEDS MOMS" xfId="49" xr:uid="{7B9EED43-F373-4E00-A3DD-441C0FB1F3D0}"/>
    <cellStyle name="_Print plan  - Nov &amp; Dec (Revised)_MEgamind updated 23.10" xfId="50" xr:uid="{615FCEB7-3968-4E04-8DE5-FFA1A6A67247}"/>
    <cellStyle name="_Print plan  - Nov &amp; Dec (Revised)_Plan of FOH, OOH " xfId="51" xr:uid="{75A2B429-39A3-4D8D-BEFA-6C3DBDCB4820}"/>
    <cellStyle name="_Print plan  - Nov &amp; Dec (Revised)_RANGO MP" xfId="52" xr:uid="{30F5B377-0484-4A77-A36C-32D4DA30FA03}"/>
    <cellStyle name="_Print plan  - Nov &amp; Dec (Revised)_Tangled MP - Master" xfId="53" xr:uid="{6B5C97E8-98A5-4E42-8A7C-79E55B0B62D3}"/>
    <cellStyle name="_Print plan - bargain'08" xfId="54" xr:uid="{1FFD2337-82B4-4E74-ABF9-CB62B20A67D8}"/>
    <cellStyle name="_Print plan - bargain'08_ADJUSTMENT BUREAU" xfId="55" xr:uid="{8E9AAABE-DD91-4BED-A8C8-B38FBA331C22}"/>
    <cellStyle name="_Print plan - bargain'08_I am Number Four MP - Master" xfId="56" xr:uid="{083788A1-04CD-44AB-95F9-79D2AFE234B7}"/>
    <cellStyle name="_Print plan - bargain'08_Little Fockers MP - Master" xfId="57" xr:uid="{CFC3417B-6403-4F2E-9AFF-F2A492A9D6C4}"/>
    <cellStyle name="_Print plan - bargain'08_MARS NEEDS MOMS" xfId="58" xr:uid="{A6459617-588E-439C-A40E-7C3F23D8EFB6}"/>
    <cellStyle name="_Print plan - bargain'08_MEgamind updated 23.10" xfId="59" xr:uid="{E96CC7CA-8D07-4F5E-B3AB-DCFC66169485}"/>
    <cellStyle name="_Print plan - bargain'08_Plan of FOH, OOH " xfId="60" xr:uid="{2E7EF758-D85D-42A3-A7C9-03DF7270D223}"/>
    <cellStyle name="_Print plan - bargain'08_RANGO MP" xfId="61" xr:uid="{8AD8F197-D75A-4EAA-9C79-43CC09F1F1C0}"/>
    <cellStyle name="_Print plan - bargain'08_Tangled MP - Master" xfId="62" xr:uid="{0BF2DB66-9751-4BC3-9D6C-31A18A051C77}"/>
    <cellStyle name="_TRI PR 0806" xfId="63" xr:uid="{4205CE3A-50D3-4EC1-8E3B-B1DF1B895BAF}"/>
    <cellStyle name="_Triumph_Print plan" xfId="64" xr:uid="{B4CF7E93-F08D-4794-A7EB-2D5CD40BFFB5}"/>
    <cellStyle name="_Triumph_Print plan_ADJUSTMENT BUREAU" xfId="65" xr:uid="{6E1663AF-34E6-4B3A-A3F5-351F10C777CE}"/>
    <cellStyle name="_Triumph_Print plan_I am Number Four MP - Master" xfId="66" xr:uid="{CD5F6FCE-E5E0-42D2-BC5B-17EE6453084E}"/>
    <cellStyle name="_Triumph_Print plan_Little Fockers MP - Master" xfId="67" xr:uid="{808118C4-10D7-48F6-9F32-CA06BA120E6E}"/>
    <cellStyle name="_Triumph_Print plan_MARS NEEDS MOMS" xfId="68" xr:uid="{AC00955C-922B-4958-B70E-5D226CED3DB5}"/>
    <cellStyle name="_Triumph_Print plan_MEgamind updated 23.10" xfId="69" xr:uid="{FE70AF5B-CE86-4E0A-A00F-7BF77D27246F}"/>
    <cellStyle name="_Triumph_Print plan_Plan of FOH, OOH " xfId="70" xr:uid="{35B7D85E-0EF1-4C28-A9A3-2C696A6BD8C7}"/>
    <cellStyle name="_Triumph_Print plan_RANGO MP" xfId="71" xr:uid="{741B5737-7D0E-4EB8-8424-5B8A9EC8E645}"/>
    <cellStyle name="_Triumph_Print plan_Tangled MP - Master" xfId="72" xr:uid="{07D77C4D-54CB-4FA6-A24D-BD65576E55EB}"/>
    <cellStyle name="_VIERA TVad 02.07" xfId="73" xr:uid="{5B049629-9FCE-4A03-9788-5A5D04D78D68}"/>
    <cellStyle name="=C:\WINNT\SYSTEM32\COMMAND.COM" xfId="74" xr:uid="{6AAD9E47-A7DA-4C9E-AD1B-487781F6E834}"/>
    <cellStyle name="=C:\WINNT\SYSTEM32\COMMAND.COM 2" xfId="75" xr:uid="{6C0DA68D-3F5C-4E09-9EF4-089DCEDA6353}"/>
    <cellStyle name="=C:\WINNT\SYSTEM32\COMMAND.COM 2 2" xfId="76" xr:uid="{F2E6829A-1280-4545-9619-444137926C2D}"/>
    <cellStyle name="=C:\WINNT\SYSTEM32\COMMAND.COM 2_ADJUSTMENT BUREAU" xfId="77" xr:uid="{770A88B1-38A5-42B2-8647-E9B0BCC0CACF}"/>
    <cellStyle name="=C:\WINNT\SYSTEM32\COMMAND.COM 3" xfId="78" xr:uid="{2EE59C88-9CBA-404C-88C9-B0BFD992EBAA}"/>
    <cellStyle name="=C:\WINNT\SYSTEM32\COMMAND.COM_ADJUSTMENT BUREAU" xfId="79" xr:uid="{AF59E07C-5734-4273-A7D6-AE821D679167}"/>
    <cellStyle name="•W_ Index" xfId="80" xr:uid="{96DDB088-A5C0-4288-A718-73791692AF70}"/>
    <cellStyle name="¹éºÐÀ²_±âÅ¸" xfId="81" xr:uid="{6D459244-362B-4CD6-BF1A-5F92CD4AF507}"/>
    <cellStyle name="20% - 强调文字颜色 1" xfId="82" xr:uid="{CE1C6C77-EF51-44A2-8D75-DBA0CEB44D62}"/>
    <cellStyle name="20% - 强调文字颜色 2" xfId="83" xr:uid="{24D02687-0065-44AB-9D43-92D744277E3E}"/>
    <cellStyle name="20% - 强调文字颜色 3" xfId="84" xr:uid="{DC20450A-2E71-4265-86C1-BB33219EAF48}"/>
    <cellStyle name="20% - 强调文字颜色 4" xfId="85" xr:uid="{F863E816-8933-44F8-A334-25C240F5130D}"/>
    <cellStyle name="20% - 强调文字颜色 5" xfId="86" xr:uid="{E9516B4E-5A80-45A6-94FB-49D0B1921DB3}"/>
    <cellStyle name="20% - 强调文字颜色 6" xfId="87" xr:uid="{996197B0-401A-490C-914F-1FEA1B1B0D3C}"/>
    <cellStyle name="40% - 强调文字颜色 1" xfId="88" xr:uid="{DB86FF00-ECFF-47FA-BE1A-17068E4B1470}"/>
    <cellStyle name="40% - 强调文字颜色 2" xfId="89" xr:uid="{7B55670F-2F97-44C6-AAE2-F8287AD43B8D}"/>
    <cellStyle name="40% - 强调文字颜色 3" xfId="90" xr:uid="{AFCDDB59-2581-4701-8D44-7E2BCFCA60D1}"/>
    <cellStyle name="40% - 强调文字颜色 4" xfId="91" xr:uid="{69347F9F-9C94-4EFB-A66E-4C993DE1A4CF}"/>
    <cellStyle name="40% - 强调文字颜色 5" xfId="92" xr:uid="{2C1356EF-0CFB-4EB7-8DCA-15AB0E5BDAAE}"/>
    <cellStyle name="40% - 强调文字颜色 6" xfId="93" xr:uid="{982AFD83-D7BB-4C56-B5EE-3F867A456A71}"/>
    <cellStyle name="60% - 强调文字颜色 1" xfId="94" xr:uid="{D862F959-9884-472C-96B5-19A7A0957A3B}"/>
    <cellStyle name="60% - 强调文字颜色 2" xfId="95" xr:uid="{8D62A786-FE65-4E80-BFC7-2C9A4E19F747}"/>
    <cellStyle name="60% - 强调文字颜色 3" xfId="96" xr:uid="{290CB273-5CDC-4B77-9526-A150DA169C7B}"/>
    <cellStyle name="60% - 强调文字颜色 4" xfId="97" xr:uid="{8CB4AC01-9CFF-4200-9BEA-30BB174222DC}"/>
    <cellStyle name="60% - 强调文字颜色 5" xfId="98" xr:uid="{48349B98-7C71-4F09-800A-94D9A5FD8EF3}"/>
    <cellStyle name="60% - 强调文字颜色 6" xfId="99" xr:uid="{7018C2BE-AE22-4AEB-A46E-5F2C0F55B5A1}"/>
    <cellStyle name="ÅëÈ­ [0]_±âÅ¸" xfId="100" xr:uid="{365862D9-3D19-45D4-8717-D1B25337E9A8}"/>
    <cellStyle name="ÅëÈ­_±âÅ¸" xfId="101" xr:uid="{FF1C81CD-6FCE-42B3-9CA1-4AA8CEC847C6}"/>
    <cellStyle name="ÄÞ¸¶ [0]_±âÅ¸" xfId="102" xr:uid="{1C36135D-99BC-47BE-BBA7-25000D9EA91E}"/>
    <cellStyle name="ÄÞ¸¶_±âÅ¸" xfId="103" xr:uid="{47BB043B-078A-47D2-97F0-A9D0E7A5FFAA}"/>
    <cellStyle name="Ç¥ÁØ_¿ù°£¿ä¾àº¸°í" xfId="104" xr:uid="{E7E2B2CA-5FB2-40BB-88D8-097A9F4EAD5B}"/>
    <cellStyle name="Comma" xfId="105" builtinId="3"/>
    <cellStyle name="Comma 10" xfId="106" xr:uid="{56394C11-4ADE-4903-9986-2BA2775CACA5}"/>
    <cellStyle name="Comma 10 2" xfId="107" xr:uid="{E9764AB6-9963-464E-A0D3-056AF09F897D}"/>
    <cellStyle name="Comma 10 2 2" xfId="108" xr:uid="{EABC2336-815A-4BF5-9EB8-1E554407DA61}"/>
    <cellStyle name="Comma 10 2 2 2" xfId="109" xr:uid="{ECC6144B-0053-4D82-A8A8-6FEE83A32DF4}"/>
    <cellStyle name="Comma 10 2 3" xfId="110" xr:uid="{0FE2B4AC-B3F3-4316-93B0-2950106C67CB}"/>
    <cellStyle name="Comma 10 2 4" xfId="111" xr:uid="{97460A26-07AB-4C06-A309-293304134A49}"/>
    <cellStyle name="Comma 10 2 5" xfId="112" xr:uid="{A30DF762-9219-477B-A44A-1827BF27E1B9}"/>
    <cellStyle name="Comma 10 2 5 2 2" xfId="113" xr:uid="{C1C2805D-3B16-476E-B0F8-E20BE3657E31}"/>
    <cellStyle name="Comma 11" xfId="114" xr:uid="{10E79356-C33D-421E-AC47-32E11292ED7F}"/>
    <cellStyle name="Comma 11 2" xfId="115" xr:uid="{203D6842-5218-473E-9445-4A588041163C}"/>
    <cellStyle name="Comma 11 2 2" xfId="116" xr:uid="{CD5D1591-07D8-4BEC-9F3B-4DEE9CF22F23}"/>
    <cellStyle name="Comma 11 2 3" xfId="117" xr:uid="{2C58E929-BD55-40BA-99D4-85E5FA010CEF}"/>
    <cellStyle name="Comma 11 2 4" xfId="118" xr:uid="{A706174E-EA84-4C27-84B4-5842A5798BFE}"/>
    <cellStyle name="Comma 11 3" xfId="119" xr:uid="{310602EE-14D0-43C9-9FFA-8D81254A8E01}"/>
    <cellStyle name="Comma 11 4" xfId="120" xr:uid="{3CAB0199-A897-4927-ABE6-DE6B0AD58033}"/>
    <cellStyle name="Comma 11 5" xfId="121" xr:uid="{675CA327-8FE4-4A05-9BE7-12DE3EF1A9F6}"/>
    <cellStyle name="Comma 12" xfId="122" xr:uid="{21FBA499-B71A-4CF2-A5B4-239416FD0395}"/>
    <cellStyle name="Comma 12 2" xfId="123" xr:uid="{3531D69D-6B58-4BEE-BE06-14C467CE418F}"/>
    <cellStyle name="Comma 12 2 2" xfId="124" xr:uid="{6E1055DD-933B-4317-BA61-073F51942103}"/>
    <cellStyle name="Comma 12 2 3" xfId="125" xr:uid="{C58822D7-CA12-4687-A7EB-654273A839CC}"/>
    <cellStyle name="Comma 12 2 4" xfId="126" xr:uid="{9B26F2A9-2D12-452C-B1D5-ECA7CF9A324C}"/>
    <cellStyle name="Comma 12 3" xfId="127" xr:uid="{CE384BFC-6D0B-4E06-BBF9-CC11A46FC4F9}"/>
    <cellStyle name="Comma 12 4" xfId="128" xr:uid="{2D4DA779-FF82-4420-BD13-6B786DB7520B}"/>
    <cellStyle name="Comma 12 5" xfId="129" xr:uid="{5AB2416A-3D29-41EE-AEA0-F9D85724145B}"/>
    <cellStyle name="Comma 12 6" xfId="130" xr:uid="{ECB160DC-6A27-47ED-BD6A-3ABC10EE5620}"/>
    <cellStyle name="Comma 13" xfId="131" xr:uid="{89ACDD34-97FA-4D39-B469-6E8B532A3718}"/>
    <cellStyle name="Comma 13 2" xfId="132" xr:uid="{8C01EAC0-9625-4FA6-A9B8-2BBFB482FFA9}"/>
    <cellStyle name="Comma 13 2 2" xfId="133" xr:uid="{581AD8DD-A116-4DF9-9FBF-86B598AD8C94}"/>
    <cellStyle name="Comma 13 2 3" xfId="134" xr:uid="{E347CB18-8292-4F3F-AC05-EC2DE96414B6}"/>
    <cellStyle name="Comma 13 2 4" xfId="135" xr:uid="{E3A54B5A-8C00-45DA-BDE8-723E2DEFAEEA}"/>
    <cellStyle name="Comma 14" xfId="136" xr:uid="{DF431CE2-DBC6-47D8-9131-72382549C52C}"/>
    <cellStyle name="Comma 14 2" xfId="137" xr:uid="{C7E210E0-2A68-4B8B-82E0-0447725D16F1}"/>
    <cellStyle name="Comma 14 3" xfId="138" xr:uid="{AF2D19A0-5CC0-4B16-B6DB-81A459311011}"/>
    <cellStyle name="Comma 14 4" xfId="139" xr:uid="{AB0EF24A-2F92-42F0-8CD0-27F7CD9C71CE}"/>
    <cellStyle name="Comma 15" xfId="140" xr:uid="{B80A25A2-E71E-45C3-8D1B-22CAA294B901}"/>
    <cellStyle name="Comma 15 2" xfId="141" xr:uid="{4D85086A-5A9D-41F8-9949-521AF43DACAE}"/>
    <cellStyle name="Comma 15 3" xfId="142" xr:uid="{ABF226E4-92A4-48ED-AF38-3E004DA69405}"/>
    <cellStyle name="Comma 15 4" xfId="143" xr:uid="{4A81F451-42DD-43DD-B600-2EA879733414}"/>
    <cellStyle name="Comma 16" xfId="144" xr:uid="{222F6445-C839-4A35-A169-FD575E61044A}"/>
    <cellStyle name="Comma 16 2" xfId="145" xr:uid="{C5B5E710-1B9C-4A52-88F7-C60B15225806}"/>
    <cellStyle name="Comma 16 3" xfId="146" xr:uid="{532FE7D2-4525-45C2-B3EF-8E1B140CE30D}"/>
    <cellStyle name="Comma 16 4" xfId="147" xr:uid="{123EBA05-63AE-47C0-9E30-32012B2FFB64}"/>
    <cellStyle name="Comma 17" xfId="148" xr:uid="{BC2B6404-C8F4-4326-9CB2-8A2B2F05E474}"/>
    <cellStyle name="Comma 17 2" xfId="149" xr:uid="{015B80B2-428D-4BD4-8AF9-50A3676DDAF4}"/>
    <cellStyle name="Comma 17 3" xfId="150" xr:uid="{DF8B4766-513E-4776-9FFE-CB260875D55F}"/>
    <cellStyle name="Comma 17 4" xfId="151" xr:uid="{AA550D1F-9DF5-4FAC-9095-3E43296502E8}"/>
    <cellStyle name="Comma 18" xfId="152" xr:uid="{ECA7D89C-7F91-453B-8CC4-5A05DDA3DE88}"/>
    <cellStyle name="Comma 18 2" xfId="153" xr:uid="{D8B5C607-F2FC-4033-80CB-3F70294D1FD0}"/>
    <cellStyle name="Comma 18 3" xfId="154" xr:uid="{7F29FF9E-427C-46D9-806A-A80E7E20A2FC}"/>
    <cellStyle name="Comma 18 4" xfId="155" xr:uid="{24B143FC-9BE1-49D1-978A-D4F8628B4CCD}"/>
    <cellStyle name="Comma 19" xfId="156" xr:uid="{66B04EF9-BC80-478D-8B87-CEC9BC2EBB28}"/>
    <cellStyle name="Comma 19 2" xfId="157" xr:uid="{5CA834A4-90C4-4F87-828D-B65924994426}"/>
    <cellStyle name="Comma 19 3" xfId="158" xr:uid="{76B9D71F-AAF7-462D-B85E-1D4BB0B5CED2}"/>
    <cellStyle name="Comma 19 4" xfId="159" xr:uid="{CA8EFD39-D63A-4861-B890-969093912971}"/>
    <cellStyle name="Comma 2" xfId="160" xr:uid="{A33E57B4-1CBC-4215-84D1-A1D7C8413FAB}"/>
    <cellStyle name="Comma 2 10" xfId="161" xr:uid="{F207CE36-7871-4B68-BAF5-06593958C09B}"/>
    <cellStyle name="Comma 2 10 2" xfId="162" xr:uid="{DCF12C74-F83A-4778-AB36-CF7D4F485035}"/>
    <cellStyle name="Comma 2 10 3" xfId="163" xr:uid="{CFF197A2-4F86-4D30-A9DD-F6A4EF06B409}"/>
    <cellStyle name="Comma 2 10 4" xfId="164" xr:uid="{E58EF7AB-7536-464E-8673-70677389B537}"/>
    <cellStyle name="Comma 2 11" xfId="165" xr:uid="{9F2A4271-1696-4D47-93EE-F643CB609E20}"/>
    <cellStyle name="Comma 2 11 2" xfId="166" xr:uid="{AD089CD4-701D-4A35-8FC3-6C4BD7A414EF}"/>
    <cellStyle name="Comma 2 11 3" xfId="167" xr:uid="{99515545-E968-4F03-9684-B0E3609E8336}"/>
    <cellStyle name="Comma 2 11 4" xfId="168" xr:uid="{BEE5FDD0-1AA2-466C-AF46-06A5D8D7EDC5}"/>
    <cellStyle name="Comma 2 12" xfId="169" xr:uid="{6B5DEF91-5C4B-4099-B1DB-B5DEA46922FF}"/>
    <cellStyle name="Comma 2 12 2" xfId="170" xr:uid="{CB701F8C-17A5-4295-B77B-711B38579499}"/>
    <cellStyle name="Comma 2 12 3" xfId="171" xr:uid="{F33A8BC9-CC77-45B0-B0D7-C383B9AC9402}"/>
    <cellStyle name="Comma 2 12 4" xfId="172" xr:uid="{C8524CD7-2F37-4DA7-980C-37CB473D314E}"/>
    <cellStyle name="Comma 2 13" xfId="173" xr:uid="{6BA27696-182F-42B9-913F-01BB7B256ED5}"/>
    <cellStyle name="Comma 2 13 2" xfId="174" xr:uid="{449BC746-AFB6-4533-A9A1-9B0928754B8F}"/>
    <cellStyle name="Comma 2 13 3" xfId="175" xr:uid="{40A0BDC1-3499-401B-A5A6-93E31F912ACB}"/>
    <cellStyle name="Comma 2 13 4" xfId="176" xr:uid="{37B46AE2-3D1D-4032-836A-3869B9FEB308}"/>
    <cellStyle name="Comma 2 14" xfId="177" xr:uid="{00219BB4-0669-46F3-B716-4365CAF58402}"/>
    <cellStyle name="Comma 2 14 2" xfId="178" xr:uid="{AB0AAB44-75E8-41ED-9DB7-D043374E2EC4}"/>
    <cellStyle name="Comma 2 14 3" xfId="179" xr:uid="{9C4C791C-96E9-40BD-886B-71C76F48276E}"/>
    <cellStyle name="Comma 2 14 4" xfId="180" xr:uid="{7A539207-0414-4566-A19A-AA4277336CB7}"/>
    <cellStyle name="Comma 2 15" xfId="181" xr:uid="{F8C7939C-25A5-4599-873A-6A002A9B63DF}"/>
    <cellStyle name="Comma 2 15 2" xfId="182" xr:uid="{B226876F-95A7-4639-BA7F-A86AACF531E5}"/>
    <cellStyle name="Comma 2 15 3" xfId="183" xr:uid="{3C301063-8861-4B3F-93CC-92350C8A4479}"/>
    <cellStyle name="Comma 2 15 4" xfId="184" xr:uid="{4000CE04-81BA-4679-8D79-40BDDDC7DE88}"/>
    <cellStyle name="Comma 2 16" xfId="185" xr:uid="{478C2C3D-0810-4E85-8BF0-F423A1223399}"/>
    <cellStyle name="Comma 2 16 2" xfId="186" xr:uid="{B864ED39-3AE8-4866-B130-220FB1F89ED4}"/>
    <cellStyle name="Comma 2 16 3" xfId="187" xr:uid="{C70802A2-F963-4ACE-85DE-2B807EB99586}"/>
    <cellStyle name="Comma 2 16 4" xfId="188" xr:uid="{97FA3CFE-E167-4C70-8630-B6F945F5302C}"/>
    <cellStyle name="Comma 2 17" xfId="189" xr:uid="{17777406-A4CF-43BD-B06A-1EE211E3F832}"/>
    <cellStyle name="Comma 2 18" xfId="190" xr:uid="{E36D7CBE-90F2-4B33-99BC-B43B97C79720}"/>
    <cellStyle name="Comma 2 19" xfId="191" xr:uid="{1277F7CC-FB84-40FD-9A18-CE6DA056E34E}"/>
    <cellStyle name="Comma 2 2" xfId="192" xr:uid="{15DDC0F0-30C2-4155-8AA3-2207AB77F79C}"/>
    <cellStyle name="Comma 2 2 2" xfId="193" xr:uid="{7EC705D1-442A-41CB-8D10-27B3302CAE3E}"/>
    <cellStyle name="Comma 2 2 2 2" xfId="194" xr:uid="{B8266287-A8BB-4D36-90C2-3B546436BD6A}"/>
    <cellStyle name="Comma 2 2 2 3" xfId="195" xr:uid="{4E65FCDD-0292-4CF4-ADFA-1639BC806265}"/>
    <cellStyle name="Comma 2 2 2 4" xfId="196" xr:uid="{0DF63ABF-4AA3-49F4-B823-0CA95FACA2B1}"/>
    <cellStyle name="Comma 2 2 3" xfId="197" xr:uid="{80157C5F-DA48-4064-BB16-A26659B62B03}"/>
    <cellStyle name="Comma 2 20" xfId="198" xr:uid="{47CCE414-F31B-4705-BF1A-D7FB17D05A72}"/>
    <cellStyle name="Comma 2 21" xfId="199" xr:uid="{2A860B87-CBAC-454A-AF52-49348FAB17E3}"/>
    <cellStyle name="Comma 2 22" xfId="200" xr:uid="{7EAC436C-95AE-4C60-B8B4-01447E62E3B7}"/>
    <cellStyle name="Comma 2 23" xfId="201" xr:uid="{2AC67AB8-9230-45A2-B3F7-1418A57BEB2C}"/>
    <cellStyle name="Comma 2 24" xfId="202" xr:uid="{32A45785-7517-48F0-A8C7-82AD9658A2F8}"/>
    <cellStyle name="Comma 2 25" xfId="203" xr:uid="{596F5CB1-9153-468C-ABD8-BF433C3B9FAB}"/>
    <cellStyle name="Comma 2 26" xfId="204" xr:uid="{246C675A-0039-4644-ABB2-8205ECF0B184}"/>
    <cellStyle name="Comma 2 27" xfId="205" xr:uid="{38244C48-06F2-4AF1-99C6-2510C586594B}"/>
    <cellStyle name="Comma 2 3" xfId="206" xr:uid="{5BC397E8-3694-4805-8A48-C9B57CA1FE8B}"/>
    <cellStyle name="Comma 2 3 2" xfId="207" xr:uid="{EC6D75BE-11BC-4A33-815D-E54D21256CF0}"/>
    <cellStyle name="Comma 2 3 2 2" xfId="208" xr:uid="{49C15EF8-C030-4865-9C75-42C87C892CBE}"/>
    <cellStyle name="Comma 2 3 2 3" xfId="209" xr:uid="{61819995-F752-4ED0-92DB-DB6AE6B7CBB4}"/>
    <cellStyle name="Comma 2 3 2 4" xfId="210" xr:uid="{B6CB74B6-4EA7-4052-B675-2123BAC62FC9}"/>
    <cellStyle name="Comma 2 3 3" xfId="211" xr:uid="{600D7B18-E1EE-49DB-8E6D-A0373E5A3CDA}"/>
    <cellStyle name="Comma 2 3 3 2" xfId="212" xr:uid="{5B5293AD-AC5B-4E4D-ACC0-475EB38AA6D8}"/>
    <cellStyle name="Comma 2 3 3 2 2" xfId="213" xr:uid="{CC2955A0-8F63-4E31-87F8-4DE71CF0AC6C}"/>
    <cellStyle name="Comma 2 3 3 3" xfId="214" xr:uid="{D4F2FB23-F0EB-464E-99C1-9121EA5D61A0}"/>
    <cellStyle name="Comma 2 4" xfId="215" xr:uid="{E4629B8B-EE18-425D-9688-8A408EF1E3A7}"/>
    <cellStyle name="Comma 2 4 2" xfId="216" xr:uid="{EE4D269B-E252-47B2-BE9F-4049D545ACD4}"/>
    <cellStyle name="Comma 2 4 2 2" xfId="217" xr:uid="{62C230F3-1453-40CE-9726-245C7D5F3412}"/>
    <cellStyle name="Comma 2 4 2 3" xfId="218" xr:uid="{24C414B0-F81C-4A74-AC05-C379B4DEC085}"/>
    <cellStyle name="Comma 2 4 2 4" xfId="219" xr:uid="{63D4576E-52CB-4C1B-8052-55BDE0F73130}"/>
    <cellStyle name="Comma 2 4 3" xfId="220" xr:uid="{7F03383E-3E9A-4DF4-ADB7-4E84891DE1C6}"/>
    <cellStyle name="Comma 2 5" xfId="221" xr:uid="{82988FBE-E5D1-4345-ACD3-0636972B40F3}"/>
    <cellStyle name="Comma 2 5 2" xfId="222" xr:uid="{C35CCA15-EE43-4E71-854E-58C99D31527B}"/>
    <cellStyle name="Comma 2 5 2 2" xfId="223" xr:uid="{3923E553-D823-48D0-B465-A468E2FD101A}"/>
    <cellStyle name="Comma 2 5 2 3" xfId="224" xr:uid="{CF67F61E-B37E-407B-9F92-BFBA0164D1FF}"/>
    <cellStyle name="Comma 2 5 2 4" xfId="225" xr:uid="{1B64E77C-536D-48FC-AC07-017EC3258D23}"/>
    <cellStyle name="Comma 2 6" xfId="226" xr:uid="{73C6C81C-2C09-4062-B26A-CF0BE16B340B}"/>
    <cellStyle name="Comma 2 6 2" xfId="227" xr:uid="{EFB0DC90-F3A6-442F-9517-7B114CCA925D}"/>
    <cellStyle name="Comma 2 6 2 2" xfId="228" xr:uid="{645BF4DA-0138-4C25-90FC-59ECBE8146BA}"/>
    <cellStyle name="Comma 2 6 2 3" xfId="229" xr:uid="{1832BB69-BF20-4E5F-AB34-DEEB4C66491B}"/>
    <cellStyle name="Comma 2 6 2 4" xfId="230" xr:uid="{985EB34E-CEB2-491C-8745-446804A90AA1}"/>
    <cellStyle name="Comma 2 7" xfId="231" xr:uid="{3CA9514F-184A-4CAF-BB5D-EC171FAA9294}"/>
    <cellStyle name="Comma 2 7 2" xfId="232" xr:uid="{8837A4C5-CFC5-42A1-8BCB-9B5D92E41451}"/>
    <cellStyle name="Comma 2 7 2 2" xfId="233" xr:uid="{3E60CA75-BA84-4951-A526-04A52F6392FF}"/>
    <cellStyle name="Comma 2 7 2 3" xfId="234" xr:uid="{EDC402BE-7A10-4C34-BF1D-0DD2B1C10AE3}"/>
    <cellStyle name="Comma 2 7 2 4" xfId="235" xr:uid="{35D57FDA-2E99-48EB-8F22-B4FF7E2CB230}"/>
    <cellStyle name="Comma 2 8" xfId="236" xr:uid="{9CB9BBC9-18CC-4172-9A9D-44F664497546}"/>
    <cellStyle name="Comma 2 8 2" xfId="237" xr:uid="{78BF4137-2483-463C-9F82-0A43491892C2}"/>
    <cellStyle name="Comma 2 8 3" xfId="238" xr:uid="{071EC69D-9FC1-4B59-B4B3-D63BE414C8FB}"/>
    <cellStyle name="Comma 2 8 4" xfId="239" xr:uid="{452DC84B-D25B-4D4C-AEB2-3425C52B585E}"/>
    <cellStyle name="Comma 2 9" xfId="240" xr:uid="{A0A66D11-F68E-4CF3-BE11-82E925C06C4B}"/>
    <cellStyle name="Comma 2 9 2" xfId="241" xr:uid="{46F9B124-2B84-4766-B02A-67BC62EC0116}"/>
    <cellStyle name="Comma 2 9 3" xfId="242" xr:uid="{B3A3121E-4C74-4278-BC9B-55F604FF2D88}"/>
    <cellStyle name="Comma 2 9 4" xfId="243" xr:uid="{0194EAF7-5A83-4E55-AA38-65226431536A}"/>
    <cellStyle name="Comma 2_MEGASTAR-CHICILON Proposal Master2011-2012" xfId="244" xr:uid="{3F541702-43C0-41F6-B53B-5CE8340B1FFB}"/>
    <cellStyle name="Comma 20" xfId="245" xr:uid="{33EE3DD6-1361-4628-83AB-65595E243C98}"/>
    <cellStyle name="Comma 20 2" xfId="246" xr:uid="{1BD37941-CBC6-4699-B883-9A46DA63B513}"/>
    <cellStyle name="Comma 20 3" xfId="247" xr:uid="{95AAE3C0-B98F-4F55-945E-ABEE6F50CD98}"/>
    <cellStyle name="Comma 20 4" xfId="248" xr:uid="{DCE4EFD7-1CD5-46E8-BA59-FE6A117B27C0}"/>
    <cellStyle name="Comma 21" xfId="249" xr:uid="{9CA0991B-7D3C-4B23-B756-B85E9738B336}"/>
    <cellStyle name="Comma 22" xfId="250" xr:uid="{2B97BBAF-2660-4F45-B4EC-25E34D081BC5}"/>
    <cellStyle name="Comma 23" xfId="251" xr:uid="{2ACD112E-23BD-44AB-A000-B41263C2405B}"/>
    <cellStyle name="Comma 24" xfId="252" xr:uid="{3097838B-97BA-4B60-A62D-3AF6337133C9}"/>
    <cellStyle name="Comma 25 2" xfId="253" xr:uid="{C0971A6A-3742-4472-B3EB-6351F145177A}"/>
    <cellStyle name="Comma 26" xfId="254" xr:uid="{9D0DF38C-B03F-4AA4-9D0E-10E0E1F98376}"/>
    <cellStyle name="Comma 27" xfId="255" xr:uid="{FE99CE60-5E32-4135-9C39-B2F2A3FB05F5}"/>
    <cellStyle name="Comma 28" xfId="256" xr:uid="{1625070F-168B-40F2-B638-0312AD5E7466}"/>
    <cellStyle name="Comma 3" xfId="257" xr:uid="{F053D692-7EBA-484B-AD3A-425AED645C6B}"/>
    <cellStyle name="Comma 3 2" xfId="258" xr:uid="{85C60B41-C64A-473D-A0F7-7A7CE93E50E7}"/>
    <cellStyle name="Comma 3 3" xfId="259" xr:uid="{5060EA7D-B2E5-4B3C-9C35-F003F70056FC}"/>
    <cellStyle name="Comma 3 4" xfId="260" xr:uid="{AEBF6558-CAEA-4AC7-955A-7742788E917C}"/>
    <cellStyle name="Comma 3 5" xfId="261" xr:uid="{FA223BD9-F084-4E2F-AD8B-682186B2BD16}"/>
    <cellStyle name="Comma 3_MEGASTAR-CHICILON Proposal Master2011-2012" xfId="262" xr:uid="{9F021E26-FD67-4567-8BA3-270504509F1C}"/>
    <cellStyle name="Comma 32" xfId="263" xr:uid="{D1AF1CA5-3286-45B9-BA73-4D82FB6045BB}"/>
    <cellStyle name="Comma 4" xfId="264" xr:uid="{A3875957-729D-4342-B9CC-B6C71D33E286}"/>
    <cellStyle name="Comma 4 2" xfId="265" xr:uid="{C26D7291-B92E-44E5-8482-5E038B6D4927}"/>
    <cellStyle name="Comma 4 3" xfId="266" xr:uid="{3F32CFB2-4947-4094-98E5-9E10D04465CC}"/>
    <cellStyle name="Comma 4 4" xfId="267" xr:uid="{D6781158-5007-40B4-ACA9-BC826954DD91}"/>
    <cellStyle name="Comma 4 5" xfId="268" xr:uid="{3B40E724-44F6-4AA4-8963-D03784B5B7AB}"/>
    <cellStyle name="Comma 5" xfId="269" xr:uid="{A44B4D26-6358-411F-8734-642F4F26AE4B}"/>
    <cellStyle name="Comma 5 2" xfId="270" xr:uid="{20BF0963-CF04-4492-BF8A-D91842503A05}"/>
    <cellStyle name="Comma 6" xfId="271" xr:uid="{ABBC25EB-956D-485A-9B87-D738EB115304}"/>
    <cellStyle name="Comma 6 2" xfId="272" xr:uid="{FE7E6DA3-0583-4A49-AED9-FCB08C934C3B}"/>
    <cellStyle name="Comma 6 3" xfId="273" xr:uid="{9DFDBDFD-F32A-412E-A675-488095BF3419}"/>
    <cellStyle name="Comma 6 4" xfId="274" xr:uid="{4F32F289-2A10-4DEA-BA9E-835A60171F12}"/>
    <cellStyle name="Comma 6 5" xfId="275" xr:uid="{668C60D4-E8A5-44B7-9711-AA487649D996}"/>
    <cellStyle name="Comma 6 6" xfId="276" xr:uid="{93B0E3EF-346B-4DCE-ACEA-5368B9A74FE8}"/>
    <cellStyle name="Comma 6 7" xfId="277" xr:uid="{FB291C2C-FF0E-4C17-B39E-2C57BE0DDDF9}"/>
    <cellStyle name="Comma 7" xfId="278" xr:uid="{33F1641E-2ABA-44C8-9529-3FE4066A2771}"/>
    <cellStyle name="Comma 7 10" xfId="279" xr:uid="{6FA547C4-98CC-449E-9983-FA5DF33EC782}"/>
    <cellStyle name="Comma 7 11" xfId="280" xr:uid="{FEE0300D-A783-4706-B177-876DBBA606C8}"/>
    <cellStyle name="Comma 7 2" xfId="281" xr:uid="{DE3C7DE1-E3D5-4D2F-81FD-A33CB24F7948}"/>
    <cellStyle name="Comma 7 2 10" xfId="282" xr:uid="{9AAB5AC8-64BE-41A1-8D05-86C6EFA08984}"/>
    <cellStyle name="Comma 7 3" xfId="283" xr:uid="{5A73E6E3-6042-47C6-B1C9-2329CA4291C0}"/>
    <cellStyle name="Comma 7 3 2" xfId="284" xr:uid="{21B990A9-7C8A-45EF-B140-04208E3AD5B1}"/>
    <cellStyle name="Comma 7 3 3" xfId="285" xr:uid="{85B5AD6D-5ED5-4CC5-8865-DFB06E48ADFB}"/>
    <cellStyle name="Comma 7 3 4" xfId="286" xr:uid="{C25E6BBA-E62A-4D32-AE78-237E5CDBA993}"/>
    <cellStyle name="Comma 7 4" xfId="287" xr:uid="{8D659AEA-94AB-4A26-A488-DD39B4D14EED}"/>
    <cellStyle name="Comma 7 5" xfId="288" xr:uid="{8D71C9FC-C6CA-42FB-81F9-477BC9040D16}"/>
    <cellStyle name="Comma 7 6" xfId="289" xr:uid="{35E620FD-88C5-46E8-AF27-659BD4AE67F8}"/>
    <cellStyle name="Comma 7 7" xfId="290" xr:uid="{B30D1BA6-F951-4C1F-A328-57B474CD0345}"/>
    <cellStyle name="Comma 7 8" xfId="291" xr:uid="{DAB49D55-378E-45DC-AB74-6DD0603A51F4}"/>
    <cellStyle name="Comma 7 9" xfId="292" xr:uid="{19226FB7-FAF7-4F6E-B65E-DB4FB2FDA6A0}"/>
    <cellStyle name="Comma 8" xfId="293" xr:uid="{59B4520B-5A93-48F9-8E0E-EDBD21903C16}"/>
    <cellStyle name="Comma 8 11" xfId="294" xr:uid="{871FC1F9-234E-46D1-9EA6-C4E39F544553}"/>
    <cellStyle name="Comma 8 2" xfId="295" xr:uid="{D2C18149-9434-47B0-B701-71F91CE0C7C8}"/>
    <cellStyle name="Comma 8 3" xfId="296" xr:uid="{92F8BF77-F731-43DA-8E76-687F31E166A5}"/>
    <cellStyle name="Comma 8 4" xfId="297" xr:uid="{5434D219-B7EC-4CFD-AE78-0C252B9A9220}"/>
    <cellStyle name="Comma 8 5" xfId="298" xr:uid="{17DAA9B1-8172-458A-8FF2-83C4D6046AA1}"/>
    <cellStyle name="Comma 8 6" xfId="299" xr:uid="{A1D8E34F-A3C4-4E26-BA62-06325B692EEB}"/>
    <cellStyle name="Comma 8 7" xfId="300" xr:uid="{2B40FEB5-88A2-4CDE-9742-6E3C29B6D332}"/>
    <cellStyle name="Comma 9" xfId="301" xr:uid="{6883A288-B5CF-489E-8B47-024E28F041D3}"/>
    <cellStyle name="Comma 9 2" xfId="302" xr:uid="{30249769-8865-44AE-9EA5-EC9A6BD77751}"/>
    <cellStyle name="Comma 9 2 2" xfId="303" xr:uid="{3B47B040-BB64-4CBB-AC52-C3237C210B07}"/>
    <cellStyle name="Comma 9 2 3" xfId="304" xr:uid="{6D96254A-F089-43B8-B3B9-C496C897698E}"/>
    <cellStyle name="Comma 9 2 4" xfId="305" xr:uid="{D410313E-4D3F-4BCE-AB52-32AEB750CF0F}"/>
    <cellStyle name="Comma 9 3" xfId="306" xr:uid="{47011D8A-F746-4DBD-99F4-7586637894E6}"/>
    <cellStyle name="Comma 9 4" xfId="307" xr:uid="{EF7F245E-38CF-4A91-BB38-3F184A48342D}"/>
    <cellStyle name="Comma 9 5" xfId="308" xr:uid="{135ED532-A995-4012-B93C-AAF08EADEE1C}"/>
    <cellStyle name="Comma0" xfId="309" xr:uid="{18352C66-BA8C-4F90-B41E-75F37AA1E4B0}"/>
    <cellStyle name="Currency 2" xfId="310" xr:uid="{373A60C8-31C1-4BF3-9706-B40B1731AB4A}"/>
    <cellStyle name="Currency 2 2" xfId="311" xr:uid="{CF043297-F07E-4E52-BE46-BC279212941A}"/>
    <cellStyle name="Currency 2 2 2" xfId="312" xr:uid="{8D3E3EA4-F1EB-4233-8186-66E90379B0B5}"/>
    <cellStyle name="Currency 2 2 2 2" xfId="313" xr:uid="{30DA61B2-46ED-46C3-A8DD-4364DD2361EE}"/>
    <cellStyle name="Currency 2 2 3" xfId="314" xr:uid="{9BF87699-56FA-41CF-8DE7-E00135DD2DF9}"/>
    <cellStyle name="Currency 2 3" xfId="315" xr:uid="{234B5872-419A-44A3-AAFF-B6B3CB3DDEF1}"/>
    <cellStyle name="Currency 2 3 2" xfId="316" xr:uid="{3FD5BFD0-E07E-4A0B-ACC2-0F62D5E5D2B2}"/>
    <cellStyle name="Currency 2 4" xfId="317" xr:uid="{06FC7899-4816-4774-9CA5-09040F01CFB2}"/>
    <cellStyle name="Currency 2_Booking LCD  POSTER MEGA 2010" xfId="318" xr:uid="{F3778451-0B59-43EB-BBCD-C6165987A4CC}"/>
    <cellStyle name="Currency 3" xfId="319" xr:uid="{81B8C502-C9B7-4105-B5E9-21B99D668160}"/>
    <cellStyle name="Currency 3 2" xfId="320" xr:uid="{2E9CADAF-40F1-421C-B796-845527393A95}"/>
    <cellStyle name="Currency 3 2 2" xfId="321" xr:uid="{399121EB-3EBA-480E-BE82-6250C8BC1E00}"/>
    <cellStyle name="Currency 3 3" xfId="322" xr:uid="{0D7C00C1-12F3-447E-BEC8-404701439328}"/>
    <cellStyle name="Currency 4" xfId="323" xr:uid="{DCA257BA-0081-427F-99CF-F56477FC5BEA}"/>
    <cellStyle name="Currency 5" xfId="324" xr:uid="{35A923E2-D305-47E4-AFC8-78B7B36A3DC4}"/>
    <cellStyle name="Currency0" xfId="325" xr:uid="{4A6F18E0-7D44-4E27-B0AC-2C0D84EE8FA7}"/>
    <cellStyle name="Date" xfId="326" xr:uid="{42312DDB-DFA4-4E21-9B64-E92C19147C27}"/>
    <cellStyle name="Dấu phẩy 2" xfId="327" xr:uid="{2E331050-32C6-4907-A3AD-359F02CAE3CB}"/>
    <cellStyle name="DD/MM/YY" xfId="328" xr:uid="{3ECFD6B2-63F3-403C-B5AE-140EEFC64286}"/>
    <cellStyle name="Fixed" xfId="329" xr:uid="{C44D9669-C82E-409E-92BE-F546EB04B95E}"/>
    <cellStyle name="Grey" xfId="330" xr:uid="{66026065-B5E7-41DC-8A08-6DFC8AD30670}"/>
    <cellStyle name="Header1" xfId="331" xr:uid="{8242605F-48D4-4839-B4B5-170F01BD938D}"/>
    <cellStyle name="Header2" xfId="332" xr:uid="{14686A14-4FCB-4C9E-BA8F-580B4C3D2A0C}"/>
    <cellStyle name="Hyperlink 2" xfId="333" xr:uid="{24D47968-B133-46D2-AE43-FF72D7153B52}"/>
    <cellStyle name="Hyperlink 3" xfId="334" xr:uid="{1ADBEC66-1B39-4D76-A80E-6941506BE148}"/>
    <cellStyle name="Hyperlink 4" xfId="335" xr:uid="{39D616D4-377B-4DBD-ADAD-BFBA13600CAF}"/>
    <cellStyle name="Input [yellow]" xfId="336" xr:uid="{B9420D04-3DB0-4948-AE8C-6087A9D3EFBE}"/>
    <cellStyle name="LeverCurrency" xfId="337" xr:uid="{F1E572EB-6161-4BDF-AA18-E5935B84B245}"/>
    <cellStyle name="LeverGRP" xfId="338" xr:uid="{C572A33B-F38D-4632-8DA7-7E3B75BD52A0}"/>
    <cellStyle name="Milliers [0]_CREATIVE" xfId="339" xr:uid="{32FF0083-ED72-4F4D-BBA4-257B51BE70D7}"/>
    <cellStyle name="Milliers_CREATIVE" xfId="340" xr:uid="{79E914D5-B915-42AD-B502-62D9DBBC2FC3}"/>
    <cellStyle name="Moeda [0]_Geral" xfId="341" xr:uid="{9A3F7FAF-8DCE-480E-BF35-CA23AF409240}"/>
    <cellStyle name="Moeda_Geral" xfId="342" xr:uid="{40C89DE2-ED3D-48C5-AC65-E0B73D0CF5DF}"/>
    <cellStyle name="Monétaire [0]_CREATIVE" xfId="343" xr:uid="{3AA252BA-29FA-43E7-B5B1-5C6BFE054382}"/>
    <cellStyle name="Monétaire_CREATIVE" xfId="344" xr:uid="{F52C304E-B3CD-49A2-9A26-3538BF51D93F}"/>
    <cellStyle name="no dec" xfId="345" xr:uid="{D8B81534-18CF-401E-8EC9-AEC388D64F11}"/>
    <cellStyle name="no dec 10" xfId="346" xr:uid="{2642CC5C-97B8-4C08-87F1-DC9ECFB82BB9}"/>
    <cellStyle name="no dec 10 2" xfId="347" xr:uid="{73F337C3-87F9-4B24-976C-AA116277A0CE}"/>
    <cellStyle name="no dec 10 3" xfId="348" xr:uid="{7BE09D26-8099-4461-9885-1440503433AB}"/>
    <cellStyle name="no dec 10 4" xfId="349" xr:uid="{E6C06D51-DC8D-4655-9CE1-A28949C16436}"/>
    <cellStyle name="no dec 11" xfId="350" xr:uid="{42F351A0-041F-4A27-8EC2-BB6AB8128CAB}"/>
    <cellStyle name="no dec 11 2" xfId="351" xr:uid="{459E03B4-C6A8-461E-826A-B6978A2B36FC}"/>
    <cellStyle name="no dec 11 3" xfId="352" xr:uid="{3818EF94-F2DE-4FEC-836B-DB928E3DE006}"/>
    <cellStyle name="no dec 11 4" xfId="353" xr:uid="{A8DF5527-5327-4DEC-B01A-AAB58B36B47E}"/>
    <cellStyle name="no dec 12" xfId="354" xr:uid="{F52B30CD-2468-4173-8C19-139ED6E2A4E9}"/>
    <cellStyle name="no dec 12 2" xfId="355" xr:uid="{03ED8AED-A9C7-4092-BC4E-071AD6AE6047}"/>
    <cellStyle name="no dec 12 3" xfId="356" xr:uid="{DF0997E8-7034-498A-82E1-64ED29C9E026}"/>
    <cellStyle name="no dec 12 4" xfId="357" xr:uid="{F86863EC-85E1-4A5C-9BD4-E3130BEDD1AA}"/>
    <cellStyle name="no dec 13" xfId="358" xr:uid="{EFA2D6F6-E44B-4CD2-B7D3-ED9CFD19A30E}"/>
    <cellStyle name="no dec 13 2" xfId="359" xr:uid="{E81A6B78-B4AA-4596-8573-5E475FF7AB43}"/>
    <cellStyle name="no dec 13 3" xfId="360" xr:uid="{00B8D603-8656-438C-8A98-6CBE13FE270A}"/>
    <cellStyle name="no dec 13 4" xfId="361" xr:uid="{5CBB587F-456A-4A78-AFE0-6F0080F71D6A}"/>
    <cellStyle name="no dec 14" xfId="362" xr:uid="{48E847EB-68C8-4FDF-8EBA-930D132D965C}"/>
    <cellStyle name="no dec 14 2" xfId="363" xr:uid="{0A4EA5DB-276A-48BC-9A02-22968F6A7EB5}"/>
    <cellStyle name="no dec 14 3" xfId="364" xr:uid="{26CE4C94-6BFF-40FE-94FB-9A5B2D869FFE}"/>
    <cellStyle name="no dec 14 4" xfId="365" xr:uid="{E35E2A4D-B8EB-4AD6-885B-EE3822E4BE82}"/>
    <cellStyle name="no dec 15" xfId="366" xr:uid="{1F20BD2C-B0D9-4930-9C21-EA3C219465EA}"/>
    <cellStyle name="no dec 15 2" xfId="367" xr:uid="{F99C617A-7A2B-4EB8-9264-D6AB85482BBB}"/>
    <cellStyle name="no dec 15 3" xfId="368" xr:uid="{78AB30E2-2100-4D21-8303-37C46992F3D1}"/>
    <cellStyle name="no dec 15 4" xfId="369" xr:uid="{41FA60B4-7BFB-4E95-A98F-A7989EF2B6AD}"/>
    <cellStyle name="no dec 16" xfId="370" xr:uid="{C7CF1D5D-556B-442D-A63F-14493A7C5999}"/>
    <cellStyle name="no dec 16 2" xfId="371" xr:uid="{BC488846-DEC9-4FA6-864D-7B1F020DE45B}"/>
    <cellStyle name="no dec 16 3" xfId="372" xr:uid="{E550B8E8-3961-47F1-B414-D104BE9D4DD5}"/>
    <cellStyle name="no dec 16 4" xfId="373" xr:uid="{D501C5B8-C03C-41C5-9F4C-F5F8593B4E9F}"/>
    <cellStyle name="no dec 2" xfId="374" xr:uid="{F299EED6-DAA6-43B0-9037-70B567110FD6}"/>
    <cellStyle name="no dec 2 2" xfId="375" xr:uid="{1033DF0D-A48C-4CAE-A0F9-E66644FFBB31}"/>
    <cellStyle name="no dec 2 2 2" xfId="376" xr:uid="{E9102DCE-1F2F-412B-A487-97AC7A790A64}"/>
    <cellStyle name="no dec 2 2 3" xfId="377" xr:uid="{FB51D293-0220-4FE8-80FA-E9B729ACE1C1}"/>
    <cellStyle name="no dec 2 2 4" xfId="378" xr:uid="{D84B9CA0-B7F6-45D7-B04F-F04EACCE9629}"/>
    <cellStyle name="no dec 3" xfId="379" xr:uid="{B32B0C64-09D0-4BCD-9215-B156B30B21DE}"/>
    <cellStyle name="no dec 3 2" xfId="380" xr:uid="{591AD7D8-3E36-4CD9-B577-9315C8A642C8}"/>
    <cellStyle name="no dec 3 2 2" xfId="381" xr:uid="{A532D260-BB8E-4AA7-BFDF-E7CE9C71A820}"/>
    <cellStyle name="no dec 3 2 3" xfId="382" xr:uid="{4958B458-D7E0-4161-A7CF-183BE42F1371}"/>
    <cellStyle name="no dec 3 2 4" xfId="383" xr:uid="{28A8B1A9-EACD-43C1-8C97-4D80F9148ED1}"/>
    <cellStyle name="no dec 4" xfId="384" xr:uid="{1248209F-AA10-4BDA-B59E-3C9CF3E9F0A8}"/>
    <cellStyle name="no dec 4 2" xfId="385" xr:uid="{797BA1EC-99BE-46E7-AF2F-4F5BAF0207F6}"/>
    <cellStyle name="no dec 4 2 2" xfId="386" xr:uid="{18479B99-50BC-42B1-BA7D-DAD1E118147D}"/>
    <cellStyle name="no dec 4 2 3" xfId="387" xr:uid="{638699A3-8AA8-402F-A363-4846E26C4284}"/>
    <cellStyle name="no dec 4 2 4" xfId="388" xr:uid="{F43A63E6-721B-4F31-98EC-355748B06DDB}"/>
    <cellStyle name="no dec 5" xfId="389" xr:uid="{9DF88965-016F-4B7B-B241-55064403F44B}"/>
    <cellStyle name="no dec 5 2" xfId="390" xr:uid="{9FB868BA-41FE-4DEF-A364-3E19D65118FB}"/>
    <cellStyle name="no dec 5 3" xfId="391" xr:uid="{E3220918-6995-4E5E-8060-973E4E10D40C}"/>
    <cellStyle name="no dec 5 4" xfId="392" xr:uid="{4F683695-F441-4C7E-B867-85B1392B58C9}"/>
    <cellStyle name="no dec 5 5" xfId="393" xr:uid="{AE00C20F-325F-4EBE-8A23-03D214D2D233}"/>
    <cellStyle name="no dec 5 6" xfId="394" xr:uid="{021D05FB-15F9-4B5B-AD43-0F6DD403CD9E}"/>
    <cellStyle name="no dec 5 7" xfId="395" xr:uid="{599C948F-D4E0-41AE-AB2C-88091A6470E7}"/>
    <cellStyle name="no dec 5 8" xfId="396" xr:uid="{15F163F0-4076-426F-838B-D80CA8AB1538}"/>
    <cellStyle name="no dec 5 9" xfId="397" xr:uid="{CFDFB8CD-140D-427F-A03F-B7007144291D}"/>
    <cellStyle name="no dec 6" xfId="398" xr:uid="{4A94CABF-5B2D-4F0F-B14B-C9EE16521166}"/>
    <cellStyle name="no dec 6 2" xfId="399" xr:uid="{1485E7A4-CA98-4F10-9BFF-20185D37694A}"/>
    <cellStyle name="no dec 6 3" xfId="400" xr:uid="{0CACA548-50F7-4562-9CB7-2163ED42AF7F}"/>
    <cellStyle name="no dec 6 4" xfId="401" xr:uid="{E50FFDE8-FE83-4175-8C1B-41409C7FDBA0}"/>
    <cellStyle name="no dec 7" xfId="402" xr:uid="{E37B8777-E4D6-4B7A-B2E2-ABF649F9A868}"/>
    <cellStyle name="no dec 7 2" xfId="403" xr:uid="{26C8BAEC-6888-4ED3-B833-CC817AAA2CF2}"/>
    <cellStyle name="no dec 7 3" xfId="404" xr:uid="{D2AB9F34-6390-40B6-9989-AD5946763C39}"/>
    <cellStyle name="no dec 7 4" xfId="405" xr:uid="{4521F020-BC5D-480F-8B99-AD932826C9A2}"/>
    <cellStyle name="no dec 8" xfId="406" xr:uid="{4F2440EA-6873-40F7-958D-6E24FE3BD333}"/>
    <cellStyle name="no dec 8 2" xfId="407" xr:uid="{9D02384C-9AAD-459D-B485-F02842AB616C}"/>
    <cellStyle name="no dec 8 3" xfId="408" xr:uid="{3C24E91D-A8FB-4F74-B599-24E127BAD8EE}"/>
    <cellStyle name="no dec 8 4" xfId="409" xr:uid="{FC520AE8-EF3A-46A0-A80F-4A9212DF138D}"/>
    <cellStyle name="no dec 9" xfId="410" xr:uid="{9C353FBB-370C-417F-8B39-F28BF9B76D42}"/>
    <cellStyle name="no dec 9 2" xfId="411" xr:uid="{3F09AEC3-FACE-40F6-AAEF-0EF742F9EB2D}"/>
    <cellStyle name="no dec 9 3" xfId="412" xr:uid="{9397EFFE-684F-4B6F-8A67-EEA94DF69093}"/>
    <cellStyle name="no dec 9 4" xfId="413" xr:uid="{E52D89A0-3CE6-466D-84D3-12C461562BC0}"/>
    <cellStyle name="Normal" xfId="0" builtinId="0"/>
    <cellStyle name="Normal - Style1" xfId="414" xr:uid="{4C367E60-5669-4C14-8FB3-1D04A3E0BBD7}"/>
    <cellStyle name="Normal 1" xfId="415" xr:uid="{9E65CEB4-EE68-4CA1-B825-F505E9B10F40}"/>
    <cellStyle name="Normal 10" xfId="416" xr:uid="{FA208EE0-60E9-4F55-BBAF-67092E2BD052}"/>
    <cellStyle name="Normal 11" xfId="417" xr:uid="{0A0E48E9-B12F-4031-96AE-81B3434C1D95}"/>
    <cellStyle name="Normal 12" xfId="418" xr:uid="{BED9DD5C-AED8-43CD-B60D-4377B0957C46}"/>
    <cellStyle name="Normal 12 2" xfId="419" xr:uid="{C9F7A9D5-7248-4796-80E2-3DB071F96816}"/>
    <cellStyle name="Normal 13" xfId="420" xr:uid="{90DAEB80-E98E-4446-B1A0-AC0A40AC0C5C}"/>
    <cellStyle name="Normal 14" xfId="421" xr:uid="{FEC3BC91-D586-4383-8E56-E49DDF626B53}"/>
    <cellStyle name="Normal 15" xfId="422" xr:uid="{EA44AA37-9ED6-4EBF-8C25-A35107B68AD8}"/>
    <cellStyle name="Normal 2" xfId="423" xr:uid="{68BB0D3D-5106-415A-9ACF-8AE4D2DDCF52}"/>
    <cellStyle name="Normal 2 2" xfId="424" xr:uid="{A2C6B05A-28E8-48CB-890C-1946A3D3984A}"/>
    <cellStyle name="Normal 2 2 2" xfId="425" xr:uid="{01872CAA-3DAB-4CBE-88AE-DF2913775061}"/>
    <cellStyle name="Normal 2 3" xfId="426" xr:uid="{198A9421-2530-4C77-8CB7-814C266BBB89}"/>
    <cellStyle name="Normal 2 4" xfId="427" xr:uid="{5E05AF90-2095-4389-AAC8-A3E27C14FD1A}"/>
    <cellStyle name="Normal 2 5" xfId="428" xr:uid="{36363D45-66DB-4492-B816-6D470CFD4A9B}"/>
    <cellStyle name="Normal 2 6" xfId="429" xr:uid="{8EB4BB6B-7D71-460E-B049-EC8DC0A2BE8E}"/>
    <cellStyle name="Normal 2 7" xfId="430" xr:uid="{437EBC5F-5E55-4AB4-8AB9-B79F92FFCA56}"/>
    <cellStyle name="Normal 2_Adjustment Bureau (2)" xfId="431" xr:uid="{BF9172E3-4AD6-42E8-B4DE-FF7ACEF58EA5}"/>
    <cellStyle name="Normal 3" xfId="432" xr:uid="{95C2585F-EA4B-4A4E-8A05-BCF624012AF8}"/>
    <cellStyle name="Normal 3 2" xfId="433" xr:uid="{70FBD147-26B1-4E13-9469-C71AE0FDB71C}"/>
    <cellStyle name="Normal 3 2 2" xfId="434" xr:uid="{B5B80D03-A68E-4D54-A482-D719895B8E86}"/>
    <cellStyle name="Normal 3 3" xfId="435" xr:uid="{7229ED92-82B1-4673-93AD-D86E385723B1}"/>
    <cellStyle name="Normal 3_ADJUSTMENT BUREAU" xfId="436" xr:uid="{4D8F8710-8970-43B4-A195-76A471CDEAC8}"/>
    <cellStyle name="Normal 4" xfId="437" xr:uid="{438511DF-2BCB-4923-9794-6CD66EAA5862}"/>
    <cellStyle name="Normal 4 2" xfId="438" xr:uid="{58A59464-079F-4C05-875D-1C542B9EB5BD}"/>
    <cellStyle name="Normal 5" xfId="439" xr:uid="{3D44A0E8-2848-49FE-B2DD-FDDDC2CF15A0}"/>
    <cellStyle name="Normal 5 2" xfId="440" xr:uid="{17ED5072-0167-4740-8994-752F85CC1F89}"/>
    <cellStyle name="Normal 6" xfId="441" xr:uid="{EDEB8267-9822-44ED-A78C-2F481FD286A3}"/>
    <cellStyle name="Normal 6 2" xfId="442" xr:uid="{B59FE8DC-CE17-471E-B2DA-6C01B710BB7D}"/>
    <cellStyle name="Normal 6 2 2" xfId="443" xr:uid="{7538D8CE-E026-43C7-8992-283BB1C79984}"/>
    <cellStyle name="Normal 6 3" xfId="444" xr:uid="{F9DF1FA6-7612-4FD8-B273-2A1E6AE9424C}"/>
    <cellStyle name="Normal 6_Xl0000068" xfId="445" xr:uid="{42B93E88-5F0B-4397-A358-6A6C9C243522}"/>
    <cellStyle name="Normal 7" xfId="446" xr:uid="{1EFB6958-7444-4D2A-A74F-B52A033E9000}"/>
    <cellStyle name="Normal 8" xfId="447" xr:uid="{31E96B46-8499-404B-91C1-0B7FFC9DE98B}"/>
    <cellStyle name="Normal 9" xfId="448" xr:uid="{91A3571B-6BCB-439B-B845-FD8250865699}"/>
    <cellStyle name="Percent [2]" xfId="449" xr:uid="{4FBF0707-6B34-4C34-AB0D-9276BC622DE8}"/>
    <cellStyle name="Percent [2] 10" xfId="450" xr:uid="{72BD3B4A-2E6A-46EF-82B9-A51D4CD3F283}"/>
    <cellStyle name="Percent [2] 10 2" xfId="451" xr:uid="{7E78F003-5C2C-4D41-96BE-A7C6503DFAD2}"/>
    <cellStyle name="Percent [2] 10 2 2" xfId="452" xr:uid="{F1DF2236-E0A8-4B27-9D7C-AD69ACF776FF}"/>
    <cellStyle name="Percent [2] 10 2 3" xfId="453" xr:uid="{9E4A043D-DA8F-48D7-80F1-DB4CF2FA49E2}"/>
    <cellStyle name="Percent [2] 10 2 4" xfId="454" xr:uid="{B0B6988A-254A-42C0-AF87-A614CB9ABFDF}"/>
    <cellStyle name="Percent [2] 11" xfId="455" xr:uid="{3C046DFF-58D1-423F-8A4F-D60492E5E5B3}"/>
    <cellStyle name="Percent [2] 11 2" xfId="456" xr:uid="{0C2B1216-7F8E-4BBA-9717-0FDD90ABB0EC}"/>
    <cellStyle name="Percent [2] 11 3" xfId="457" xr:uid="{4597192B-8252-4E6D-931A-B22F701E5F45}"/>
    <cellStyle name="Percent [2] 11 4" xfId="458" xr:uid="{47A9ED9D-E81A-431E-A50F-85A77B094AA8}"/>
    <cellStyle name="Percent [2] 12" xfId="459" xr:uid="{386A0051-8623-475A-B15D-79D67EED6A30}"/>
    <cellStyle name="Percent [2] 12 2" xfId="460" xr:uid="{3BC3F399-CCBD-4E22-A127-6F314CACC484}"/>
    <cellStyle name="Percent [2] 12 3" xfId="461" xr:uid="{ECC8059E-2299-4AA8-8C5F-B734B9B44884}"/>
    <cellStyle name="Percent [2] 12 4" xfId="462" xr:uid="{CE667AE0-B92A-46EC-B29B-2DF83713C709}"/>
    <cellStyle name="Percent [2] 13" xfId="463" xr:uid="{809A71D2-D81A-46C7-8A94-6450BF3EC6D6}"/>
    <cellStyle name="Percent [2] 13 2" xfId="464" xr:uid="{9052F104-564C-43D9-8B68-5A38FA9401AE}"/>
    <cellStyle name="Percent [2] 13 3" xfId="465" xr:uid="{976B5123-18D8-46BB-9CA9-ED4D3CC7F073}"/>
    <cellStyle name="Percent [2] 13 4" xfId="466" xr:uid="{68B27F56-4FD3-442F-90FC-90342BA34EEC}"/>
    <cellStyle name="Percent [2] 14" xfId="467" xr:uid="{8D410F4C-B966-4E16-8BF5-E0C3EA1BDFB6}"/>
    <cellStyle name="Percent [2] 14 2" xfId="468" xr:uid="{F07C1351-9A39-4253-AB71-3AB29A734333}"/>
    <cellStyle name="Percent [2] 14 3" xfId="469" xr:uid="{8961C674-831A-4736-A58E-8BD24EDE0961}"/>
    <cellStyle name="Percent [2] 14 4" xfId="470" xr:uid="{D0F074A7-7FF3-4E34-8281-E6B064002A1B}"/>
    <cellStyle name="Percent [2] 15" xfId="471" xr:uid="{DBE6F44D-88B0-44FB-93D0-98047BC35DFD}"/>
    <cellStyle name="Percent [2] 15 2" xfId="472" xr:uid="{99DCF390-A672-4732-B525-50CC76651121}"/>
    <cellStyle name="Percent [2] 15 3" xfId="473" xr:uid="{860E8BCC-2ABF-40C1-9498-DCEF40D9807C}"/>
    <cellStyle name="Percent [2] 15 4" xfId="474" xr:uid="{E6A0878A-B398-40BF-9376-BB3710B29219}"/>
    <cellStyle name="Percent [2] 16" xfId="475" xr:uid="{AC0AE8C9-2DAF-4D47-A3EE-587C904107D5}"/>
    <cellStyle name="Percent [2] 16 2" xfId="476" xr:uid="{E9718D29-5935-4D0E-A25D-E08BB43E107F}"/>
    <cellStyle name="Percent [2] 16 3" xfId="477" xr:uid="{21E15E25-0F95-4631-9E0C-D6DE7F5C1261}"/>
    <cellStyle name="Percent [2] 16 4" xfId="478" xr:uid="{FE83FE5A-F457-4EC7-B787-658955BF0105}"/>
    <cellStyle name="Percent [2] 17" xfId="479" xr:uid="{78511683-2FBC-4F7F-AF4D-BBABF07FE717}"/>
    <cellStyle name="Percent [2] 17 2" xfId="480" xr:uid="{E11DB659-E3FF-48BD-B5AE-BBD5D9EA7582}"/>
    <cellStyle name="Percent [2] 17 3" xfId="481" xr:uid="{2B076EDA-28C3-4835-9B6B-47BAF4E03182}"/>
    <cellStyle name="Percent [2] 17 4" xfId="482" xr:uid="{7C0D4AD2-4CA8-48DB-AF00-766E8ACADADB}"/>
    <cellStyle name="Percent [2] 18" xfId="483" xr:uid="{D8364BDC-C906-4CE2-A5A4-DCF25255F5C8}"/>
    <cellStyle name="Percent [2] 18 2" xfId="484" xr:uid="{C911B48F-9B11-49EA-B880-FC21F491640C}"/>
    <cellStyle name="Percent [2] 18 3" xfId="485" xr:uid="{67F1BBA2-C7CF-446B-B829-8ACE5228663D}"/>
    <cellStyle name="Percent [2] 18 4" xfId="486" xr:uid="{B9CE8BAE-EEC5-4A73-9D79-00C0966E4392}"/>
    <cellStyle name="Percent [2] 19" xfId="487" xr:uid="{2121EAA4-5B0D-4BBE-981D-99AA5C3E491A}"/>
    <cellStyle name="Percent [2] 19 2" xfId="488" xr:uid="{9F5A15F7-718C-4CBD-BA34-17701711447C}"/>
    <cellStyle name="Percent [2] 19 3" xfId="489" xr:uid="{B572B872-6C8E-4809-9ACC-22C9A2BC05F7}"/>
    <cellStyle name="Percent [2] 19 4" xfId="490" xr:uid="{3B5253B2-B28B-44DA-9C92-F338370B4708}"/>
    <cellStyle name="Percent [2] 2" xfId="491" xr:uid="{1D256123-41F5-4945-A386-D05EDE73E25E}"/>
    <cellStyle name="Percent [2] 2 10" xfId="492" xr:uid="{060E7A84-B141-4506-9805-6EE36140108F}"/>
    <cellStyle name="Percent [2] 2 10 2" xfId="493" xr:uid="{5CBEC24A-4D5B-4D59-BDCE-9AF50520E8F7}"/>
    <cellStyle name="Percent [2] 2 10 3" xfId="494" xr:uid="{706436B1-737A-4EAE-8867-3AF314C4F405}"/>
    <cellStyle name="Percent [2] 2 10 4" xfId="495" xr:uid="{0D964690-7AF8-47A5-B2ED-BC49912274D0}"/>
    <cellStyle name="Percent [2] 2 11" xfId="496" xr:uid="{0993D64A-804F-49D7-98E3-44287A6F9508}"/>
    <cellStyle name="Percent [2] 2 11 2" xfId="497" xr:uid="{E6621F2A-4466-4FED-B2DB-F1F5A0721507}"/>
    <cellStyle name="Percent [2] 2 11 3" xfId="498" xr:uid="{400468EC-F62A-40BB-8412-FA170876DC06}"/>
    <cellStyle name="Percent [2] 2 11 4" xfId="499" xr:uid="{BCD53301-A93F-45A0-BBBE-8B95D2195B2F}"/>
    <cellStyle name="Percent [2] 2 12" xfId="500" xr:uid="{9E8BCBB4-4B95-4877-BA22-A3EE478AEC17}"/>
    <cellStyle name="Percent [2] 2 12 2" xfId="501" xr:uid="{F4045791-43CC-4962-9BD0-74FD1560C565}"/>
    <cellStyle name="Percent [2] 2 12 3" xfId="502" xr:uid="{4D310BA8-E482-4068-9673-C3B799864ECF}"/>
    <cellStyle name="Percent [2] 2 12 4" xfId="503" xr:uid="{56979EC5-A894-4703-B714-AE15C439E591}"/>
    <cellStyle name="Percent [2] 2 13" xfId="504" xr:uid="{2BB547AC-33EB-4E55-9AD2-ED9997E570A2}"/>
    <cellStyle name="Percent [2] 2 13 2" xfId="505" xr:uid="{F4546EB4-398F-4CC5-A49B-20FC7DAF2BCF}"/>
    <cellStyle name="Percent [2] 2 13 3" xfId="506" xr:uid="{7153765F-EBDE-4CAC-BFD4-8950BB5686F9}"/>
    <cellStyle name="Percent [2] 2 13 4" xfId="507" xr:uid="{8319BCF1-C68E-4DB5-B764-4ACAA3254450}"/>
    <cellStyle name="Percent [2] 2 14" xfId="508" xr:uid="{B8481B55-25A8-4650-A2DC-690DC424EFA1}"/>
    <cellStyle name="Percent [2] 2 14 2" xfId="509" xr:uid="{45EC7A99-1A46-4A2C-A265-A4DE885B7446}"/>
    <cellStyle name="Percent [2] 2 14 3" xfId="510" xr:uid="{5FCEA42A-B5C5-498E-942D-A4135C9DD2AC}"/>
    <cellStyle name="Percent [2] 2 14 4" xfId="511" xr:uid="{9C7F6642-AC25-49AD-BDCF-A7A24B8C91B2}"/>
    <cellStyle name="Percent [2] 2 15" xfId="512" xr:uid="{5B709B7E-C1AC-4263-9C6C-B893CB54B556}"/>
    <cellStyle name="Percent [2] 2 15 2" xfId="513" xr:uid="{44FE0B52-649E-49C8-98D4-38F8032E3BD0}"/>
    <cellStyle name="Percent [2] 2 15 3" xfId="514" xr:uid="{E082066B-C798-4610-9544-BF200C5377AA}"/>
    <cellStyle name="Percent [2] 2 15 4" xfId="515" xr:uid="{6DCA6B8A-C45C-4DD7-81FA-58F51EF9F2D1}"/>
    <cellStyle name="Percent [2] 2 16" xfId="516" xr:uid="{9002F48D-6311-4387-BC97-4EF011ACA603}"/>
    <cellStyle name="Percent [2] 2 16 2" xfId="517" xr:uid="{16B144A3-FF8C-4CC2-AD08-EC1183DE6AEE}"/>
    <cellStyle name="Percent [2] 2 16 3" xfId="518" xr:uid="{DF0FCD37-E006-4521-A053-08FD27B282E4}"/>
    <cellStyle name="Percent [2] 2 16 4" xfId="519" xr:uid="{3FA5EEAF-1435-460B-9A63-BAF30427566D}"/>
    <cellStyle name="Percent [2] 2 2" xfId="520" xr:uid="{1BFD156C-B80E-4B1E-B678-BB01C5EC3A17}"/>
    <cellStyle name="Percent [2] 2 2 2" xfId="521" xr:uid="{BA896A0E-4492-4647-9956-2FF9ABBE400C}"/>
    <cellStyle name="Percent [2] 2 2 3" xfId="522" xr:uid="{C8D3D298-79E6-4F75-8616-DA9BDFBB4364}"/>
    <cellStyle name="Percent [2] 2 2 4" xfId="523" xr:uid="{A3A71DBB-48F5-48DC-B503-D30358E0FD65}"/>
    <cellStyle name="Percent [2] 2 3" xfId="524" xr:uid="{5248A0B4-9297-4242-99DB-4DD7541AEBE4}"/>
    <cellStyle name="Percent [2] 2 3 2" xfId="525" xr:uid="{C02E52E1-08D3-4A34-93B4-9BE167EAA91C}"/>
    <cellStyle name="Percent [2] 2 3 3" xfId="526" xr:uid="{B6EC63ED-DAF9-4F75-8A7C-8F0FBFAB4F4E}"/>
    <cellStyle name="Percent [2] 2 3 4" xfId="527" xr:uid="{6DCC5956-A729-4031-A0ED-7876BDB5DE74}"/>
    <cellStyle name="Percent [2] 2 4" xfId="528" xr:uid="{85356A12-75CA-4934-A05C-8A656D05FFD5}"/>
    <cellStyle name="Percent [2] 2 4 2" xfId="529" xr:uid="{D53C2F09-9A5D-4928-BF4A-0BEC814C1349}"/>
    <cellStyle name="Percent [2] 2 4 3" xfId="530" xr:uid="{9B27048D-DEA7-4AFB-BC68-27BCD0434C59}"/>
    <cellStyle name="Percent [2] 2 4 4" xfId="531" xr:uid="{B71C71E0-B20D-41BB-9356-5F2CB2CCE5C8}"/>
    <cellStyle name="Percent [2] 2 5" xfId="532" xr:uid="{2FF672FC-FCFE-4B30-89CB-6B7F15241947}"/>
    <cellStyle name="Percent [2] 2 5 2" xfId="533" xr:uid="{D5EFBBE6-AD34-47D2-B11E-2F312F5B8E98}"/>
    <cellStyle name="Percent [2] 2 5 3" xfId="534" xr:uid="{5FFCF14D-2CF0-43F0-B68C-D51794B96582}"/>
    <cellStyle name="Percent [2] 2 5 4" xfId="535" xr:uid="{5C10DE23-19BE-493B-AD84-AB6CA93A6E50}"/>
    <cellStyle name="Percent [2] 2 6" xfId="536" xr:uid="{6DC52CE3-4462-4052-9734-1879936A146E}"/>
    <cellStyle name="Percent [2] 2 6 2" xfId="537" xr:uid="{FF1F4775-F2D5-456B-8015-A302D102E49D}"/>
    <cellStyle name="Percent [2] 2 6 3" xfId="538" xr:uid="{8DF86A71-62E1-46DE-8AEF-AB26A814BA38}"/>
    <cellStyle name="Percent [2] 2 6 4" xfId="539" xr:uid="{FF0FA1E8-C6B5-4093-B9E8-FFD5D0EC0990}"/>
    <cellStyle name="Percent [2] 2 7" xfId="540" xr:uid="{168E51D1-EC56-4994-A73A-35E350DA77F2}"/>
    <cellStyle name="Percent [2] 2 7 2" xfId="541" xr:uid="{0EB770A1-ECA6-4E34-820A-82F363434F5B}"/>
    <cellStyle name="Percent [2] 2 7 3" xfId="542" xr:uid="{17C32775-DD11-4986-AD33-0783EEFD541F}"/>
    <cellStyle name="Percent [2] 2 7 4" xfId="543" xr:uid="{67946DC4-4893-4CC4-B9D1-F07761A218E7}"/>
    <cellStyle name="Percent [2] 2 8" xfId="544" xr:uid="{AE01A70A-D526-4D6D-9454-6D3175817871}"/>
    <cellStyle name="Percent [2] 2 8 2" xfId="545" xr:uid="{813EAF70-0E55-4AF0-8B52-834D84447ADA}"/>
    <cellStyle name="Percent [2] 2 8 3" xfId="546" xr:uid="{098B7E04-E3EE-4B44-BADC-5128A0D3627B}"/>
    <cellStyle name="Percent [2] 2 8 4" xfId="547" xr:uid="{56122409-22EF-4E8F-B7E1-EB773A2F8446}"/>
    <cellStyle name="Percent [2] 2 9" xfId="548" xr:uid="{AE6590FD-9FC0-427F-BE1C-FAC1E3402CA2}"/>
    <cellStyle name="Percent [2] 2 9 2" xfId="549" xr:uid="{11BF7812-DA03-4A3A-87AE-E4E8CE785A2A}"/>
    <cellStyle name="Percent [2] 2 9 3" xfId="550" xr:uid="{1B6ADF0A-56BE-43B4-BBF0-BD9F3AF65DBF}"/>
    <cellStyle name="Percent [2] 2 9 4" xfId="551" xr:uid="{08C80B9E-10B1-4200-AB21-3B958B61FCB6}"/>
    <cellStyle name="Percent [2] 20" xfId="552" xr:uid="{91CE48B1-BE8F-4E46-9F7E-2FD0B06F3174}"/>
    <cellStyle name="Percent [2] 20 2" xfId="553" xr:uid="{55E5CFFE-9B74-43C3-A3B1-6C38799A32C5}"/>
    <cellStyle name="Percent [2] 20 3" xfId="554" xr:uid="{1441315B-074D-4D13-8206-899FC2781326}"/>
    <cellStyle name="Percent [2] 20 4" xfId="555" xr:uid="{0987BF56-7ED8-4D90-B452-C20DA166B753}"/>
    <cellStyle name="Percent [2] 21" xfId="556" xr:uid="{11806809-9B4D-431A-BA28-185369134DB7}"/>
    <cellStyle name="Percent [2] 22" xfId="557" xr:uid="{3A3A2172-DCC2-4472-B159-154BD695561B}"/>
    <cellStyle name="Percent [2] 23" xfId="558" xr:uid="{564665B2-94A3-45B5-9D3B-313260788E86}"/>
    <cellStyle name="Percent [2] 24" xfId="559" xr:uid="{8FE0BCE3-8209-4251-9930-A26FE4C3593E}"/>
    <cellStyle name="Percent [2] 25" xfId="560" xr:uid="{9907E09B-3AE0-4892-B9F8-DD6C5B63D85B}"/>
    <cellStyle name="Percent [2] 26" xfId="561" xr:uid="{88D0A03F-7FE9-4911-958B-E14F3AA43103}"/>
    <cellStyle name="Percent [2] 27" xfId="562" xr:uid="{84EF65D7-6A7B-4CDB-9DB4-2EE110E6886C}"/>
    <cellStyle name="Percent [2] 28" xfId="563" xr:uid="{D465E1F8-F48C-4ABD-AB7C-4C8740D924C3}"/>
    <cellStyle name="Percent [2] 29" xfId="564" xr:uid="{54BD5E70-932A-4860-A503-D43F9EC3DE98}"/>
    <cellStyle name="Percent [2] 3" xfId="565" xr:uid="{50A131D3-3F46-4564-AE9C-B244BAFA6F5A}"/>
    <cellStyle name="Percent [2] 3 10" xfId="566" xr:uid="{68476AE5-3040-4ED1-9D6E-B04AA131DD72}"/>
    <cellStyle name="Percent [2] 3 10 2" xfId="567" xr:uid="{EE2654AA-D1D0-4BBC-9912-5779680C43B9}"/>
    <cellStyle name="Percent [2] 3 10 3" xfId="568" xr:uid="{26DBB247-0293-4A6E-9A57-B80FEC499D4D}"/>
    <cellStyle name="Percent [2] 3 10 4" xfId="569" xr:uid="{F43756AD-9DB8-4227-A644-8B1AC73895CC}"/>
    <cellStyle name="Percent [2] 3 11" xfId="570" xr:uid="{F763874A-EB59-41DC-8737-02AC41E023EE}"/>
    <cellStyle name="Percent [2] 3 11 2" xfId="571" xr:uid="{10962696-84A9-4C59-9CB0-804636A09927}"/>
    <cellStyle name="Percent [2] 3 11 3" xfId="572" xr:uid="{DF7B9C79-B715-437B-9B24-4790F69CC74A}"/>
    <cellStyle name="Percent [2] 3 11 4" xfId="573" xr:uid="{B61A9F15-5F65-4EF9-876E-3F9E060D279F}"/>
    <cellStyle name="Percent [2] 3 12" xfId="574" xr:uid="{964C4EDA-B49F-4E81-939C-2FDCB6C55468}"/>
    <cellStyle name="Percent [2] 3 12 2" xfId="575" xr:uid="{125E4B23-DCB4-4C74-A603-59AE30CF1808}"/>
    <cellStyle name="Percent [2] 3 12 3" xfId="576" xr:uid="{2DE382C3-4E3D-495C-B16E-E0EDF5899F2F}"/>
    <cellStyle name="Percent [2] 3 12 4" xfId="577" xr:uid="{0BEAF839-82BD-42E4-94B9-19733B49EB1F}"/>
    <cellStyle name="Percent [2] 3 13" xfId="578" xr:uid="{572B77DD-BCA0-4E87-8298-1D2AD6E5C6F7}"/>
    <cellStyle name="Percent [2] 3 13 2" xfId="579" xr:uid="{F1B0C9BB-B8AF-47C9-9FA0-FB64FBEB0B2C}"/>
    <cellStyle name="Percent [2] 3 13 3" xfId="580" xr:uid="{08DA1530-7D3B-494C-94C0-768E5F9409FA}"/>
    <cellStyle name="Percent [2] 3 13 4" xfId="581" xr:uid="{0FBD8B1A-A244-4971-8EA1-F602088122F0}"/>
    <cellStyle name="Percent [2] 3 14" xfId="582" xr:uid="{5657315C-900D-486A-8C7C-95D802983615}"/>
    <cellStyle name="Percent [2] 3 14 2" xfId="583" xr:uid="{32BA88C4-12F7-46F9-B517-84ED367C8185}"/>
    <cellStyle name="Percent [2] 3 14 3" xfId="584" xr:uid="{5C27C5E6-2427-480D-818D-E3A4E783C1F6}"/>
    <cellStyle name="Percent [2] 3 14 4" xfId="585" xr:uid="{EC35FFCC-0DCE-4E79-8757-A9FC7E22BCAE}"/>
    <cellStyle name="Percent [2] 3 15" xfId="586" xr:uid="{A4901D75-2EA6-472E-8701-DDC679FA8E40}"/>
    <cellStyle name="Percent [2] 3 15 2" xfId="587" xr:uid="{434CF5CF-AA2C-4482-BC61-F4510F9DA7CB}"/>
    <cellStyle name="Percent [2] 3 15 3" xfId="588" xr:uid="{4A774368-382A-4F50-96CD-489013DA211C}"/>
    <cellStyle name="Percent [2] 3 15 4" xfId="589" xr:uid="{519E03B4-1702-4B07-A017-3A4AC63A427F}"/>
    <cellStyle name="Percent [2] 3 16" xfId="590" xr:uid="{503C6A09-ABAD-4CC4-ABC2-066B8AAFA1E4}"/>
    <cellStyle name="Percent [2] 3 16 2" xfId="591" xr:uid="{104B70B6-B52D-4126-A4F5-47C15BC6E8F3}"/>
    <cellStyle name="Percent [2] 3 16 3" xfId="592" xr:uid="{29559FB2-AB3A-4461-8BA3-0BA5D935429A}"/>
    <cellStyle name="Percent [2] 3 16 4" xfId="593" xr:uid="{5F152AC3-6052-4AD5-AEE5-6B3ADE683ED8}"/>
    <cellStyle name="Percent [2] 3 2" xfId="594" xr:uid="{A1D7BB1C-CE78-48D0-B66D-6CC6A45C4863}"/>
    <cellStyle name="Percent [2] 3 2 2" xfId="595" xr:uid="{87D3DEB3-8961-4461-9707-CFC8BE042DB7}"/>
    <cellStyle name="Percent [2] 3 2 3" xfId="596" xr:uid="{CE81C21E-49D6-462F-937B-7FE11F685BB9}"/>
    <cellStyle name="Percent [2] 3 2 4" xfId="597" xr:uid="{BF69B694-C9D6-4319-AA8D-12FF310F123D}"/>
    <cellStyle name="Percent [2] 3 3" xfId="598" xr:uid="{158F0865-A414-46B0-B1ED-60A9B79ABF39}"/>
    <cellStyle name="Percent [2] 3 3 2" xfId="599" xr:uid="{6ADD4676-09CE-429B-962D-76264CDD2C54}"/>
    <cellStyle name="Percent [2] 3 3 3" xfId="600" xr:uid="{623FCBCD-9F0C-43B9-AA42-FF7786C089FA}"/>
    <cellStyle name="Percent [2] 3 3 4" xfId="601" xr:uid="{ED2CC099-1EAB-426B-B497-B68956D3317D}"/>
    <cellStyle name="Percent [2] 3 4" xfId="602" xr:uid="{3B212177-3DF4-4557-99D6-0909FCDA9F56}"/>
    <cellStyle name="Percent [2] 3 4 2" xfId="603" xr:uid="{3341AA07-6305-4DD1-89F7-7CF0DEE05BD9}"/>
    <cellStyle name="Percent [2] 3 4 3" xfId="604" xr:uid="{DB849747-5681-4EF7-9766-9E2F964A071D}"/>
    <cellStyle name="Percent [2] 3 4 4" xfId="605" xr:uid="{FCC661E9-3653-4574-BACB-EB9AB2120AD1}"/>
    <cellStyle name="Percent [2] 3 5" xfId="606" xr:uid="{3063994E-F1AE-4050-A653-7123FD2E7DB4}"/>
    <cellStyle name="Percent [2] 3 5 2" xfId="607" xr:uid="{29040C6D-0C30-44B3-9B3B-1BAC8B1C4736}"/>
    <cellStyle name="Percent [2] 3 5 3" xfId="608" xr:uid="{92BC0346-4045-4C99-B422-7FB474B4EFF8}"/>
    <cellStyle name="Percent [2] 3 5 4" xfId="609" xr:uid="{0177BA19-6EAD-4E86-8EE1-3DD33808C83A}"/>
    <cellStyle name="Percent [2] 3 6" xfId="610" xr:uid="{B90767D7-7CB0-4D3F-AD30-5E3CFF7A93D7}"/>
    <cellStyle name="Percent [2] 3 6 2" xfId="611" xr:uid="{5532175A-A6AF-42F4-A02E-3C0A61DD763F}"/>
    <cellStyle name="Percent [2] 3 6 3" xfId="612" xr:uid="{BD5AB09C-C8C0-486C-B6A2-F0184B7FD29F}"/>
    <cellStyle name="Percent [2] 3 6 4" xfId="613" xr:uid="{58E056CA-9235-4779-BED6-77AC90BB3AA5}"/>
    <cellStyle name="Percent [2] 3 7" xfId="614" xr:uid="{5B4E4FB5-9071-4370-A808-7791A2897036}"/>
    <cellStyle name="Percent [2] 3 7 2" xfId="615" xr:uid="{38B921CA-C87D-42E1-9A17-0034264D84AC}"/>
    <cellStyle name="Percent [2] 3 7 3" xfId="616" xr:uid="{B2838806-A0F7-4A42-AFF0-99997AB26891}"/>
    <cellStyle name="Percent [2] 3 7 4" xfId="617" xr:uid="{CEDC71FD-ACF0-4920-BE32-8A0564F12DE6}"/>
    <cellStyle name="Percent [2] 3 8" xfId="618" xr:uid="{F723ABD4-B3E1-4DBC-8A5C-A80EC84BE2B3}"/>
    <cellStyle name="Percent [2] 3 8 2" xfId="619" xr:uid="{5C8ED88A-CA99-40B8-A6F0-7DEA54D3CDCC}"/>
    <cellStyle name="Percent [2] 3 8 3" xfId="620" xr:uid="{7CD124AA-45DE-41FF-A27D-504062F09816}"/>
    <cellStyle name="Percent [2] 3 8 4" xfId="621" xr:uid="{6D142812-0FC0-4B6E-93F5-55EF26230B85}"/>
    <cellStyle name="Percent [2] 3 9" xfId="622" xr:uid="{61B5BCAA-A5CA-4F53-A68E-9F3F955D0C56}"/>
    <cellStyle name="Percent [2] 3 9 2" xfId="623" xr:uid="{BA8F4D57-F336-45DD-938E-245A8999F2A0}"/>
    <cellStyle name="Percent [2] 3 9 3" xfId="624" xr:uid="{492D7337-F241-488D-B82C-EB18207ED7A9}"/>
    <cellStyle name="Percent [2] 3 9 4" xfId="625" xr:uid="{C716E327-E67C-45C3-892E-558FB04F4EF0}"/>
    <cellStyle name="Percent [2] 30" xfId="626" xr:uid="{0D2B456F-A322-4A31-8C32-078596733D77}"/>
    <cellStyle name="Percent [2] 31" xfId="627" xr:uid="{3AEE74D6-0119-4C14-9049-735A9F57613C}"/>
    <cellStyle name="Percent [2] 32" xfId="628" xr:uid="{3961F75F-3739-4B20-A4CA-4CA3921352D9}"/>
    <cellStyle name="Percent [2] 4" xfId="629" xr:uid="{9DC2406A-E9B5-4AFC-A308-F9B269BBB969}"/>
    <cellStyle name="Percent [2] 4 10" xfId="630" xr:uid="{AD67D906-CC6B-43DA-B693-DB6130FC3D04}"/>
    <cellStyle name="Percent [2] 4 10 2" xfId="631" xr:uid="{A2099ABB-6112-4B88-84B9-BCB648307522}"/>
    <cellStyle name="Percent [2] 4 10 3" xfId="632" xr:uid="{2D2927AB-8A62-4929-BBCF-45272F44DAA8}"/>
    <cellStyle name="Percent [2] 4 10 4" xfId="633" xr:uid="{9F453246-535B-4E2A-AEA6-D8B988A6D080}"/>
    <cellStyle name="Percent [2] 4 11" xfId="634" xr:uid="{18FF45A8-69DB-4D36-929D-31CCA23785AC}"/>
    <cellStyle name="Percent [2] 4 11 2" xfId="635" xr:uid="{948240D9-C9FE-4E52-B031-05B0C57C50C3}"/>
    <cellStyle name="Percent [2] 4 11 3" xfId="636" xr:uid="{87200E37-B70F-48D5-95C2-7C9AE9A728B9}"/>
    <cellStyle name="Percent [2] 4 11 4" xfId="637" xr:uid="{09C83926-5E31-44F7-8CD7-72EF94F7F092}"/>
    <cellStyle name="Percent [2] 4 12" xfId="638" xr:uid="{0E6DC18C-2AD9-45CE-8CFB-CAEC3A60853A}"/>
    <cellStyle name="Percent [2] 4 12 2" xfId="639" xr:uid="{D5593EF5-82A0-44D0-A5CC-6B66E798A855}"/>
    <cellStyle name="Percent [2] 4 12 3" xfId="640" xr:uid="{9EC0B084-97A3-4758-89DF-E584609C2656}"/>
    <cellStyle name="Percent [2] 4 12 4" xfId="641" xr:uid="{0B2B276B-340D-400D-8A39-2D862FF366C7}"/>
    <cellStyle name="Percent [2] 4 13" xfId="642" xr:uid="{D9B77E0C-2655-498F-8EB5-E54E11114B20}"/>
    <cellStyle name="Percent [2] 4 13 2" xfId="643" xr:uid="{CE582889-6DF7-4363-B842-B6EE84FE251B}"/>
    <cellStyle name="Percent [2] 4 13 3" xfId="644" xr:uid="{72D53200-94EA-466B-8752-793039177933}"/>
    <cellStyle name="Percent [2] 4 13 4" xfId="645" xr:uid="{47716DF7-19FF-479D-B9FF-356265C32124}"/>
    <cellStyle name="Percent [2] 4 14" xfId="646" xr:uid="{E3CB0FAE-E135-441F-B8C4-E25FD63A50CF}"/>
    <cellStyle name="Percent [2] 4 14 2" xfId="647" xr:uid="{92948D2E-C298-4065-A5D5-741164D3CAF2}"/>
    <cellStyle name="Percent [2] 4 14 3" xfId="648" xr:uid="{5400AEDF-9E1F-4D87-A3A1-CF98F95D9DBA}"/>
    <cellStyle name="Percent [2] 4 14 4" xfId="649" xr:uid="{4ED04962-CD7A-4807-80AE-4F456A307E52}"/>
    <cellStyle name="Percent [2] 4 15" xfId="650" xr:uid="{39B25857-6E9D-405B-9A17-9C962528B4B9}"/>
    <cellStyle name="Percent [2] 4 15 2" xfId="651" xr:uid="{A1E00355-6816-4EC3-B933-44C37BAB4B50}"/>
    <cellStyle name="Percent [2] 4 15 3" xfId="652" xr:uid="{963ED636-50D4-4A0C-B527-BF4F89292688}"/>
    <cellStyle name="Percent [2] 4 15 4" xfId="653" xr:uid="{15E4CC5F-407A-41B3-B0FA-92F59CB5048F}"/>
    <cellStyle name="Percent [2] 4 16" xfId="654" xr:uid="{C3E09F1F-5281-4EA1-B85F-C1AE74E76618}"/>
    <cellStyle name="Percent [2] 4 16 2" xfId="655" xr:uid="{41A4B453-0A40-4B9A-8444-F1B488ECC74B}"/>
    <cellStyle name="Percent [2] 4 16 3" xfId="656" xr:uid="{D431CD5C-A2C0-46FD-947B-F3ABA1F8B5B9}"/>
    <cellStyle name="Percent [2] 4 16 4" xfId="657" xr:uid="{A146AD60-A838-457B-ABFA-D45D409469ED}"/>
    <cellStyle name="Percent [2] 4 2" xfId="658" xr:uid="{2E02EF20-E202-44F6-B621-FC25AB9F0BAB}"/>
    <cellStyle name="Percent [2] 4 2 2" xfId="659" xr:uid="{06FDF8F6-D053-4DFE-998C-11488470B944}"/>
    <cellStyle name="Percent [2] 4 2 3" xfId="660" xr:uid="{3D3DB152-AEF7-4687-91F4-4CA2C8A59D7B}"/>
    <cellStyle name="Percent [2] 4 2 4" xfId="661" xr:uid="{5CB2E428-DC59-441E-AC50-4F994631AD6D}"/>
    <cellStyle name="Percent [2] 4 3" xfId="662" xr:uid="{254603DC-92FF-4A8D-A001-F65D52D5B9CA}"/>
    <cellStyle name="Percent [2] 4 3 2" xfId="663" xr:uid="{302BC3E5-D724-423F-BA85-48781E9D9E47}"/>
    <cellStyle name="Percent [2] 4 3 3" xfId="664" xr:uid="{024E85B6-0A72-4B72-AC51-84686CFCCCBA}"/>
    <cellStyle name="Percent [2] 4 3 4" xfId="665" xr:uid="{2186D3CC-CC29-4C36-81DC-1AB40557DBE9}"/>
    <cellStyle name="Percent [2] 4 4" xfId="666" xr:uid="{29984564-943D-40B0-A790-A606759D7DB9}"/>
    <cellStyle name="Percent [2] 4 4 2" xfId="667" xr:uid="{5CE2862B-1C56-41CC-A06F-ED95DECFA93B}"/>
    <cellStyle name="Percent [2] 4 4 3" xfId="668" xr:uid="{ABE6F994-B506-490E-9378-7A45A50E0215}"/>
    <cellStyle name="Percent [2] 4 4 4" xfId="669" xr:uid="{91DADED1-1E04-4EDD-8FFF-58DAC6CB7A73}"/>
    <cellStyle name="Percent [2] 4 5" xfId="670" xr:uid="{F0592B9E-1AEE-4C36-A9BE-2B9442C5C75B}"/>
    <cellStyle name="Percent [2] 4 5 2" xfId="671" xr:uid="{164F3DA2-3565-4981-A8C7-759B0B77B703}"/>
    <cellStyle name="Percent [2] 4 5 3" xfId="672" xr:uid="{E575C7C7-7EC4-47E9-8B8C-8A641FAF82A0}"/>
    <cellStyle name="Percent [2] 4 5 4" xfId="673" xr:uid="{4AB8535E-6DEC-40F3-8E24-48A0A9FA45B1}"/>
    <cellStyle name="Percent [2] 4 6" xfId="674" xr:uid="{A18106F1-341D-4765-BD11-4D451DDAE426}"/>
    <cellStyle name="Percent [2] 4 6 2" xfId="675" xr:uid="{8B7D7C04-9354-43D8-9E2B-3728CC197983}"/>
    <cellStyle name="Percent [2] 4 6 3" xfId="676" xr:uid="{97631493-6AF8-4E92-90BE-6EF5724CAE03}"/>
    <cellStyle name="Percent [2] 4 6 4" xfId="677" xr:uid="{A72F0545-ACD4-4EFA-80A7-7279704FEB20}"/>
    <cellStyle name="Percent [2] 4 7" xfId="678" xr:uid="{3ECCA1D5-7739-4293-A19A-259F8B53CB41}"/>
    <cellStyle name="Percent [2] 4 7 2" xfId="679" xr:uid="{CC72BB0A-AADB-4329-917A-9A14E0EF427D}"/>
    <cellStyle name="Percent [2] 4 7 3" xfId="680" xr:uid="{440A418E-08D0-487F-BC06-9A9BAE6D91E9}"/>
    <cellStyle name="Percent [2] 4 7 4" xfId="681" xr:uid="{00F1ED13-9CFA-40A7-B637-F0F7CB308D66}"/>
    <cellStyle name="Percent [2] 4 8" xfId="682" xr:uid="{2E7B36F8-CAF1-4562-B7CA-CA0C569BF900}"/>
    <cellStyle name="Percent [2] 4 8 2" xfId="683" xr:uid="{3ADF2591-5EFF-4C05-93AD-A5A6A67AFCB3}"/>
    <cellStyle name="Percent [2] 4 8 3" xfId="684" xr:uid="{C83DDD31-8CAB-4CF7-9397-26F2A9D040C4}"/>
    <cellStyle name="Percent [2] 4 8 4" xfId="685" xr:uid="{D23C8A46-5AD8-41DF-9D5E-5033973E48F1}"/>
    <cellStyle name="Percent [2] 4 9" xfId="686" xr:uid="{83E93E13-0CEA-4D84-8608-BD8BD5426810}"/>
    <cellStyle name="Percent [2] 4 9 2" xfId="687" xr:uid="{0B038E57-0F06-4820-8DEC-441D259CF631}"/>
    <cellStyle name="Percent [2] 4 9 3" xfId="688" xr:uid="{5965A8E9-C154-46B9-9BA8-CB47B7DB4F56}"/>
    <cellStyle name="Percent [2] 4 9 4" xfId="689" xr:uid="{DA1CB208-1598-4938-B204-46D1F3622519}"/>
    <cellStyle name="Percent [2] 5" xfId="690" xr:uid="{B8D8AA28-3DC4-4CF5-8F0C-CEEA50571E9F}"/>
    <cellStyle name="Percent [2] 5 10" xfId="691" xr:uid="{B61A307D-F8D9-439E-A5E5-FAAEEDE5E7D7}"/>
    <cellStyle name="Percent [2] 5 10 2" xfId="692" xr:uid="{E06A4A27-3FDB-4849-8B40-9C4B97E4085D}"/>
    <cellStyle name="Percent [2] 5 10 3" xfId="693" xr:uid="{7265DA7F-17F1-4904-99C2-38F688E5BB55}"/>
    <cellStyle name="Percent [2] 5 10 4" xfId="694" xr:uid="{865A0773-27FA-440B-B1C7-04172EB9371C}"/>
    <cellStyle name="Percent [2] 5 11" xfId="695" xr:uid="{3DEB1555-537B-4D3D-B173-315D8BA37C74}"/>
    <cellStyle name="Percent [2] 5 11 2" xfId="696" xr:uid="{68E61999-2524-4B81-B451-0E66CFE2DAA6}"/>
    <cellStyle name="Percent [2] 5 11 3" xfId="697" xr:uid="{F672D23A-8E50-48CD-983D-5CCC46845391}"/>
    <cellStyle name="Percent [2] 5 11 4" xfId="698" xr:uid="{E712925C-707F-4584-8AB9-AA6E6156F7B1}"/>
    <cellStyle name="Percent [2] 5 12" xfId="699" xr:uid="{8B8127EA-1503-48E9-9287-783547C792EB}"/>
    <cellStyle name="Percent [2] 5 12 2" xfId="700" xr:uid="{1A1C8EE3-D6A1-4C53-A200-31041A2ECBB2}"/>
    <cellStyle name="Percent [2] 5 12 3" xfId="701" xr:uid="{7C2C7D87-CE0F-4882-B955-FD0A208EB422}"/>
    <cellStyle name="Percent [2] 5 12 4" xfId="702" xr:uid="{BACF45A5-541A-45BC-B06E-46B014A0E311}"/>
    <cellStyle name="Percent [2] 5 13" xfId="703" xr:uid="{A4277163-C5DC-416A-8C91-452BF6061B56}"/>
    <cellStyle name="Percent [2] 5 13 2" xfId="704" xr:uid="{60443D9E-E645-495F-B414-70195D09B550}"/>
    <cellStyle name="Percent [2] 5 13 3" xfId="705" xr:uid="{22E2DE54-E4A6-42B4-B3AF-541759AD001C}"/>
    <cellStyle name="Percent [2] 5 13 4" xfId="706" xr:uid="{395CBCCF-E263-4999-94F9-962D8AC6DB8A}"/>
    <cellStyle name="Percent [2] 5 14" xfId="707" xr:uid="{31FD6D38-87A7-4335-92BB-C8E552729A9C}"/>
    <cellStyle name="Percent [2] 5 14 2" xfId="708" xr:uid="{EEA6A411-B67F-40C7-AEF0-1D5A349191CE}"/>
    <cellStyle name="Percent [2] 5 14 3" xfId="709" xr:uid="{AA69618B-3831-4A2A-9AF7-C8ECA9E43FB5}"/>
    <cellStyle name="Percent [2] 5 14 4" xfId="710" xr:uid="{086D548A-5955-4D70-AE8D-87EAD31D1AA7}"/>
    <cellStyle name="Percent [2] 5 15" xfId="711" xr:uid="{55290531-9F9C-4DDA-8A6C-8CDC9150A307}"/>
    <cellStyle name="Percent [2] 5 15 2" xfId="712" xr:uid="{87B8394C-60EB-425E-BD7D-713ED16ACBCF}"/>
    <cellStyle name="Percent [2] 5 15 3" xfId="713" xr:uid="{D46B34CD-8070-47F6-B25D-523DE61F286D}"/>
    <cellStyle name="Percent [2] 5 15 4" xfId="714" xr:uid="{ACADE370-C1FD-4762-A137-F690AB0FD35E}"/>
    <cellStyle name="Percent [2] 5 16" xfId="715" xr:uid="{FECE6D62-02BF-494D-B19F-B79E2C871C56}"/>
    <cellStyle name="Percent [2] 5 16 2" xfId="716" xr:uid="{13FB38B3-A657-4E7D-88D0-006AA11C62A6}"/>
    <cellStyle name="Percent [2] 5 16 3" xfId="717" xr:uid="{F1F6508C-79AB-4064-8F8F-2DFA7D16A444}"/>
    <cellStyle name="Percent [2] 5 16 4" xfId="718" xr:uid="{3E1925C4-5DB4-42E9-84C5-4B8E50A5D18D}"/>
    <cellStyle name="Percent [2] 5 2" xfId="719" xr:uid="{3FEB3BC3-BA9F-4874-AF8C-AB3E4F56A8FF}"/>
    <cellStyle name="Percent [2] 5 2 2" xfId="720" xr:uid="{99C2670E-C141-48A0-994C-C19F8218B927}"/>
    <cellStyle name="Percent [2] 5 2 3" xfId="721" xr:uid="{2DBC1F45-564E-4C74-ACE8-D821FA498BF6}"/>
    <cellStyle name="Percent [2] 5 2 4" xfId="722" xr:uid="{3A7F58E2-66E5-4212-9FE3-E525CF4C73BD}"/>
    <cellStyle name="Percent [2] 5 3" xfId="723" xr:uid="{A9844F63-C104-410F-83BC-342F9F57DBC1}"/>
    <cellStyle name="Percent [2] 5 3 2" xfId="724" xr:uid="{AE96567F-0769-443F-A32C-CECEEAB96401}"/>
    <cellStyle name="Percent [2] 5 3 3" xfId="725" xr:uid="{FFF5DD81-339C-4EEE-946C-4EF5135FEC33}"/>
    <cellStyle name="Percent [2] 5 3 4" xfId="726" xr:uid="{4064DA94-A9DA-4EAD-B348-52C3C698A8C4}"/>
    <cellStyle name="Percent [2] 5 4" xfId="727" xr:uid="{870F6B5C-A8AC-497E-A949-5349675AE100}"/>
    <cellStyle name="Percent [2] 5 4 2" xfId="728" xr:uid="{70594FEB-9F63-45A8-9CEF-0EB44D6BB7F3}"/>
    <cellStyle name="Percent [2] 5 4 3" xfId="729" xr:uid="{E60B494E-78E4-4654-9C0C-F7BC5D53DC4C}"/>
    <cellStyle name="Percent [2] 5 4 4" xfId="730" xr:uid="{2686007B-34DF-4F75-B483-FCB13DE027EA}"/>
    <cellStyle name="Percent [2] 5 5" xfId="731" xr:uid="{3D98F613-81B9-4D3F-925A-D508014A8214}"/>
    <cellStyle name="Percent [2] 5 5 2" xfId="732" xr:uid="{E1D22E41-46A2-40FB-ACD9-8640DDBCD912}"/>
    <cellStyle name="Percent [2] 5 5 3" xfId="733" xr:uid="{0FD69AB8-BE3F-4C05-85D2-EFB1DCB3A9B0}"/>
    <cellStyle name="Percent [2] 5 5 4" xfId="734" xr:uid="{2844B034-B1B4-4D66-932D-D530ADAA0641}"/>
    <cellStyle name="Percent [2] 5 6" xfId="735" xr:uid="{68F4E4A4-FDB7-4CBE-AF2E-F56B36FB0B67}"/>
    <cellStyle name="Percent [2] 5 6 2" xfId="736" xr:uid="{497B9EF4-1B74-4833-860E-DC0AF7C1D7CE}"/>
    <cellStyle name="Percent [2] 5 6 3" xfId="737" xr:uid="{AB692E8F-D602-47F1-B09C-FF730A8B1929}"/>
    <cellStyle name="Percent [2] 5 6 4" xfId="738" xr:uid="{F66F23B1-4628-4C41-BE08-8DF3C2F999F2}"/>
    <cellStyle name="Percent [2] 5 7" xfId="739" xr:uid="{7792E2D0-1913-4A91-8B10-481DB7082120}"/>
    <cellStyle name="Percent [2] 5 7 2" xfId="740" xr:uid="{1111BC76-6BE3-4EB1-A109-4B2E8C0C1477}"/>
    <cellStyle name="Percent [2] 5 7 3" xfId="741" xr:uid="{371CD59A-A33E-4024-B678-D07FAC7952D6}"/>
    <cellStyle name="Percent [2] 5 7 4" xfId="742" xr:uid="{35529EC0-286F-48CF-9B43-D1153B139E64}"/>
    <cellStyle name="Percent [2] 5 8" xfId="743" xr:uid="{CCC9A884-1B49-411B-974D-438A4F6F6FE3}"/>
    <cellStyle name="Percent [2] 5 8 2" xfId="744" xr:uid="{002A9E66-2CA0-4A06-90C1-E311C9E5D954}"/>
    <cellStyle name="Percent [2] 5 8 3" xfId="745" xr:uid="{92D40A96-7430-4E89-AD64-B423DEFF09CA}"/>
    <cellStyle name="Percent [2] 5 8 4" xfId="746" xr:uid="{93820FC1-164E-45BB-B45F-C3E6D8ECDF40}"/>
    <cellStyle name="Percent [2] 5 9" xfId="747" xr:uid="{6CAEB48D-796B-4775-9CD4-D8AC44315400}"/>
    <cellStyle name="Percent [2] 5 9 2" xfId="748" xr:uid="{1A50483D-DE2E-4751-9F14-89DD3481ACA5}"/>
    <cellStyle name="Percent [2] 5 9 3" xfId="749" xr:uid="{966508FF-C359-442F-A099-6F83CCA99EDA}"/>
    <cellStyle name="Percent [2] 5 9 4" xfId="750" xr:uid="{A8DC80A2-3D68-4DFD-9045-1DE19BADCCE4}"/>
    <cellStyle name="Percent [2] 6" xfId="751" xr:uid="{77F7A663-7692-4493-B1B7-DC348055B26D}"/>
    <cellStyle name="Percent [2] 6 2" xfId="752" xr:uid="{6497E4BF-027B-4106-9FB5-109A6E88C909}"/>
    <cellStyle name="Percent [2] 6 2 2" xfId="753" xr:uid="{ABAF1E0A-9683-46BE-B261-B9C86D5A38AD}"/>
    <cellStyle name="Percent [2] 6 2 3" xfId="754" xr:uid="{4ABB733F-D179-484F-AF37-1AE11569875A}"/>
    <cellStyle name="Percent [2] 6 2 4" xfId="755" xr:uid="{DF5496FC-1AC9-4965-BF3D-A93C728A1DAA}"/>
    <cellStyle name="Percent [2] 7" xfId="756" xr:uid="{767C92A8-78AC-413C-AA9D-BFBBF9C57E1D}"/>
    <cellStyle name="Percent [2] 7 2" xfId="757" xr:uid="{612998DA-8A03-4100-8C04-7E2B04EA06DE}"/>
    <cellStyle name="Percent [2] 7 2 2" xfId="758" xr:uid="{B1180E86-C239-49F5-93E3-2C3EB52215CC}"/>
    <cellStyle name="Percent [2] 7 2 3" xfId="759" xr:uid="{77ED1CD7-D3F0-461D-9889-995C442479A7}"/>
    <cellStyle name="Percent [2] 7 2 4" xfId="760" xr:uid="{8319CB44-1EE6-4454-BD1A-273618B89962}"/>
    <cellStyle name="Percent [2] 8" xfId="761" xr:uid="{34B166C5-65AF-4C49-831E-B93723394517}"/>
    <cellStyle name="Percent [2] 8 2" xfId="762" xr:uid="{45FB6CC6-246E-4B74-B8B5-B91AB261727F}"/>
    <cellStyle name="Percent [2] 8 2 2" xfId="763" xr:uid="{13FA2722-3049-415C-A3D2-04C5890151C4}"/>
    <cellStyle name="Percent [2] 8 2 3" xfId="764" xr:uid="{F75291BB-2D08-4DA1-A335-3F86D0A69591}"/>
    <cellStyle name="Percent [2] 8 2 4" xfId="765" xr:uid="{2F1CFFC2-C957-4C5A-A2DF-E87C93FD15E5}"/>
    <cellStyle name="Percent [2] 9" xfId="766" xr:uid="{CE088D4D-A649-4C85-9BC5-5F0488BFA395}"/>
    <cellStyle name="Percent [2] 9 2" xfId="767" xr:uid="{E8F7E2C3-5B3F-40D4-9D3A-975B7A940EE2}"/>
    <cellStyle name="Percent [2] 9 2 2" xfId="768" xr:uid="{E118534D-4D85-4235-8AC6-53551B0489B4}"/>
    <cellStyle name="Percent [2] 9 2 3" xfId="769" xr:uid="{CF99E1B0-E4EF-403F-8C98-7F3DAD626365}"/>
    <cellStyle name="Percent [2] 9 2 4" xfId="770" xr:uid="{8D1595C8-0007-4B50-887D-82099D921D75}"/>
    <cellStyle name="Percent 10" xfId="771" xr:uid="{4D9B6B0C-AD32-4A05-8631-E3559BE54D7C}"/>
    <cellStyle name="Percent 10 2" xfId="772" xr:uid="{0B77DD25-C475-474B-976B-9E93A024A776}"/>
    <cellStyle name="Percent 10 2 2" xfId="773" xr:uid="{2636BEF7-1B31-4BFF-B8FE-9A9A3435FE8B}"/>
    <cellStyle name="Percent 10 2 3" xfId="774" xr:uid="{A9ECEBDB-E0B1-43AC-808C-CEFB6586A768}"/>
    <cellStyle name="Percent 10 2 4" xfId="775" xr:uid="{7D11CD2C-4E85-4C5A-ABE6-CA9317CEAD64}"/>
    <cellStyle name="Percent 10 3" xfId="776" xr:uid="{F4313BFA-57E4-4432-B70A-0FA8A7D26638}"/>
    <cellStyle name="Percent 10 4" xfId="777" xr:uid="{00B16B48-2C9E-425C-AA7D-7CA2914FC0AE}"/>
    <cellStyle name="Percent 10 5" xfId="778" xr:uid="{F681EDE3-25A9-4E3C-B369-13C07FB52EB2}"/>
    <cellStyle name="Percent 11 2" xfId="779" xr:uid="{32ABFB7F-018B-4D9D-833B-862BD6CEEA96}"/>
    <cellStyle name="Percent 11 2 2" xfId="780" xr:uid="{BB0C227B-D26C-48CF-B95B-1CB154427627}"/>
    <cellStyle name="Percent 11 2 3" xfId="781" xr:uid="{D0ED6D01-62E8-4D09-8C76-F03E02343379}"/>
    <cellStyle name="Percent 11 2 4" xfId="782" xr:uid="{F685D2B3-E3DF-42A3-A800-5CB55E25734B}"/>
    <cellStyle name="Percent 12" xfId="783" xr:uid="{D97BA7D0-A779-4FD7-A7FA-19F1BA5756BD}"/>
    <cellStyle name="Percent 12 2" xfId="784" xr:uid="{0B887A0D-7E01-44DD-90D9-459DCB6B7F60}"/>
    <cellStyle name="Percent 12 3" xfId="785" xr:uid="{39D61C4A-32BA-4ECB-A4C5-5C0A9FEAB77B}"/>
    <cellStyle name="Percent 12 4" xfId="786" xr:uid="{B7E33143-E998-45BA-BE10-FF8DE92870C8}"/>
    <cellStyle name="Percent 13" xfId="787" xr:uid="{FBC5532A-A379-4739-8219-4CFF8A51DD19}"/>
    <cellStyle name="Percent 13 2" xfId="788" xr:uid="{A8466174-D98E-4F03-A5B6-ABE6339E7FFC}"/>
    <cellStyle name="Percent 13 3" xfId="789" xr:uid="{82FC944D-1237-44B2-9BCC-33371B45DF6F}"/>
    <cellStyle name="Percent 13 4" xfId="790" xr:uid="{9A3743DF-EF76-462F-AAD7-252EF183612A}"/>
    <cellStyle name="Percent 14" xfId="791" xr:uid="{9DA3024A-3744-43B4-8FD2-D610DA52EB7E}"/>
    <cellStyle name="Percent 14 2" xfId="792" xr:uid="{366293F7-5F6B-4D90-9D94-2B842F853A76}"/>
    <cellStyle name="Percent 14 3" xfId="793" xr:uid="{2EDF5558-8811-43A6-AF96-B71CCE0795BC}"/>
    <cellStyle name="Percent 14 4" xfId="794" xr:uid="{2F2387A6-6D5F-4860-9C88-9FB05DF7A744}"/>
    <cellStyle name="Percent 15" xfId="795" xr:uid="{3484E629-68C3-4AFA-926E-0FF8A477EB99}"/>
    <cellStyle name="Percent 15 2" xfId="796" xr:uid="{24B61E2F-2E9B-4229-95C1-BD5E87A90750}"/>
    <cellStyle name="Percent 15 3" xfId="797" xr:uid="{4A81B869-7520-4E2D-A171-9013AE03D271}"/>
    <cellStyle name="Percent 15 4" xfId="798" xr:uid="{18A88603-44B1-4464-BB68-8ED50A7BE65A}"/>
    <cellStyle name="Percent 16" xfId="799" xr:uid="{267BBD50-F8A7-4879-8991-2B7E8E803C40}"/>
    <cellStyle name="Percent 16 2" xfId="800" xr:uid="{38476CD5-CF44-48EA-851D-F4F9C5F930A0}"/>
    <cellStyle name="Percent 16 3" xfId="801" xr:uid="{13FB957D-F3C4-4024-A507-681935F98C23}"/>
    <cellStyle name="Percent 16 4" xfId="802" xr:uid="{F8296DF9-8A83-4BCB-A24D-A89A868DACE9}"/>
    <cellStyle name="Percent 17" xfId="803" xr:uid="{8428E688-7B36-451C-9DBC-090A3DB90BC6}"/>
    <cellStyle name="Percent 17 2" xfId="804" xr:uid="{8AFEFD6A-BD43-403E-992B-F4E7AA43C845}"/>
    <cellStyle name="Percent 17 3" xfId="805" xr:uid="{66ACBC24-92C6-4286-BCD7-6953246E5417}"/>
    <cellStyle name="Percent 17 4" xfId="806" xr:uid="{85DD23ED-133A-4CD7-B691-ECA17070ECC2}"/>
    <cellStyle name="Percent 18" xfId="807" xr:uid="{5B578D6F-1DAA-4E2A-B1D6-C5373133B96B}"/>
    <cellStyle name="Percent 18 2" xfId="808" xr:uid="{6EA1850F-015C-46FE-BB10-C1ABE66BF1FF}"/>
    <cellStyle name="Percent 18 3" xfId="809" xr:uid="{0E235D74-5039-45BA-A2E9-2D307D68137B}"/>
    <cellStyle name="Percent 18 4" xfId="810" xr:uid="{D0D62F55-493B-4A67-A349-A4F7AEAA6C4F}"/>
    <cellStyle name="Percent 19" xfId="811" xr:uid="{78A1B8F2-5AB5-4717-91CD-87840355C4D0}"/>
    <cellStyle name="Percent 19 2" xfId="812" xr:uid="{B72C5AE4-5FB3-4743-BA24-001EC44644BC}"/>
    <cellStyle name="Percent 19 3" xfId="813" xr:uid="{6098CDC6-4E5D-435B-AE60-60BD58514276}"/>
    <cellStyle name="Percent 19 4" xfId="814" xr:uid="{BEC6BD4E-AF9A-4409-A300-B56FB3287EF7}"/>
    <cellStyle name="Percent 2" xfId="815" xr:uid="{2EC1D38A-3935-4F4F-B252-EDD6D36752D6}"/>
    <cellStyle name="Percent 2 10" xfId="816" xr:uid="{BCF7B10E-1828-4072-BD00-6C1E6681E9AA}"/>
    <cellStyle name="Percent 2 10 2" xfId="817" xr:uid="{F758E765-E791-48E2-9896-6FE0D396C601}"/>
    <cellStyle name="Percent 2 10 3" xfId="818" xr:uid="{C4ED68C5-714F-43BD-A507-4BAFAEF95C9A}"/>
    <cellStyle name="Percent 2 10 4" xfId="819" xr:uid="{0046594F-B0BA-4EC4-AD44-1462DBD38D68}"/>
    <cellStyle name="Percent 2 11" xfId="820" xr:uid="{43B3F734-5322-44BD-B31A-C9401EB7EB42}"/>
    <cellStyle name="Percent 2 11 2" xfId="821" xr:uid="{339D1C03-D2CA-46AA-B228-73C8B53FB710}"/>
    <cellStyle name="Percent 2 11 3" xfId="822" xr:uid="{D060F0E2-D1DD-4F37-9309-9B1A5281EE67}"/>
    <cellStyle name="Percent 2 11 4" xfId="823" xr:uid="{C250845E-959B-4562-A17E-645B55A08518}"/>
    <cellStyle name="Percent 2 12" xfId="824" xr:uid="{B7C2460B-066A-4FA1-BD65-6B7C5CFE4722}"/>
    <cellStyle name="Percent 2 12 2" xfId="825" xr:uid="{B0FBA581-25B6-4440-A334-DE2B7AC515FB}"/>
    <cellStyle name="Percent 2 12 3" xfId="826" xr:uid="{859FB859-1539-4A8A-9CDD-DC83EB84B484}"/>
    <cellStyle name="Percent 2 12 4" xfId="827" xr:uid="{FBF2B983-2D5E-48B8-B6BF-28EFF7C46BDC}"/>
    <cellStyle name="Percent 2 13" xfId="828" xr:uid="{4BD89B2C-1E78-4C74-BD8B-87963DBBA091}"/>
    <cellStyle name="Percent 2 13 2" xfId="829" xr:uid="{7620FEB9-1606-4A88-8E6A-7F6040049428}"/>
    <cellStyle name="Percent 2 13 3" xfId="830" xr:uid="{60BC0EF6-99EB-4F29-8DF9-C11F5C4B467A}"/>
    <cellStyle name="Percent 2 13 4" xfId="831" xr:uid="{84A56334-7A41-490D-AE44-55CF71D7FBA1}"/>
    <cellStyle name="Percent 2 14" xfId="832" xr:uid="{B1D23746-4268-4579-B55A-033DC540BEE9}"/>
    <cellStyle name="Percent 2 14 2" xfId="833" xr:uid="{07CE285E-6E09-4199-B28C-EC8051076CF6}"/>
    <cellStyle name="Percent 2 14 3" xfId="834" xr:uid="{258245B3-3136-4B9F-A8C0-5EC06B9E05D6}"/>
    <cellStyle name="Percent 2 14 4" xfId="835" xr:uid="{746800C3-EFCF-4957-AC82-43900D456005}"/>
    <cellStyle name="Percent 2 15" xfId="836" xr:uid="{CD38EF14-7392-43D9-92F3-62F94F3DDED1}"/>
    <cellStyle name="Percent 2 15 2" xfId="837" xr:uid="{94E5479C-1564-438C-A6A7-1AB20AD7D7A8}"/>
    <cellStyle name="Percent 2 15 3" xfId="838" xr:uid="{8E2C0A6D-9201-499F-94A9-E7EBE37CDC72}"/>
    <cellStyle name="Percent 2 15 4" xfId="839" xr:uid="{EAC3E45A-80FF-40F8-8722-71B197934B95}"/>
    <cellStyle name="Percent 2 16" xfId="840" xr:uid="{3C2C7338-2CD1-442A-950F-AA474A0519C2}"/>
    <cellStyle name="Percent 2 16 2" xfId="841" xr:uid="{15709818-C10F-462F-8672-A5BACAA506A3}"/>
    <cellStyle name="Percent 2 16 3" xfId="842" xr:uid="{A5793C2D-2461-4AD7-988A-B8F14ABDEE41}"/>
    <cellStyle name="Percent 2 16 4" xfId="843" xr:uid="{711034FB-009E-4B62-977F-0F009DB7A48A}"/>
    <cellStyle name="Percent 2 17" xfId="844" xr:uid="{6F3FC64A-BB19-4840-AABA-BC6F16733168}"/>
    <cellStyle name="Percent 2 18" xfId="845" xr:uid="{79F2E5E6-65B5-4FC2-92C2-883A73B52AB5}"/>
    <cellStyle name="Percent 2 19" xfId="846" xr:uid="{C6300D2C-7722-4747-B0E9-5962C38E86FE}"/>
    <cellStyle name="Percent 2 2" xfId="847" xr:uid="{98344C46-A966-4FE6-BD3D-4B935268958B}"/>
    <cellStyle name="Percent 2 2 2" xfId="848" xr:uid="{48895698-4870-42DE-8534-8CBDAC3C5BFA}"/>
    <cellStyle name="Percent 2 2 2 2" xfId="849" xr:uid="{1E2E0F66-3048-4FAC-9C78-09560314E8C7}"/>
    <cellStyle name="Percent 2 2 2 3" xfId="850" xr:uid="{845316D3-715D-4F50-A07C-03854623701D}"/>
    <cellStyle name="Percent 2 2 2 4" xfId="851" xr:uid="{86E3D0D9-E2B9-41F8-AEF6-CBCFAC84F116}"/>
    <cellStyle name="Percent 2 2 2 5" xfId="852" xr:uid="{5AD55C27-144B-4B15-B5EE-4048AC109949}"/>
    <cellStyle name="Percent 2 2 3" xfId="853" xr:uid="{8ABCB117-AF23-476E-B7EE-4FCEC11C35E8}"/>
    <cellStyle name="Percent 2 20" xfId="854" xr:uid="{A87D57C3-3A3F-48B7-9DF7-5F91EFDC5A0D}"/>
    <cellStyle name="Percent 2 3" xfId="855" xr:uid="{3A95ABE9-07A5-4895-8EA0-B61EA2DD0BF4}"/>
    <cellStyle name="Percent 2 3 2" xfId="856" xr:uid="{528A3862-D8C6-4C35-8FB0-3C90599370FE}"/>
    <cellStyle name="Percent 2 3 2 2" xfId="857" xr:uid="{E498CA51-3AAA-4BEF-B5B4-1D2130AC2ADB}"/>
    <cellStyle name="Percent 2 3 2 3" xfId="858" xr:uid="{F9EDC14A-D80C-4C9A-80BC-994687252D43}"/>
    <cellStyle name="Percent 2 3 2 4" xfId="859" xr:uid="{AF473F3E-68A4-4F44-AFB7-C0ECD12C837B}"/>
    <cellStyle name="Percent 2 3 3" xfId="860" xr:uid="{2E5CA904-E4E3-462A-A569-5456BF538A5E}"/>
    <cellStyle name="Percent 2 4" xfId="861" xr:uid="{43F87FFC-C788-407E-B9F0-51014B3A8780}"/>
    <cellStyle name="Percent 2 4 2" xfId="862" xr:uid="{4D65C5ED-87EA-47A0-9198-D5401D9455C6}"/>
    <cellStyle name="Percent 2 4 2 2" xfId="863" xr:uid="{5F364FDF-1B53-49A1-8317-4B638A7B9A54}"/>
    <cellStyle name="Percent 2 4 2 3" xfId="864" xr:uid="{F84F70D8-400E-4452-8CF2-5F00EFB8B1E8}"/>
    <cellStyle name="Percent 2 4 2 4" xfId="865" xr:uid="{18EE3571-747B-4918-B22D-DB96A79A8CA8}"/>
    <cellStyle name="Percent 2 5" xfId="866" xr:uid="{F1BC9FA3-665B-40BA-92BD-6FE84FBA8165}"/>
    <cellStyle name="Percent 2 5 2" xfId="867" xr:uid="{A9303434-F4E0-42F7-80A2-C80B3789FCFA}"/>
    <cellStyle name="Percent 2 5 2 2" xfId="868" xr:uid="{27ECFF0D-4075-481C-A041-526BBCB61A49}"/>
    <cellStyle name="Percent 2 5 2 3" xfId="869" xr:uid="{7931403E-F3F5-4BB3-89A4-A04D2BA38615}"/>
    <cellStyle name="Percent 2 5 2 4" xfId="870" xr:uid="{A21041A6-E25B-43E0-BCFB-22B329E4F03A}"/>
    <cellStyle name="Percent 2 6" xfId="871" xr:uid="{4F7AC843-8BCB-4572-AA00-00AB2DCC8AE4}"/>
    <cellStyle name="Percent 2 6 2" xfId="872" xr:uid="{0E5E5312-E29F-4961-BB50-33487A9B71C3}"/>
    <cellStyle name="Percent 2 6 2 2" xfId="873" xr:uid="{3F279024-CD27-4387-9584-08E2967E91B3}"/>
    <cellStyle name="Percent 2 6 2 3" xfId="874" xr:uid="{95875553-80FD-46D2-B066-0B7399D8053A}"/>
    <cellStyle name="Percent 2 6 2 4" xfId="875" xr:uid="{784625DD-38AC-4071-92EB-D1C384DE5ACA}"/>
    <cellStyle name="Percent 2 7" xfId="876" xr:uid="{7C314F5A-2641-4B41-8A8E-EFFB8B34FF72}"/>
    <cellStyle name="Percent 2 7 2" xfId="877" xr:uid="{C01F0864-A69B-4F93-A3C2-0F368238E0B8}"/>
    <cellStyle name="Percent 2 7 3" xfId="878" xr:uid="{053F1B62-62B9-4C23-9CA7-E0CC8F4F6231}"/>
    <cellStyle name="Percent 2 7 4" xfId="879" xr:uid="{5FE3D684-CA0E-4B8E-A422-03A1995C5784}"/>
    <cellStyle name="Percent 2 8" xfId="880" xr:uid="{347EE809-7D80-4230-82E9-B429D4610401}"/>
    <cellStyle name="Percent 2 8 2" xfId="881" xr:uid="{BB275B88-39A0-404D-A7AE-AE50AC32DC06}"/>
    <cellStyle name="Percent 2 8 3" xfId="882" xr:uid="{8C9D161D-EC3D-4810-AA9D-1E1A4404C162}"/>
    <cellStyle name="Percent 2 8 4" xfId="883" xr:uid="{BE812E73-5D38-40DB-9785-03EC4C69C8A6}"/>
    <cellStyle name="Percent 2 9" xfId="884" xr:uid="{FA5CF169-63A8-401C-AD19-67EE96C9BB5B}"/>
    <cellStyle name="Percent 2 9 2" xfId="885" xr:uid="{94E5BFD3-E406-4464-AEDA-7C24F0C1795F}"/>
    <cellStyle name="Percent 2 9 3" xfId="886" xr:uid="{D9DD52D4-56EE-43ED-9F6F-58623259BB40}"/>
    <cellStyle name="Percent 2 9 4" xfId="887" xr:uid="{E6635F95-7555-4F9C-8B0B-D7486FD0B63F}"/>
    <cellStyle name="Percent 2_06 Approval Media Plan Jun'09" xfId="888" xr:uid="{261FCD78-6E45-4E94-87CE-CC6EB392E8A8}"/>
    <cellStyle name="Percent 22" xfId="889" xr:uid="{2E3D9AE8-281D-4260-BEDF-515457EBF739}"/>
    <cellStyle name="Percent 23" xfId="890" xr:uid="{6786C33B-C92C-4CF7-A189-9EE3826CDFAC}"/>
    <cellStyle name="Percent 24" xfId="891" xr:uid="{624463A8-96A8-4D41-86DD-FE1483221C2D}"/>
    <cellStyle name="Percent 25" xfId="892" xr:uid="{80635543-AE96-4BC9-A063-1DC67AEA3060}"/>
    <cellStyle name="Percent 29" xfId="893" xr:uid="{DED34D9A-88B4-47BB-8120-02BDFA149BF9}"/>
    <cellStyle name="Percent 3" xfId="894" xr:uid="{862E9173-E0B6-4DA3-B9B6-1984BAE00F66}"/>
    <cellStyle name="Percent 4" xfId="895" xr:uid="{76A14323-36BA-4BA8-A27B-BF811A82FFF4}"/>
    <cellStyle name="Percent 4 2" xfId="896" xr:uid="{5CC058C1-544D-40E6-A7B2-1435B01C231E}"/>
    <cellStyle name="Percent 4 3" xfId="897" xr:uid="{19A5A7A8-D7FB-4016-A33B-637AFEED3F12}"/>
    <cellStyle name="Percent 5" xfId="898" xr:uid="{70DFE4F7-42FE-4E3F-BB12-96EB727118F6}"/>
    <cellStyle name="Percent 5 2" xfId="899" xr:uid="{64B9E842-EE7D-450A-8F6F-AC987EC96935}"/>
    <cellStyle name="Percent 6" xfId="900" xr:uid="{BB36A2AB-E609-4F93-A252-19C6B7E598BB}"/>
    <cellStyle name="Percent 6 2" xfId="901" xr:uid="{4B136245-C78F-4BED-8E1E-619F7AF12955}"/>
    <cellStyle name="Percent 6 3" xfId="902" xr:uid="{0F352CE1-7AB0-4EF7-91BF-D7EC9983B579}"/>
    <cellStyle name="Percent 6 4" xfId="903" xr:uid="{11DE0678-3A6F-44F0-BD78-BC5F1848182D}"/>
    <cellStyle name="Percent 6 5" xfId="904" xr:uid="{60C107EA-5E2A-455A-9CC5-75A77CFBCC9B}"/>
    <cellStyle name="Percent 6 6" xfId="905" xr:uid="{D23DB31A-E8F5-4C67-B2BE-2CE9DAFBBC6F}"/>
    <cellStyle name="Percent 7" xfId="906" xr:uid="{C07A8350-57FF-43C6-BB8A-A1B2BED15800}"/>
    <cellStyle name="Percent 7 2" xfId="907" xr:uid="{2C78DF07-F8FA-4F62-AD41-08314DD53D8B}"/>
    <cellStyle name="Percent 7 3" xfId="908" xr:uid="{D420AA10-2020-4D8F-8651-461D9D205E89}"/>
    <cellStyle name="Percent 7 3 2" xfId="909" xr:uid="{91B0B230-9239-4DA8-B5E0-FAD57BD58F57}"/>
    <cellStyle name="Percent 7 3 3" xfId="910" xr:uid="{AAD43066-72CD-48D2-B88E-24EAF89A5440}"/>
    <cellStyle name="Percent 7 3 4" xfId="911" xr:uid="{7C30A658-988B-4DDD-B7F8-39B6F76EBB39}"/>
    <cellStyle name="Percent 7 4" xfId="912" xr:uid="{3CA405C1-9391-4AA3-9674-38F459E039E2}"/>
    <cellStyle name="Percent 7 5" xfId="913" xr:uid="{5CA14DC7-D552-42E4-B480-F15B643C6D21}"/>
    <cellStyle name="Percent 7 6" xfId="914" xr:uid="{B31C6D07-3028-4318-A115-CEC026203060}"/>
    <cellStyle name="Percent 8" xfId="915" xr:uid="{D34E3069-0BD9-4027-BA21-7AEE2A72F0D6}"/>
    <cellStyle name="Percent 8 2" xfId="916" xr:uid="{3DB7F77B-520D-4E9D-81AE-868A3027C5CB}"/>
    <cellStyle name="Percent 8 2 2" xfId="917" xr:uid="{8B64ADAB-42A3-442E-840D-CDD40EEB17C8}"/>
    <cellStyle name="Percent 8 2 3" xfId="918" xr:uid="{7BC47545-7516-4033-86DC-AAEEB1B3154A}"/>
    <cellStyle name="Percent 8 2 4" xfId="919" xr:uid="{B2113350-3636-4725-9AE5-344F9F18B8FC}"/>
    <cellStyle name="Percent 9" xfId="920" xr:uid="{15EDBAB4-D4C6-4642-BEE1-71D4FEA70FDE}"/>
    <cellStyle name="Percent 9 2" xfId="921" xr:uid="{BD4445D0-53BD-4458-A87A-A01D857B2470}"/>
    <cellStyle name="Percent 9 2 2" xfId="922" xr:uid="{6CF0F3DE-E348-46B2-9816-708E4A9DCA98}"/>
    <cellStyle name="Percent 9 2 3" xfId="923" xr:uid="{AB3F9CF1-E1BD-4A81-98D4-9D34B7D60BCE}"/>
    <cellStyle name="Percent 9 2 4" xfId="924" xr:uid="{FD235515-D1AE-43DA-B064-393FA6872C34}"/>
    <cellStyle name="Separador de milhares [0]_kinslayer" xfId="925" xr:uid="{C41F4E32-9248-4B69-9FDF-BE5E9C1929C6}"/>
    <cellStyle name="Separador de milhares_kinslayer" xfId="926" xr:uid="{DA33709A-9056-4312-B767-9B4F94306CF4}"/>
    <cellStyle name="Standard_Germany_SAP 2003 template" xfId="927" xr:uid="{77482C99-A8A3-43D9-95BD-BC91928D6A1F}"/>
    <cellStyle name="Style 1" xfId="928" xr:uid="{3E515822-342C-4C9B-B4AD-7C4DD46BDC2A}"/>
    <cellStyle name="Style 1 10" xfId="929" xr:uid="{0BEA5504-4A6B-4BDD-9B57-4C01825381A3}"/>
    <cellStyle name="Style 1 10 2" xfId="930" xr:uid="{F3E95D75-B118-476D-9F5E-06F0D0CC12A4}"/>
    <cellStyle name="Style 1 10 3" xfId="931" xr:uid="{995B2882-4289-4B08-8F1D-7B713B80601D}"/>
    <cellStyle name="Style 1 10 4" xfId="932" xr:uid="{AA916700-9B27-4426-8B91-D969BD4DC62E}"/>
    <cellStyle name="Style 1 11" xfId="933" xr:uid="{1C455954-17A1-4A4A-9123-20221754C5F1}"/>
    <cellStyle name="Style 1 11 2" xfId="934" xr:uid="{4865ECA4-33A8-4A7B-B567-B273F277E0B7}"/>
    <cellStyle name="Style 1 11 3" xfId="935" xr:uid="{DDF702F2-3103-4088-B88C-4105F204C878}"/>
    <cellStyle name="Style 1 11 4" xfId="936" xr:uid="{BE297242-AEF5-4718-B1B6-4ECD1545C441}"/>
    <cellStyle name="Style 1 12" xfId="937" xr:uid="{C9242579-03A0-45A9-875E-7A22B058D311}"/>
    <cellStyle name="Style 1 12 2" xfId="938" xr:uid="{29C6B81A-881C-428B-8A56-EF7302302CCC}"/>
    <cellStyle name="Style 1 12 3" xfId="939" xr:uid="{1D3854E3-4522-4F9B-9325-FA84FBFFEA4C}"/>
    <cellStyle name="Style 1 12 4" xfId="940" xr:uid="{09B62E56-A504-4B1A-A7DE-C751C826D2A2}"/>
    <cellStyle name="Style 1 13" xfId="941" xr:uid="{F2D41A85-A63A-4F4C-8D60-CF837C635E05}"/>
    <cellStyle name="Style 1 13 2" xfId="942" xr:uid="{2AC3FEEB-CAEB-426A-AAAC-6FDB456918AA}"/>
    <cellStyle name="Style 1 13 3" xfId="943" xr:uid="{3982F154-2631-4774-8CB7-D57CEB8A7259}"/>
    <cellStyle name="Style 1 13 4" xfId="944" xr:uid="{2AE70061-0307-4BC5-B15F-DC53BE85C154}"/>
    <cellStyle name="Style 1 14" xfId="945" xr:uid="{C46EF96D-AFE0-4D4A-869B-36977ACAEE3E}"/>
    <cellStyle name="Style 1 14 2" xfId="946" xr:uid="{6C3FF6E5-605C-4AD9-BD03-B4EB36DEC8A4}"/>
    <cellStyle name="Style 1 14 3" xfId="947" xr:uid="{8C9301AB-BE4D-45D4-BFCE-BD7A63172F53}"/>
    <cellStyle name="Style 1 14 4" xfId="948" xr:uid="{D13DDC2D-2FC8-499F-B31C-518F2C63BDCF}"/>
    <cellStyle name="Style 1 15" xfId="949" xr:uid="{D6CA9FAD-9601-40BC-A9D8-EB350A4B6FBF}"/>
    <cellStyle name="Style 1 15 2" xfId="950" xr:uid="{EAB55C4E-22A6-4C97-A446-233148BA54F4}"/>
    <cellStyle name="Style 1 15 3" xfId="951" xr:uid="{E962D73D-0A3E-4194-8492-6AA89A2D96D5}"/>
    <cellStyle name="Style 1 15 4" xfId="952" xr:uid="{93D2CCC5-94D1-4979-BC43-4EDAE00E377F}"/>
    <cellStyle name="Style 1 16" xfId="953" xr:uid="{768ED08D-ADA7-4AE6-B9F1-EA5F8AE65CD4}"/>
    <cellStyle name="Style 1 16 2" xfId="954" xr:uid="{DC12A04E-5275-420D-B2C2-36A28D5D9165}"/>
    <cellStyle name="Style 1 16 3" xfId="955" xr:uid="{60AFC213-780B-489F-A47F-975AA9E0126F}"/>
    <cellStyle name="Style 1 16 4" xfId="956" xr:uid="{268DA3A5-13B1-4682-8E3F-F89E03D68DAA}"/>
    <cellStyle name="Style 1 2" xfId="957" xr:uid="{2A8AF525-7B28-4185-AB06-46166FB9904D}"/>
    <cellStyle name="Style 1 2 2" xfId="958" xr:uid="{DA4BCA24-5868-4BC2-901A-AC21B961B73B}"/>
    <cellStyle name="Style 1 2 2 2" xfId="959" xr:uid="{02C7F663-A28F-4C0B-8824-BDD23662F9DF}"/>
    <cellStyle name="Style 1 2 2 3" xfId="960" xr:uid="{E97985FB-A65A-4020-B346-77E54925B28E}"/>
    <cellStyle name="Style 1 2 2 4" xfId="961" xr:uid="{BAEFA5A8-92A8-4C07-AC9B-5AB11024AD1F}"/>
    <cellStyle name="Style 1 3" xfId="962" xr:uid="{1415920A-072F-43CD-9FC9-787041505C38}"/>
    <cellStyle name="Style 1 3 2" xfId="963" xr:uid="{3CDFEDF7-9171-49AC-B00F-DA5022749F46}"/>
    <cellStyle name="Style 1 3 2 2" xfId="964" xr:uid="{6663B3E2-221E-4FF9-8AB8-60B48532F1D0}"/>
    <cellStyle name="Style 1 3 2 3" xfId="965" xr:uid="{C589134C-1D91-466D-9836-CE654D822571}"/>
    <cellStyle name="Style 1 3 2 4" xfId="966" xr:uid="{82A5ECE9-3F79-477D-BDBB-3B398199E1B0}"/>
    <cellStyle name="Style 1 4" xfId="967" xr:uid="{EB4696AB-3360-4B90-AE83-7FB9990E0413}"/>
    <cellStyle name="Style 1 4 2" xfId="968" xr:uid="{EE056786-5DC5-4921-A8A2-EE6D676F1515}"/>
    <cellStyle name="Style 1 4 2 2" xfId="969" xr:uid="{0DEDB7D7-0AB4-4425-ACC9-2C085BA3B9C7}"/>
    <cellStyle name="Style 1 4 2 3" xfId="970" xr:uid="{6F607A51-13FC-4191-B293-BB690779EF8C}"/>
    <cellStyle name="Style 1 4 2 4" xfId="971" xr:uid="{5F0B4E87-C8F0-4060-88A1-A74F7C671703}"/>
    <cellStyle name="Style 1 5" xfId="972" xr:uid="{1B35D642-06BE-493A-9261-6E4FACB3738B}"/>
    <cellStyle name="Style 1 5 2" xfId="973" xr:uid="{C44EAD97-C102-444E-8827-11BA612EE4C1}"/>
    <cellStyle name="Style 1 5 3" xfId="974" xr:uid="{8C2D2C59-B36D-41C5-8C1E-85DC4ECB1509}"/>
    <cellStyle name="Style 1 5 4" xfId="975" xr:uid="{DF514703-0A6D-4D04-AC2A-0D4F155CEA57}"/>
    <cellStyle name="Style 1 5 5" xfId="976" xr:uid="{1C41DD0E-01EF-42C1-9D98-91ACEC20F93A}"/>
    <cellStyle name="Style 1 5 6" xfId="977" xr:uid="{A2B2658C-55B7-4FE9-B829-6ED8831FC228}"/>
    <cellStyle name="Style 1 5 7" xfId="978" xr:uid="{CE6A4F1A-CA0C-4429-BF63-5690D61CB533}"/>
    <cellStyle name="Style 1 5 8" xfId="979" xr:uid="{2BE413D7-1CFF-4237-9C01-A1003B7EB3CA}"/>
    <cellStyle name="Style 1 5 9" xfId="980" xr:uid="{EDA164DE-604A-448E-8A61-5F0AA142C660}"/>
    <cellStyle name="Style 1 6" xfId="981" xr:uid="{6BC5251A-C177-4930-912A-D22611D94A7F}"/>
    <cellStyle name="Style 1 6 2" xfId="982" xr:uid="{CF63EE54-D160-444B-957C-B761213BAF65}"/>
    <cellStyle name="Style 1 6 3" xfId="983" xr:uid="{8DA73462-6054-42B0-A957-28FA61445CDB}"/>
    <cellStyle name="Style 1 6 4" xfId="984" xr:uid="{D7D58863-A082-497D-B54C-530CC673C325}"/>
    <cellStyle name="Style 1 7" xfId="985" xr:uid="{BAC09BEA-DFF6-4128-BA4E-24B1E06B8326}"/>
    <cellStyle name="Style 1 7 2" xfId="986" xr:uid="{DF4BA04D-B4E8-464A-802A-8835B176EE31}"/>
    <cellStyle name="Style 1 7 3" xfId="987" xr:uid="{68C6F476-9C6A-46B1-A689-1397FB6EF9DF}"/>
    <cellStyle name="Style 1 7 4" xfId="988" xr:uid="{4768453D-782A-4CCA-8795-A808B0903655}"/>
    <cellStyle name="Style 1 8" xfId="989" xr:uid="{5C640443-49F0-4EAD-A1D9-DABB701D5C2D}"/>
    <cellStyle name="Style 1 8 2" xfId="990" xr:uid="{BF6EF376-5761-42AA-9A53-46013C96E4D1}"/>
    <cellStyle name="Style 1 8 3" xfId="991" xr:uid="{A1A76A6C-DB54-46E5-8F69-9C8C32855725}"/>
    <cellStyle name="Style 1 8 4" xfId="992" xr:uid="{25289EF9-21D0-45D0-8D2A-1C2A6895ABB9}"/>
    <cellStyle name="Style 1 9" xfId="993" xr:uid="{84DB944C-CE79-469B-86EF-C7217F06EA83}"/>
    <cellStyle name="Style 1 9 2" xfId="994" xr:uid="{B6567661-F941-463F-9DA7-70FB18862A5E}"/>
    <cellStyle name="Style 1 9 3" xfId="995" xr:uid="{190400A7-00C0-4647-8007-1380F9639693}"/>
    <cellStyle name="Style 1 9 4" xfId="996" xr:uid="{82F3DD97-39AF-46AB-B80E-3964F46943F7}"/>
    <cellStyle name="Style 1_MEGASTAR-CHICILON Proposal Master2011-2012" xfId="997" xr:uid="{BFA7FB22-C51D-45CF-A2F7-049881E860AA}"/>
    <cellStyle name="똿뗦먛귟 [0.00]_PRODUCT DETAIL Q1" xfId="998" xr:uid="{9AC661A9-070F-4D74-BB98-9AA2E2AE2F5D}"/>
    <cellStyle name="똿뗦먛귟_PRODUCT DETAIL Q1" xfId="999" xr:uid="{BEC28E79-5697-4875-B923-17B75775F90B}"/>
    <cellStyle name="믅됞 [0.00]_PRODUCT DETAIL Q1" xfId="1000" xr:uid="{3A964A38-8FD3-49EE-8FA4-DDCF55443F20}"/>
    <cellStyle name="믅됞_PRODUCT DETAIL Q1" xfId="1001" xr:uid="{2E11C0C3-ECC1-450D-814F-81FA0D5FFF7E}"/>
    <cellStyle name="백분율_HOBONG" xfId="1002" xr:uid="{E55351AE-EAD8-45B4-A905-31B3C57E47C2}"/>
    <cellStyle name="뷭?_BOOKSHIP" xfId="1003" xr:uid="{59AE0695-9F5D-4FC2-9772-5490F52DA958}"/>
    <cellStyle name="쉼표 [0]_ffbom" xfId="1004" xr:uid="{BFA50659-814F-4D5B-8742-601A8CE92676}"/>
    <cellStyle name="콤마 [0]_1202" xfId="1005" xr:uid="{D4BDB28E-51B7-4FF2-A146-CAEA199BDE0C}"/>
    <cellStyle name="콤마_1202" xfId="1006" xr:uid="{91A825EF-F2CA-41E6-A07D-BE2D8260D73F}"/>
    <cellStyle name="통화 [0]_1202" xfId="1007" xr:uid="{103520CA-E8E8-4694-BE48-3E95A4D911D1}"/>
    <cellStyle name="통화_1202" xfId="1008" xr:uid="{1A8CAF53-D162-48E5-B347-75C0501DDDEA}"/>
    <cellStyle name="표준_(정보부문)월별인원계획" xfId="1009" xr:uid="{48966AE5-2AF0-425A-A466-879CC6BC9271}"/>
    <cellStyle name="一般_Book1" xfId="1010" xr:uid="{EDD4660F-FD16-47AC-8181-DF4EE2D66F81}"/>
    <cellStyle name="千分位[0]_Book1" xfId="1011" xr:uid="{2EF8EECD-8EBC-4DC8-97D1-AB94FD6A703E}"/>
    <cellStyle name="千分位_Book1" xfId="1012" xr:uid="{F1C497E1-2AC5-4F9E-9A63-7E7029684DF1}"/>
    <cellStyle name="好" xfId="1013" xr:uid="{13E94740-45BF-447B-B436-0398AA2F397F}"/>
    <cellStyle name="好_CHICILON FullRateCard 2011" xfId="1014" xr:uid="{4CB854E2-E327-467D-9102-0C57E777FA58}"/>
    <cellStyle name="好_CHICILON FullRateCard 2011 2" xfId="1015" xr:uid="{C6D31C82-9F21-4B48-B01B-C3D5F06BC733}"/>
    <cellStyle name="好_CHICILON FullRateCard 2011_Kungfu PAnda" xfId="1016" xr:uid="{97AE2069-D827-4787-BF57-68391C37D5B6}"/>
    <cellStyle name="好_CHICILON FullRateCard 2011_Kungfu Panda (updated 19MAy)" xfId="1017" xr:uid="{2CA8B306-FCFD-41D9-84DC-8894DB88C7A6}"/>
    <cellStyle name="好_CHICILON FullRateCard 2011_Kungfu Panda (updated)" xfId="1018" xr:uid="{EBE3B21D-9A16-47A4-AD37-364C56ECBE5F}"/>
    <cellStyle name="好_CHICILON FullRateCard 2011_Kungfu PAnda_Kungfu Panda (updated 19MAy)" xfId="1019" xr:uid="{FE1FF325-A89D-48DE-A18B-80B86BB3B8CE}"/>
    <cellStyle name="好_CHICILON FullRateCard 2011_Kungfu PAnda_Kungfu Panda (updated)" xfId="1020" xr:uid="{BB44263C-CE26-4AAA-9AB9-B1BC023979E1}"/>
    <cellStyle name="好_CHICILON FullRateCard 2011_Kungfu PAnda_MAster Plan of FOH, OOH " xfId="1021" xr:uid="{123AC540-BEA2-4984-9E41-76831F7C3D4F}"/>
    <cellStyle name="好_CHICILON FullRateCard 2011_Kungfu PAnda_Pirate 4 updated" xfId="1022" xr:uid="{233B587B-27A3-4214-A9E2-AC6EFE4352DC}"/>
    <cellStyle name="好_CHICILON FullRateCard 2011_Kungfu PAnda_Transformer" xfId="1023" xr:uid="{6B6CAB54-3030-4AE5-9EA4-DBA7435632E3}"/>
    <cellStyle name="好_CHICILON FullRateCard 2011_MAster Plan of FOH, OOH " xfId="1024" xr:uid="{96526461-9EF3-496B-95C0-6FDEE3BD9AE9}"/>
    <cellStyle name="好_CHICILON FullRateCard 2011_MAster Plan of FOH, OOH  2" xfId="1025" xr:uid="{48BB9628-FA58-4C05-BCCA-BAE75AB3D6D3}"/>
    <cellStyle name="好_CHICILON FullRateCard 2011_MEGASTAR-CHICILON Proposal Master2011-2012" xfId="1026" xr:uid="{7F833085-5B1D-4ADC-9C38-CE7699E3D348}"/>
    <cellStyle name="好_CHICILON FullRateCard 2011_MEGASTAR-CHICILON Proposal Master2011-2012_1" xfId="1027" xr:uid="{54CC41AF-25FB-46C3-9964-0082E79FE614}"/>
    <cellStyle name="好_CHICILON FullRateCard 2011_MEGASTAR-CHICILON Proposal Master2011-2012_1 2" xfId="1028" xr:uid="{C0A4E5D3-B065-4EF7-972C-E3BD5117B9B0}"/>
    <cellStyle name="好_CHICILON FullRateCard 2011_MEGASTAR-CHICILON Proposal Master2011-2012_Kungfu Panda (updated 19MAy)" xfId="1029" xr:uid="{8212BAE3-F054-48D8-B09F-CF63A5B70268}"/>
    <cellStyle name="好_CHICILON FullRateCard 2011_MEGASTAR-CHICILON Proposal Master2011-2012_Kungfu Panda (updated)" xfId="1030" xr:uid="{EE814DFC-A052-4A5C-9760-BD983E1A9BC8}"/>
    <cellStyle name="好_CHICILON FullRateCard 2011_MEGASTAR-CHICILON Proposal Master2011-2012_MAster Plan of FOH, OOH " xfId="1031" xr:uid="{8E9D6EB9-2E06-40B2-90F8-45D71ECA9EC7}"/>
    <cellStyle name="好_CHICILON FullRateCard 2011_MEGASTAR-CHICILON Proposal Master2011-2012_Pirate 4 updated" xfId="1032" xr:uid="{365BC924-0C8C-4C1B-96D6-D74486389AAC}"/>
    <cellStyle name="好_CHICILON FullRateCard 2011_MEGASTAR-CHICILON Proposal Master2011-2012_Transformer" xfId="1033" xr:uid="{BBFAEA42-F15D-481D-A5CB-153BC97863BB}"/>
    <cellStyle name="好_CHICILON FullRateCard 2011_MEGASTAR-CHICILON.Proposal.Master2011" xfId="1034" xr:uid="{E90894D1-BB0F-4AC4-89FA-4CF11DED1714}"/>
    <cellStyle name="好_CHICILON FullRateCard 2011_MEGASTAR-CHICILON.Proposal.Master2011_Kungfu Panda (updated 19MAy)" xfId="1035" xr:uid="{5C338F8B-AE99-4A19-BA6A-2C04772BDB8B}"/>
    <cellStyle name="好_CHICILON FullRateCard 2011_MEGASTAR-CHICILON.Proposal.Master2011_Kungfu Panda (updated)" xfId="1036" xr:uid="{27F98358-E923-4F32-8112-DDC3B314FB31}"/>
    <cellStyle name="好_CHICILON FullRateCard 2011_MEGASTAR-CHICILON.Proposal.Master2011_MAster Plan of FOH, OOH " xfId="1037" xr:uid="{394C45C1-17AE-43FE-98E9-52D8BC08EDB9}"/>
    <cellStyle name="好_CHICILON FullRateCard 2011_MEGASTAR-CHICILON.Proposal.Master2011_Pirate 4 updated" xfId="1038" xr:uid="{6BD0035E-D596-4A19-9B0C-F19F638A200F}"/>
    <cellStyle name="好_CHICILON FullRateCard 2011_MEGASTAR-CHICILON.Proposal.Master2011_Transformer" xfId="1039" xr:uid="{9CCBE671-0085-4223-86A1-684CD8833A37}"/>
    <cellStyle name="好_CHICILON FullRateCard 2011_Pirate 4 updated" xfId="1040" xr:uid="{6371C0A2-936B-47A7-8A46-07FFFE28D74E}"/>
    <cellStyle name="好_CHICILON FullRateCard 2011_Pirate 4 updated 19 May" xfId="1041" xr:uid="{42812970-650E-4BAB-BA85-973744DF6C8D}"/>
    <cellStyle name="好_CHICILON FullRateCard 2011_RANGO MP" xfId="1042" xr:uid="{90DD1634-89BD-4E17-BCDE-140711AE9139}"/>
    <cellStyle name="好_CHICILON FullRateCard 2011_RANGO MP 2" xfId="1043" xr:uid="{A8A8E412-81C7-4169-889E-E38D5DE07DEF}"/>
    <cellStyle name="好_CHICILON FullRateCard 2011_Summer Block buster" xfId="1044" xr:uid="{D94FDA66-CDEA-4248-B56A-398AE353BE65}"/>
    <cellStyle name="好_CHICILON FullRateCard 2011_Summer Block buster 2" xfId="1045" xr:uid="{8867E93D-7F64-446F-BDF4-BE02258DA264}"/>
    <cellStyle name="好_CHICILON FullRateCard 2011_Transformer" xfId="1046" xr:uid="{E2A3EBF9-4591-4679-851B-DC711CDE863A}"/>
    <cellStyle name="好_CHICILON FullRateCard 2011_T-shirt" xfId="1047" xr:uid="{5547B639-BE2E-467C-BE73-097A59DC5294}"/>
    <cellStyle name="好_CHICILON FullRateCard 2011_T-shirt_Kungfu Panda (updated 19MAy)" xfId="1048" xr:uid="{43570F6E-FD40-43B3-B572-BBDF7367214E}"/>
    <cellStyle name="好_CHICILON FullRateCard 2011_T-shirt_Kungfu Panda (updated)" xfId="1049" xr:uid="{A1CBA03D-1435-4A62-BC7F-A9E0B81882B3}"/>
    <cellStyle name="好_CHICILON FullRateCard 2011_T-shirt_MAster Plan of FOH, OOH " xfId="1050" xr:uid="{CDA2649D-22D2-48CB-95C9-39A15F0699B3}"/>
    <cellStyle name="好_CHICILON FullRateCard 2011_T-shirt_Pirate 4 updated" xfId="1051" xr:uid="{11F10662-B789-4F98-8E66-9B729F8365B3}"/>
    <cellStyle name="好_CHICILON FullRateCard 2011_T-shirt_Transformer" xfId="1052" xr:uid="{16BC2C9C-4AC7-42E6-9671-6770E0CAF815}"/>
    <cellStyle name="好_CHICILON.General  Rate Card 2011" xfId="1053" xr:uid="{6FE6E8B4-4688-4C8A-B95E-A2C02A5C1419}"/>
    <cellStyle name="好_CHICILON.General  Rate Card 2011_Kungfu Panda (updated 19MAy)" xfId="1054" xr:uid="{7A8B53C7-DDB3-4F3B-9B59-411539EB0D40}"/>
    <cellStyle name="好_CHICILON.General  Rate Card 2011_Kungfu Panda (updated)" xfId="1055" xr:uid="{B8404113-6850-4893-ACB6-77D35FC0FF6C}"/>
    <cellStyle name="好_CHICILON.General  Rate Card 2011_MAster Plan of FOH, OOH " xfId="1056" xr:uid="{F2A28DF3-073E-4FAB-93A3-06589FD5BBFC}"/>
    <cellStyle name="好_CHICILON.General  Rate Card 2011_MEGASTAR-CHICILON Proposal Master2011-2012" xfId="1057" xr:uid="{C5DCA959-A7FF-490F-AE9B-FF5D30E27BC0}"/>
    <cellStyle name="好_CHICILON.General  Rate Card 2011_MEGASTAR-CHICILON Proposal Master2011-2012 2" xfId="1058" xr:uid="{3955AFB4-40C1-4808-8144-828FB9AD2F07}"/>
    <cellStyle name="好_CHICILON.General  Rate Card 2011_Pirate 4 updated" xfId="1059" xr:uid="{3D56781C-E13D-429A-AFA6-ACE1339C9578}"/>
    <cellStyle name="好_CHICILON.General  Rate Card 2011_Transformer" xfId="1060" xr:uid="{A3AB0171-A7AD-4F47-BC67-5F574C7DD1CB}"/>
    <cellStyle name="好_Copy of DANH SACH LCD UPDATE NGAY 26 04 2010 " xfId="1061" xr:uid="{2045F984-5D9C-4073-B574-77A250459230}"/>
    <cellStyle name="好_Copy of DANH SACH LCD UPDATE NGAY 26 04 2010  2" xfId="1062" xr:uid="{29C739DE-91C1-4DE3-BA36-DD161C46BBF4}"/>
    <cellStyle name="好_Copy of DANH SACH LCD UPDATE NGAY 26 04 2010 _Kungfu PAnda" xfId="1063" xr:uid="{6DDE5A3F-2DD3-4781-8B2A-DE86A982350E}"/>
    <cellStyle name="好_Copy of DANH SACH LCD UPDATE NGAY 26 04 2010 _Kungfu Panda (updated 19MAy)" xfId="1064" xr:uid="{1C423689-20DB-4D33-A9B4-7CE0803357FC}"/>
    <cellStyle name="好_Copy of DANH SACH LCD UPDATE NGAY 26 04 2010 _Kungfu Panda (updated)" xfId="1065" xr:uid="{D6D84CD2-7C62-41F9-A092-86EC4404DCAE}"/>
    <cellStyle name="好_Copy of DANH SACH LCD UPDATE NGAY 26 04 2010 _Kungfu PAnda_Kungfu Panda (updated 19MAy)" xfId="1066" xr:uid="{9E761608-6581-4A76-BD86-177C5D55B39E}"/>
    <cellStyle name="好_Copy of DANH SACH LCD UPDATE NGAY 26 04 2010 _Kungfu PAnda_Kungfu Panda (updated)" xfId="1067" xr:uid="{7724CB6A-005F-4321-8880-D3237664ACA8}"/>
    <cellStyle name="好_Copy of DANH SACH LCD UPDATE NGAY 26 04 2010 _Kungfu PAnda_MAster Plan of FOH, OOH " xfId="1068" xr:uid="{F8AABE36-4007-4568-9CBD-A36E1210A8E0}"/>
    <cellStyle name="好_Copy of DANH SACH LCD UPDATE NGAY 26 04 2010 _Kungfu PAnda_Pirate 4 updated" xfId="1069" xr:uid="{F9257147-9D6B-4281-BFBD-961828B66566}"/>
    <cellStyle name="好_Copy of DANH SACH LCD UPDATE NGAY 26 04 2010 _Kungfu PAnda_Transformer" xfId="1070" xr:uid="{6963213D-D645-4686-9CE5-C2066B64B831}"/>
    <cellStyle name="好_Copy of DANH SACH LCD UPDATE NGAY 26 04 2010 _MAster Plan of FOH, OOH " xfId="1071" xr:uid="{B13452BF-4553-49EA-A250-05DE3F642F2F}"/>
    <cellStyle name="好_Copy of DANH SACH LCD UPDATE NGAY 26 04 2010 _MAster Plan of FOH, OOH  2" xfId="1072" xr:uid="{CB6A53B5-972D-48E8-B9E7-799542FA5ACD}"/>
    <cellStyle name="好_Copy of DANH SACH LCD UPDATE NGAY 26 04 2010 _MEGASTAR-CHICILON Proposal Master2011-2012" xfId="1073" xr:uid="{AF985EBF-6129-48EC-B38B-91665F119871}"/>
    <cellStyle name="好_Copy of DANH SACH LCD UPDATE NGAY 26 04 2010 _MEGASTAR-CHICILON Proposal Master2011-2012_1" xfId="1074" xr:uid="{10AACD0C-F9E6-472A-86E7-7CE6AFBE308B}"/>
    <cellStyle name="好_Copy of DANH SACH LCD UPDATE NGAY 26 04 2010 _MEGASTAR-CHICILON Proposal Master2011-2012_1 2" xfId="1075" xr:uid="{43ED51AD-42F5-4D95-BD92-2DB662FF73B5}"/>
    <cellStyle name="好_Copy of DANH SACH LCD UPDATE NGAY 26 04 2010 _MEGASTAR-CHICILON Proposal Master2011-2012_Kungfu Panda (updated 19MAy)" xfId="1076" xr:uid="{8AC0F2D2-1776-4D0E-B5F9-86F24C281593}"/>
    <cellStyle name="好_Copy of DANH SACH LCD UPDATE NGAY 26 04 2010 _MEGASTAR-CHICILON Proposal Master2011-2012_Kungfu Panda (updated)" xfId="1077" xr:uid="{1EC2A891-BC0E-4366-ADDF-CA54A231DA04}"/>
    <cellStyle name="好_Copy of DANH SACH LCD UPDATE NGAY 26 04 2010 _MEGASTAR-CHICILON Proposal Master2011-2012_MAster Plan of FOH, OOH " xfId="1078" xr:uid="{A1334E84-CFBF-43A5-8D33-5FD8DE7C68E7}"/>
    <cellStyle name="好_Copy of DANH SACH LCD UPDATE NGAY 26 04 2010 _MEGASTAR-CHICILON Proposal Master2011-2012_Pirate 4 updated" xfId="1079" xr:uid="{65BEBEB9-B172-415A-A613-3475EA7E7FFE}"/>
    <cellStyle name="好_Copy of DANH SACH LCD UPDATE NGAY 26 04 2010 _MEGASTAR-CHICILON Proposal Master2011-2012_Transformer" xfId="1080" xr:uid="{53FC9014-3B08-44AD-99F9-C1F5D7DF8820}"/>
    <cellStyle name="好_Copy of DANH SACH LCD UPDATE NGAY 26 04 2010 _MEGASTAR-CHICILON.Proposal.Master2011" xfId="1081" xr:uid="{24CA3897-920A-4FD0-9405-A758FE4EB6F0}"/>
    <cellStyle name="好_Copy of DANH SACH LCD UPDATE NGAY 26 04 2010 _MEGASTAR-CHICILON.Proposal.Master2011_Kungfu Panda (updated 19MAy)" xfId="1082" xr:uid="{DD26B9AA-5713-4C84-B8BC-B084ADE11AB3}"/>
    <cellStyle name="好_Copy of DANH SACH LCD UPDATE NGAY 26 04 2010 _MEGASTAR-CHICILON.Proposal.Master2011_Kungfu Panda (updated)" xfId="1083" xr:uid="{6D4EC084-96C2-4BE9-8011-14F628AC72F4}"/>
    <cellStyle name="好_Copy of DANH SACH LCD UPDATE NGAY 26 04 2010 _MEGASTAR-CHICILON.Proposal.Master2011_MAster Plan of FOH, OOH " xfId="1084" xr:uid="{E441121E-48F4-45AB-8112-0C725F5F5D28}"/>
    <cellStyle name="好_Copy of DANH SACH LCD UPDATE NGAY 26 04 2010 _MEGASTAR-CHICILON.Proposal.Master2011_Pirate 4 updated" xfId="1085" xr:uid="{DAC156CA-C0A9-4ADE-B1F8-C55BA4BA1A7F}"/>
    <cellStyle name="好_Copy of DANH SACH LCD UPDATE NGAY 26 04 2010 _MEGASTAR-CHICILON.Proposal.Master2011_Transformer" xfId="1086" xr:uid="{271DEE3B-27D1-4A20-AB70-7DF1C5BA2CA8}"/>
    <cellStyle name="好_Copy of DANH SACH LCD UPDATE NGAY 26 04 2010 _Pirate 4 updated" xfId="1087" xr:uid="{FF1873E3-DA10-45E9-BC18-4B6FADA8078E}"/>
    <cellStyle name="好_Copy of DANH SACH LCD UPDATE NGAY 26 04 2010 _Pirate 4 updated 19 May" xfId="1088" xr:uid="{0D4E1773-0C8A-476B-9D55-E37C1F629453}"/>
    <cellStyle name="好_Copy of DANH SACH LCD UPDATE NGAY 26 04 2010 _RANGO MP" xfId="1089" xr:uid="{BA0252E5-9246-4E2C-BEE2-7D0771DED6E1}"/>
    <cellStyle name="好_Copy of DANH SACH LCD UPDATE NGAY 26 04 2010 _RANGO MP 2" xfId="1090" xr:uid="{FB9BA522-8184-4796-95A4-BD42EA516293}"/>
    <cellStyle name="好_Copy of DANH SACH LCD UPDATE NGAY 26 04 2010 _Summer Block buster" xfId="1091" xr:uid="{F9A18308-3EE4-469E-AB13-0DE4A13D90BC}"/>
    <cellStyle name="好_Copy of DANH SACH LCD UPDATE NGAY 26 04 2010 _Summer Block buster 2" xfId="1092" xr:uid="{408E81DB-7CD4-444E-B6C6-B5387F11A56A}"/>
    <cellStyle name="好_Copy of DANH SACH LCD UPDATE NGAY 26 04 2010 _Transformer" xfId="1093" xr:uid="{99CFEFD6-94DD-4689-B74D-964B78A2E8E2}"/>
    <cellStyle name="好_Copy of DANH SACH LCD UPDATE NGAY 26 04 2010 _T-shirt" xfId="1094" xr:uid="{9325C241-C11C-4B3E-9551-59A67E15328C}"/>
    <cellStyle name="好_Copy of DANH SACH LCD UPDATE NGAY 26 04 2010 _T-shirt_Kungfu Panda (updated 19MAy)" xfId="1095" xr:uid="{70AAFCFD-0C68-4D12-AAB6-24FA186EA9EF}"/>
    <cellStyle name="好_Copy of DANH SACH LCD UPDATE NGAY 26 04 2010 _T-shirt_Kungfu Panda (updated)" xfId="1096" xr:uid="{A6A0DB74-D29E-406E-BC20-EFC469FAB53A}"/>
    <cellStyle name="好_Copy of DANH SACH LCD UPDATE NGAY 26 04 2010 _T-shirt_MAster Plan of FOH, OOH " xfId="1097" xr:uid="{A2CE6554-E6D7-4DA2-A73E-FF5915CCCDA0}"/>
    <cellStyle name="好_Copy of DANH SACH LCD UPDATE NGAY 26 04 2010 _T-shirt_Pirate 4 updated" xfId="1098" xr:uid="{BCEFB53D-D476-4E12-9342-C549FB647957}"/>
    <cellStyle name="好_Copy of DANH SACH LCD UPDATE NGAY 26 04 2010 _T-shirt_Transformer" xfId="1099" xr:uid="{5DE4E0DA-F7A8-49B5-9FA8-748ED4DEE65A}"/>
    <cellStyle name="好_GENERAL RATECARD 2011" xfId="1100" xr:uid="{F103765A-0FC0-4C61-BEA7-85CB3598B002}"/>
    <cellStyle name="好_GENERAL RATECARD 2011_Kungfu Panda (updated 19MAy)" xfId="1101" xr:uid="{8133E748-446A-41A0-9E26-C1D057C2A504}"/>
    <cellStyle name="好_GENERAL RATECARD 2011_Kungfu Panda (updated)" xfId="1102" xr:uid="{B2744898-3AF6-496B-8F00-360DD19F4911}"/>
    <cellStyle name="好_GENERAL RATECARD 2011_MAster Plan of FOH, OOH " xfId="1103" xr:uid="{BC12019E-6DC4-4407-BDE4-A6BA90A7C8BC}"/>
    <cellStyle name="好_GENERAL RATECARD 2011_MEGASTAR-CHICILON Proposal Master2011-2012" xfId="1104" xr:uid="{1B6C3EB1-72D7-4D60-AAC3-80D39B0E58C1}"/>
    <cellStyle name="好_GENERAL RATECARD 2011_MEGASTAR-CHICILON Proposal Master2011-2012 2" xfId="1105" xr:uid="{EBB17032-4F1A-4781-B96E-507BCD3D28DC}"/>
    <cellStyle name="好_GENERAL RATECARD 2011_Pirate 4 updated" xfId="1106" xr:uid="{0739F6A1-A82F-4727-B194-A733EAF1ADE6}"/>
    <cellStyle name="好_GENERAL RATECARD 2011_Transformer" xfId="1107" xr:uid="{029F8CD4-7ECE-416E-88A2-C8496BC00E5A}"/>
    <cellStyle name="好_LCD 15-9 " xfId="1108" xr:uid="{1E53E433-D2F4-4239-8E58-1FACE884C521}"/>
    <cellStyle name="好_LCD 15-9  2" xfId="1109" xr:uid="{BAEF1D04-63B6-4CE1-91D1-C73B50F6FDE1}"/>
    <cellStyle name="好_LCD 15-9 _Kungfu PAnda" xfId="1110" xr:uid="{CCD5FA21-B069-440F-ADBD-F7EF803122ED}"/>
    <cellStyle name="好_LCD 15-9 _Kungfu Panda (updated 19MAy)" xfId="1111" xr:uid="{791497AE-E7DE-47A6-A0A5-735588B9320B}"/>
    <cellStyle name="好_LCD 15-9 _Kungfu Panda (updated)" xfId="1112" xr:uid="{2F5AD831-AC7F-4C43-8EE0-4C93E685A488}"/>
    <cellStyle name="好_LCD 15-9 _Kungfu PAnda_Kungfu Panda (updated 19MAy)" xfId="1113" xr:uid="{879C7FE8-CF06-4395-A83A-3F006B4DAB77}"/>
    <cellStyle name="好_LCD 15-9 _Kungfu PAnda_Kungfu Panda (updated)" xfId="1114" xr:uid="{098D30C4-BFF8-4280-A9B5-5857A9C5C07E}"/>
    <cellStyle name="好_LCD 15-9 _Kungfu PAnda_MAster Plan of FOH, OOH " xfId="1115" xr:uid="{AE840E06-3ACC-4592-BABE-C4878CC4401A}"/>
    <cellStyle name="好_LCD 15-9 _Kungfu PAnda_Pirate 4 updated" xfId="1116" xr:uid="{39866846-0950-4F4A-A21C-0B937F04B9AA}"/>
    <cellStyle name="好_LCD 15-9 _Kungfu PAnda_Transformer" xfId="1117" xr:uid="{1156D512-822A-4CF7-8465-C469BCAF5B14}"/>
    <cellStyle name="好_LCD 15-9 _MAster Plan of FOH, OOH " xfId="1118" xr:uid="{8011B3D9-381A-4CD6-BFCC-A213CFDD5965}"/>
    <cellStyle name="好_LCD 15-9 _MAster Plan of FOH, OOH  2" xfId="1119" xr:uid="{B1EACA92-49FF-4186-9335-F580C684E0F2}"/>
    <cellStyle name="好_LCD 15-9 _MEGASTAR-CHICILON Proposal Master2011-2012" xfId="1120" xr:uid="{221C3577-7480-44B6-9563-CD5DE866F748}"/>
    <cellStyle name="好_LCD 15-9 _MEGASTAR-CHICILON Proposal Master2011-2012_1" xfId="1121" xr:uid="{845A87B8-91B5-41A3-B8C6-EB2DDC3E97FB}"/>
    <cellStyle name="好_LCD 15-9 _MEGASTAR-CHICILON Proposal Master2011-2012_1 2" xfId="1122" xr:uid="{5C9D5DEF-24D5-4B9B-97A2-09A1B9984250}"/>
    <cellStyle name="好_LCD 15-9 _MEGASTAR-CHICILON Proposal Master2011-2012_Kungfu Panda (updated 19MAy)" xfId="1123" xr:uid="{A9CECFF2-F04C-423E-A9E8-C02B55A6AE45}"/>
    <cellStyle name="好_LCD 15-9 _MEGASTAR-CHICILON Proposal Master2011-2012_Kungfu Panda (updated)" xfId="1124" xr:uid="{6EE2A295-C67E-4D10-B6BA-82D68CA69375}"/>
    <cellStyle name="好_LCD 15-9 _MEGASTAR-CHICILON Proposal Master2011-2012_MAster Plan of FOH, OOH " xfId="1125" xr:uid="{82EAB07F-5F23-4BFD-9C03-D138BBC899FE}"/>
    <cellStyle name="好_LCD 15-9 _MEGASTAR-CHICILON Proposal Master2011-2012_Pirate 4 updated" xfId="1126" xr:uid="{63641E43-C2D5-4A5E-A425-CFFDF22FB3DE}"/>
    <cellStyle name="好_LCD 15-9 _MEGASTAR-CHICILON Proposal Master2011-2012_Transformer" xfId="1127" xr:uid="{427D9135-6585-48B0-8CC2-A7528EAC87F9}"/>
    <cellStyle name="好_LCD 15-9 _MEGASTAR-CHICILON.Proposal.Master2011" xfId="1128" xr:uid="{30218DDF-3BFB-484B-A17F-CF15D6C92D5D}"/>
    <cellStyle name="好_LCD 15-9 _MEGASTAR-CHICILON.Proposal.Master2011_Kungfu Panda (updated 19MAy)" xfId="1129" xr:uid="{E5952612-79B3-4FD2-8AD7-C18A5B0D5774}"/>
    <cellStyle name="好_LCD 15-9 _MEGASTAR-CHICILON.Proposal.Master2011_Kungfu Panda (updated)" xfId="1130" xr:uid="{B73A9E6E-D3F9-45FD-B176-B76F73E52FAB}"/>
    <cellStyle name="好_LCD 15-9 _MEGASTAR-CHICILON.Proposal.Master2011_MAster Plan of FOH, OOH " xfId="1131" xr:uid="{B4001B90-E1DA-4C5F-AA54-1A26313953E9}"/>
    <cellStyle name="好_LCD 15-9 _MEGASTAR-CHICILON.Proposal.Master2011_Pirate 4 updated" xfId="1132" xr:uid="{642F19DE-51CE-4375-A3D9-1B2D4C506F71}"/>
    <cellStyle name="好_LCD 15-9 _MEGASTAR-CHICILON.Proposal.Master2011_Transformer" xfId="1133" xr:uid="{56E51ED1-1B2E-4898-A2EA-FB92130016CF}"/>
    <cellStyle name="好_LCD 15-9 _Pirate 4 updated" xfId="1134" xr:uid="{377FF134-FA10-48BC-8B42-80E5696C3864}"/>
    <cellStyle name="好_LCD 15-9 _Pirate 4 updated 19 May" xfId="1135" xr:uid="{3F304F82-FC6F-4BC6-85A8-BC9F6D4252AE}"/>
    <cellStyle name="好_LCD 15-9 _RANGO MP" xfId="1136" xr:uid="{601255A1-54AF-4898-9451-C912376ADD32}"/>
    <cellStyle name="好_LCD 15-9 _RANGO MP 2" xfId="1137" xr:uid="{320D39B1-872C-4376-B1B4-E3A64996268E}"/>
    <cellStyle name="好_LCD 15-9 _Summer Block buster" xfId="1138" xr:uid="{79DE7577-893C-4CD0-A503-B2F969FD0738}"/>
    <cellStyle name="好_LCD 15-9 _Summer Block buster 2" xfId="1139" xr:uid="{93EBBDCA-D674-4F77-94B0-0BD5E88747EA}"/>
    <cellStyle name="好_LCD 15-9 _Transformer" xfId="1140" xr:uid="{B8E3C368-F534-4E11-8186-F2E8E2F93DF3}"/>
    <cellStyle name="好_LCD 15-9 _T-shirt" xfId="1141" xr:uid="{68511C5A-8EDD-432E-BEC4-0BB125B0F92E}"/>
    <cellStyle name="好_LCD 15-9 _T-shirt_Kungfu Panda (updated 19MAy)" xfId="1142" xr:uid="{B7742290-E2B4-43AB-95CD-F3B017DDBF90}"/>
    <cellStyle name="好_LCD 15-9 _T-shirt_Kungfu Panda (updated)" xfId="1143" xr:uid="{FBBA8C26-74E0-40E6-95BA-F70B3A9F6923}"/>
    <cellStyle name="好_LCD 15-9 _T-shirt_MAster Plan of FOH, OOH " xfId="1144" xr:uid="{8695F003-3B82-46EC-BF8E-BC4A27F444C8}"/>
    <cellStyle name="好_LCD 15-9 _T-shirt_Pirate 4 updated" xfId="1145" xr:uid="{452C7756-7DC5-4D1E-9C27-059079F215F9}"/>
    <cellStyle name="好_LCD 15-9 _T-shirt_Transformer" xfId="1146" xr:uid="{F0686C7A-BF89-4189-BE26-CDAB8100EEA7}"/>
    <cellStyle name="好_LCD 28-10 " xfId="1147" xr:uid="{0BCE783F-282E-420A-B3EE-9344076E3A6A}"/>
    <cellStyle name="好_LCD 28-10  2" xfId="1148" xr:uid="{B2730ED3-9EB8-480A-8536-F4D3C2F1938B}"/>
    <cellStyle name="好_LCD 28-10 _Kungfu PAnda" xfId="1149" xr:uid="{B91CDB4C-157C-4CD4-9FA2-692A5DCF454F}"/>
    <cellStyle name="好_LCD 28-10 _Kungfu Panda (updated 19MAy)" xfId="1150" xr:uid="{F436C659-EF6C-422E-BC09-ACA4AA37C36B}"/>
    <cellStyle name="好_LCD 28-10 _Kungfu Panda (updated)" xfId="1151" xr:uid="{432868A7-3E69-4326-81C9-9A00FE663A96}"/>
    <cellStyle name="好_LCD 28-10 _Kungfu PAnda_Kungfu Panda (updated 19MAy)" xfId="1152" xr:uid="{EFAE70F0-9C7B-402D-9509-9E479B7C0A55}"/>
    <cellStyle name="好_LCD 28-10 _Kungfu PAnda_Kungfu Panda (updated)" xfId="1153" xr:uid="{E4B72CF0-C43A-4FF8-98C0-7223D636D376}"/>
    <cellStyle name="好_LCD 28-10 _Kungfu PAnda_MAster Plan of FOH, OOH " xfId="1154" xr:uid="{3060AF18-BB91-4A90-9551-4CB4737CA8B9}"/>
    <cellStyle name="好_LCD 28-10 _Kungfu PAnda_Pirate 4 updated" xfId="1155" xr:uid="{DE3225FD-87FA-4799-833C-5CC9ED80323E}"/>
    <cellStyle name="好_LCD 28-10 _Kungfu PAnda_Transformer" xfId="1156" xr:uid="{FABF0936-70D3-4F5C-A741-0EA9519767EA}"/>
    <cellStyle name="好_LCD 28-10 _MAster Plan of FOH, OOH " xfId="1157" xr:uid="{46572A9A-687A-4D80-9927-661DD504DF43}"/>
    <cellStyle name="好_LCD 28-10 _MAster Plan of FOH, OOH  2" xfId="1158" xr:uid="{3AEBBED7-029A-4477-B276-0DB2CA6DEE4C}"/>
    <cellStyle name="好_LCD 28-10 _MEGASTAR-CHICILON Proposal Master2011-2012" xfId="1159" xr:uid="{1E721F38-73DD-43B7-AE83-F07BA2194E42}"/>
    <cellStyle name="好_LCD 28-10 _MEGASTAR-CHICILON Proposal Master2011-2012_1" xfId="1160" xr:uid="{7FB81AC2-E7D0-401B-B551-E38222DD4004}"/>
    <cellStyle name="好_LCD 28-10 _MEGASTAR-CHICILON Proposal Master2011-2012_1 2" xfId="1161" xr:uid="{4B07F81B-1B95-42D0-9EE1-4C1FFEDDA10D}"/>
    <cellStyle name="好_LCD 28-10 _MEGASTAR-CHICILON Proposal Master2011-2012_Kungfu Panda (updated 19MAy)" xfId="1162" xr:uid="{7F6D5D77-34EE-47D3-AF25-DC556B9E5098}"/>
    <cellStyle name="好_LCD 28-10 _MEGASTAR-CHICILON Proposal Master2011-2012_Kungfu Panda (updated)" xfId="1163" xr:uid="{0EFB1CE4-FA1E-4834-9556-172D653E9469}"/>
    <cellStyle name="好_LCD 28-10 _MEGASTAR-CHICILON Proposal Master2011-2012_MAster Plan of FOH, OOH " xfId="1164" xr:uid="{36485AD5-0C0B-4E83-9B08-415065E4D624}"/>
    <cellStyle name="好_LCD 28-10 _MEGASTAR-CHICILON Proposal Master2011-2012_Pirate 4 updated" xfId="1165" xr:uid="{ED194927-604C-45C8-8BB5-4225B902F64F}"/>
    <cellStyle name="好_LCD 28-10 _MEGASTAR-CHICILON Proposal Master2011-2012_Transformer" xfId="1166" xr:uid="{6E4BDFE9-E92C-43BE-9028-CCBB24C94AEC}"/>
    <cellStyle name="好_LCD 28-10 _MEGASTAR-CHICILON.Proposal.Master2011" xfId="1167" xr:uid="{E3CCE37E-C3A1-4875-9649-5A583AC00286}"/>
    <cellStyle name="好_LCD 28-10 _MEGASTAR-CHICILON.Proposal.Master2011_Kungfu Panda (updated 19MAy)" xfId="1168" xr:uid="{81FF1B0C-A7FC-4435-AAB3-4B1D7B6B09D8}"/>
    <cellStyle name="好_LCD 28-10 _MEGASTAR-CHICILON.Proposal.Master2011_Kungfu Panda (updated)" xfId="1169" xr:uid="{5447290F-7D54-4252-AB94-F0D5D95BAEE6}"/>
    <cellStyle name="好_LCD 28-10 _MEGASTAR-CHICILON.Proposal.Master2011_MAster Plan of FOH, OOH " xfId="1170" xr:uid="{2C4507FB-FCC3-422C-8836-D1544FC53EA1}"/>
    <cellStyle name="好_LCD 28-10 _MEGASTAR-CHICILON.Proposal.Master2011_Pirate 4 updated" xfId="1171" xr:uid="{EB81B010-7D90-4177-B66D-1EAC590AD741}"/>
    <cellStyle name="好_LCD 28-10 _MEGASTAR-CHICILON.Proposal.Master2011_Transformer" xfId="1172" xr:uid="{00944145-DB85-4A8C-B613-46979DE4A8BE}"/>
    <cellStyle name="好_LCD 28-10 _Pirate 4 updated" xfId="1173" xr:uid="{B97B24DB-4A16-497F-9183-FB3FEFCCA72D}"/>
    <cellStyle name="好_LCD 28-10 _Pirate 4 updated 19 May" xfId="1174" xr:uid="{2112ECF5-BDEB-495B-B9F3-D22C82DACA5C}"/>
    <cellStyle name="好_LCD 28-10 _RANGO MP" xfId="1175" xr:uid="{7E43538C-29A7-4AEB-947A-485D017A3FC1}"/>
    <cellStyle name="好_LCD 28-10 _RANGO MP 2" xfId="1176" xr:uid="{737A92CB-3316-4C28-BE83-B65BED4E48FA}"/>
    <cellStyle name="好_LCD 28-10 _Summer Block buster" xfId="1177" xr:uid="{DEAEFB2C-CC16-4FB7-8DC8-B31F536E4B2B}"/>
    <cellStyle name="好_LCD 28-10 _Summer Block buster 2" xfId="1178" xr:uid="{412455BC-CADE-4BE0-A6A3-9503DAA5BB6E}"/>
    <cellStyle name="好_LCD 28-10 _Transformer" xfId="1179" xr:uid="{9C7FFB3F-5C26-4663-BA28-296A0BF9C215}"/>
    <cellStyle name="好_LCD 28-10 _T-shirt" xfId="1180" xr:uid="{4F14FE2A-C3A5-4CFE-A6CB-6C7B45358AA3}"/>
    <cellStyle name="好_LCD 28-10 _T-shirt_Kungfu Panda (updated 19MAy)" xfId="1181" xr:uid="{88A9C365-DD54-49F6-83EB-DD2214545F88}"/>
    <cellStyle name="好_LCD 28-10 _T-shirt_Kungfu Panda (updated)" xfId="1182" xr:uid="{BD02AF84-BD4E-4606-B7D5-D1A2AB0D6C12}"/>
    <cellStyle name="好_LCD 28-10 _T-shirt_MAster Plan of FOH, OOH " xfId="1183" xr:uid="{1A5FE1DD-8D6B-46CC-A7EE-0B0E9A13CAEE}"/>
    <cellStyle name="好_LCD 28-10 _T-shirt_Pirate 4 updated" xfId="1184" xr:uid="{6A5D8A20-10F3-4670-9BD3-5F6056927A7C}"/>
    <cellStyle name="好_LCD 28-10 _T-shirt_Transformer" xfId="1185" xr:uid="{9D5EE5D0-D26B-496C-B004-BC01DA52C20E}"/>
    <cellStyle name="好_LCD UPDATE NGAY 22-6 2010" xfId="1186" xr:uid="{4D3E8F78-36AC-4A5B-9358-C50D23D7CC81}"/>
    <cellStyle name="好_POSTER FRAME LIST" xfId="1187" xr:uid="{33E290BA-908C-4250-98B9-6E9940F98787}"/>
    <cellStyle name="差" xfId="1188" xr:uid="{E79F7671-A258-49E0-8D73-8616293F4431}"/>
    <cellStyle name="差_CHICILON FullRateCard 2011" xfId="1189" xr:uid="{D69002C8-155E-4028-87EE-01CAE28E211E}"/>
    <cellStyle name="差_CHICILON FullRateCard 2011 2" xfId="1190" xr:uid="{B9103C99-7771-436C-A723-5F79C6E772F1}"/>
    <cellStyle name="差_CHICILON FullRateCard 2011_Kungfu PAnda" xfId="1191" xr:uid="{12F52B9E-A97A-4123-9400-2281E362EAF6}"/>
    <cellStyle name="差_CHICILON FullRateCard 2011_Kungfu Panda (updated 19MAy)" xfId="1192" xr:uid="{8E64DBFD-25C6-4A1E-8EB8-F58F314DFFBF}"/>
    <cellStyle name="差_CHICILON FullRateCard 2011_Kungfu Panda (updated)" xfId="1193" xr:uid="{89D4B0D4-267D-419A-9FE0-51FFCC8D3959}"/>
    <cellStyle name="差_CHICILON FullRateCard 2011_Kungfu PAnda_Kungfu Panda (updated 19MAy)" xfId="1194" xr:uid="{D9D76BB6-264B-4288-81CE-50775433F69D}"/>
    <cellStyle name="差_CHICILON FullRateCard 2011_Kungfu PAnda_Kungfu Panda (updated)" xfId="1195" xr:uid="{53DF4535-95AE-45E0-9A1F-62BEB601267E}"/>
    <cellStyle name="差_CHICILON FullRateCard 2011_Kungfu PAnda_MAster Plan of FOH, OOH " xfId="1196" xr:uid="{77C4DF0E-A6D4-4DBB-BD96-720090EA5F22}"/>
    <cellStyle name="差_CHICILON FullRateCard 2011_Kungfu PAnda_Pirate 4 updated" xfId="1197" xr:uid="{27FEA095-E398-4598-A4F7-8C5D9C5D9530}"/>
    <cellStyle name="差_CHICILON FullRateCard 2011_Kungfu PAnda_Transformer" xfId="1198" xr:uid="{3078E851-7244-4A0F-B1D3-BC1DB980DCEB}"/>
    <cellStyle name="差_CHICILON FullRateCard 2011_MAster Plan of FOH, OOH " xfId="1199" xr:uid="{63CE5FC8-BD93-41B7-B4DA-C339F7622F02}"/>
    <cellStyle name="差_CHICILON FullRateCard 2011_MAster Plan of FOH, OOH  2" xfId="1200" xr:uid="{0CB51F21-3510-4743-A8BC-453FE3E922A5}"/>
    <cellStyle name="差_CHICILON FullRateCard 2011_MEGASTAR-CHICILON Proposal Master2011-2012" xfId="1201" xr:uid="{C0C2FC00-62BA-4464-9A5D-5F50622A4E0E}"/>
    <cellStyle name="差_CHICILON FullRateCard 2011_MEGASTAR-CHICILON Proposal Master2011-2012_1" xfId="1202" xr:uid="{1F3244F2-F921-4677-BD81-14078B22804A}"/>
    <cellStyle name="差_CHICILON FullRateCard 2011_MEGASTAR-CHICILON Proposal Master2011-2012_1 2" xfId="1203" xr:uid="{A358C693-3831-4289-AC02-B1A5F6411B76}"/>
    <cellStyle name="差_CHICILON FullRateCard 2011_MEGASTAR-CHICILON Proposal Master2011-2012_Kungfu Panda (updated 19MAy)" xfId="1204" xr:uid="{3C17F915-F8D3-4F39-9AB1-9D731F42DD86}"/>
    <cellStyle name="差_CHICILON FullRateCard 2011_MEGASTAR-CHICILON Proposal Master2011-2012_Kungfu Panda (updated)" xfId="1205" xr:uid="{63A05074-97DB-4DFE-A3F7-4AFB306E9628}"/>
    <cellStyle name="差_CHICILON FullRateCard 2011_MEGASTAR-CHICILON Proposal Master2011-2012_MAster Plan of FOH, OOH " xfId="1206" xr:uid="{3AA3DE0A-5909-4505-9508-3F4CE387EE59}"/>
    <cellStyle name="差_CHICILON FullRateCard 2011_MEGASTAR-CHICILON Proposal Master2011-2012_Pirate 4 updated" xfId="1207" xr:uid="{A7009D91-4CE2-41F2-9355-3D69EE01CCE5}"/>
    <cellStyle name="差_CHICILON FullRateCard 2011_MEGASTAR-CHICILON Proposal Master2011-2012_Transformer" xfId="1208" xr:uid="{D7EAE5C4-00C2-4EBD-816A-756A6C107001}"/>
    <cellStyle name="差_CHICILON FullRateCard 2011_MEGASTAR-CHICILON.Proposal.Master2011" xfId="1209" xr:uid="{71BB7133-B0A5-4477-9578-34975679F7CC}"/>
    <cellStyle name="差_CHICILON FullRateCard 2011_MEGASTAR-CHICILON.Proposal.Master2011_Kungfu Panda (updated 19MAy)" xfId="1210" xr:uid="{675DE48F-7085-499E-B044-6D2047024FEA}"/>
    <cellStyle name="差_CHICILON FullRateCard 2011_MEGASTAR-CHICILON.Proposal.Master2011_Kungfu Panda (updated)" xfId="1211" xr:uid="{1E028411-DA95-490B-B58C-766F6D385AF7}"/>
    <cellStyle name="差_CHICILON FullRateCard 2011_MEGASTAR-CHICILON.Proposal.Master2011_MAster Plan of FOH, OOH " xfId="1212" xr:uid="{9935545D-D059-4809-8608-C9461E80287C}"/>
    <cellStyle name="差_CHICILON FullRateCard 2011_MEGASTAR-CHICILON.Proposal.Master2011_Pirate 4 updated" xfId="1213" xr:uid="{C428156C-2129-4EB3-9D0A-6E4FE01D48B4}"/>
    <cellStyle name="差_CHICILON FullRateCard 2011_MEGASTAR-CHICILON.Proposal.Master2011_Transformer" xfId="1214" xr:uid="{3BC45C59-9750-45B8-BB10-A87DE275C98F}"/>
    <cellStyle name="差_CHICILON FullRateCard 2011_Pirate 4 updated" xfId="1215" xr:uid="{A1177D1C-26FD-4E1D-ABC4-FF7DB8412008}"/>
    <cellStyle name="差_CHICILON FullRateCard 2011_Pirate 4 updated 19 May" xfId="1216" xr:uid="{4B0A7F3C-27D2-4A61-A93A-C1A0DEC0A99C}"/>
    <cellStyle name="差_CHICILON FullRateCard 2011_RANGO MP" xfId="1217" xr:uid="{0667E3C2-861C-4605-958A-5D9BD57055B9}"/>
    <cellStyle name="差_CHICILON FullRateCard 2011_RANGO MP 2" xfId="1218" xr:uid="{E8236190-E1EE-4753-8743-DD10B1A53FD9}"/>
    <cellStyle name="差_CHICILON FullRateCard 2011_Summer Block buster" xfId="1219" xr:uid="{297CE406-CA52-4F97-850C-DBBDA12D74DB}"/>
    <cellStyle name="差_CHICILON FullRateCard 2011_Summer Block buster 2" xfId="1220" xr:uid="{83E8BD7F-57A6-49E0-AD5C-8E2E27C85DA7}"/>
    <cellStyle name="差_CHICILON FullRateCard 2011_Transformer" xfId="1221" xr:uid="{85DDE1D1-0596-4043-B445-6D57C3C7E531}"/>
    <cellStyle name="差_CHICILON FullRateCard 2011_T-shirt" xfId="1222" xr:uid="{00E56A4E-3E43-4094-A1EC-626BA157F4EC}"/>
    <cellStyle name="差_CHICILON FullRateCard 2011_T-shirt_Kungfu Panda (updated 19MAy)" xfId="1223" xr:uid="{B25782B0-0E48-4BC3-A7FC-EDD8ECF266A1}"/>
    <cellStyle name="差_CHICILON FullRateCard 2011_T-shirt_Kungfu Panda (updated)" xfId="1224" xr:uid="{6FD8041D-1CB4-4E81-AB7D-E1D660EE6285}"/>
    <cellStyle name="差_CHICILON FullRateCard 2011_T-shirt_MAster Plan of FOH, OOH " xfId="1225" xr:uid="{4C0AC3AF-C832-409B-964D-0D93BBDF1296}"/>
    <cellStyle name="差_CHICILON FullRateCard 2011_T-shirt_Pirate 4 updated" xfId="1226" xr:uid="{A5A2D391-16E4-409F-886D-3A28682F815F}"/>
    <cellStyle name="差_CHICILON FullRateCard 2011_T-shirt_Transformer" xfId="1227" xr:uid="{B033A121-6265-4F03-A930-AB3E8B6314A6}"/>
    <cellStyle name="差_CHICILON.General  Rate Card 2011" xfId="1228" xr:uid="{18B4574C-B44C-4FAA-895A-937774878123}"/>
    <cellStyle name="差_CHICILON.General  Rate Card 2011_Kungfu Panda (updated 19MAy)" xfId="1229" xr:uid="{27A78998-86A1-4C13-B8DE-E866720E726A}"/>
    <cellStyle name="差_CHICILON.General  Rate Card 2011_Kungfu Panda (updated)" xfId="1230" xr:uid="{4D79D71F-F4A9-4544-82EB-6632BBAAC2F6}"/>
    <cellStyle name="差_CHICILON.General  Rate Card 2011_MAster Plan of FOH, OOH " xfId="1231" xr:uid="{9B10C589-3F9E-49D4-813A-F02DE537C93C}"/>
    <cellStyle name="差_CHICILON.General  Rate Card 2011_MEGASTAR-CHICILON Proposal Master2011-2012" xfId="1232" xr:uid="{E86EF558-82B8-48EC-B03A-CCA9342453BD}"/>
    <cellStyle name="差_CHICILON.General  Rate Card 2011_MEGASTAR-CHICILON Proposal Master2011-2012 2" xfId="1233" xr:uid="{AF8DA0AC-28B5-4D85-B0E9-AEF58E59AB4F}"/>
    <cellStyle name="差_CHICILON.General  Rate Card 2011_Pirate 4 updated" xfId="1234" xr:uid="{5EF72FE0-B910-4EDF-B3EF-67A0C3ECFA30}"/>
    <cellStyle name="差_CHICILON.General  Rate Card 2011_Transformer" xfId="1235" xr:uid="{08809FE4-B9D2-400B-B3E4-36E613978962}"/>
    <cellStyle name="差_Copy of DANH SACH LCD UPDATE NGAY 26 04 2010 " xfId="1236" xr:uid="{98118B32-E7F5-4B15-BC5F-22617B9589AC}"/>
    <cellStyle name="差_Copy of DANH SACH LCD UPDATE NGAY 26 04 2010  2" xfId="1237" xr:uid="{661564C3-E4E7-40C9-B866-A8B469E41F2C}"/>
    <cellStyle name="差_Copy of DANH SACH LCD UPDATE NGAY 26 04 2010 _Kungfu PAnda" xfId="1238" xr:uid="{ECF0159F-F926-4407-BC14-543619A07626}"/>
    <cellStyle name="差_Copy of DANH SACH LCD UPDATE NGAY 26 04 2010 _Kungfu Panda (updated 19MAy)" xfId="1239" xr:uid="{50046F6F-9E1D-4749-996D-59A0239A76FF}"/>
    <cellStyle name="差_Copy of DANH SACH LCD UPDATE NGAY 26 04 2010 _Kungfu Panda (updated)" xfId="1240" xr:uid="{D25CA258-006A-4B83-86FB-8CE004934C82}"/>
    <cellStyle name="差_Copy of DANH SACH LCD UPDATE NGAY 26 04 2010 _Kungfu PAnda_Kungfu Panda (updated 19MAy)" xfId="1241" xr:uid="{ACB5C25E-53EC-4E45-9A8B-C3A693359DD1}"/>
    <cellStyle name="差_Copy of DANH SACH LCD UPDATE NGAY 26 04 2010 _Kungfu PAnda_Kungfu Panda (updated)" xfId="1242" xr:uid="{4AFCE01D-3D7A-4CF0-9353-E4777EA38E07}"/>
    <cellStyle name="差_Copy of DANH SACH LCD UPDATE NGAY 26 04 2010 _Kungfu PAnda_MAster Plan of FOH, OOH " xfId="1243" xr:uid="{90E441EC-0007-4C4F-A849-2B55269775E3}"/>
    <cellStyle name="差_Copy of DANH SACH LCD UPDATE NGAY 26 04 2010 _Kungfu PAnda_Pirate 4 updated" xfId="1244" xr:uid="{9AAE1FC1-EABF-4EF1-BD04-D9C3F61C7871}"/>
    <cellStyle name="差_Copy of DANH SACH LCD UPDATE NGAY 26 04 2010 _Kungfu PAnda_Transformer" xfId="1245" xr:uid="{80A87E36-F32B-4C18-AB76-89044F8C5AAA}"/>
    <cellStyle name="差_Copy of DANH SACH LCD UPDATE NGAY 26 04 2010 _MAster Plan of FOH, OOH " xfId="1246" xr:uid="{FA3648D3-B3EF-43A6-B824-7FA2087D7AE4}"/>
    <cellStyle name="差_Copy of DANH SACH LCD UPDATE NGAY 26 04 2010 _MAster Plan of FOH, OOH  2" xfId="1247" xr:uid="{073DA54B-13B1-4F74-8B57-07BD722BFAFA}"/>
    <cellStyle name="差_Copy of DANH SACH LCD UPDATE NGAY 26 04 2010 _MEGASTAR-CHICILON Proposal Master2011-2012" xfId="1248" xr:uid="{E79CEE64-F7BC-4788-8A42-82135783357E}"/>
    <cellStyle name="差_Copy of DANH SACH LCD UPDATE NGAY 26 04 2010 _MEGASTAR-CHICILON Proposal Master2011-2012_1" xfId="1249" xr:uid="{AA422981-F32E-47BF-A7E7-BE8563D72FE8}"/>
    <cellStyle name="差_Copy of DANH SACH LCD UPDATE NGAY 26 04 2010 _MEGASTAR-CHICILON Proposal Master2011-2012_1 2" xfId="1250" xr:uid="{70501338-5745-4B4E-8739-E3EE39671A88}"/>
    <cellStyle name="差_Copy of DANH SACH LCD UPDATE NGAY 26 04 2010 _MEGASTAR-CHICILON Proposal Master2011-2012_Kungfu Panda (updated 19MAy)" xfId="1251" xr:uid="{A9360A35-5D95-4EF9-AEE2-02B41F9F0E50}"/>
    <cellStyle name="差_Copy of DANH SACH LCD UPDATE NGAY 26 04 2010 _MEGASTAR-CHICILON Proposal Master2011-2012_Kungfu Panda (updated)" xfId="1252" xr:uid="{B274064C-0B91-43DE-9062-33BD60C1C2F7}"/>
    <cellStyle name="差_Copy of DANH SACH LCD UPDATE NGAY 26 04 2010 _MEGASTAR-CHICILON Proposal Master2011-2012_MAster Plan of FOH, OOH " xfId="1253" xr:uid="{A9218C3F-1C73-4CDD-9413-96B8332F00C5}"/>
    <cellStyle name="差_Copy of DANH SACH LCD UPDATE NGAY 26 04 2010 _MEGASTAR-CHICILON Proposal Master2011-2012_Pirate 4 updated" xfId="1254" xr:uid="{05E345F3-35B7-436D-8229-826105080FBD}"/>
    <cellStyle name="差_Copy of DANH SACH LCD UPDATE NGAY 26 04 2010 _MEGASTAR-CHICILON Proposal Master2011-2012_Transformer" xfId="1255" xr:uid="{7C4AE8C8-905E-48A3-AEEA-EBD0B5429137}"/>
    <cellStyle name="差_Copy of DANH SACH LCD UPDATE NGAY 26 04 2010 _MEGASTAR-CHICILON.Proposal.Master2011" xfId="1256" xr:uid="{697B82FC-FED5-4214-9DE2-21492BE59BF4}"/>
    <cellStyle name="差_Copy of DANH SACH LCD UPDATE NGAY 26 04 2010 _MEGASTAR-CHICILON.Proposal.Master2011_Kungfu Panda (updated 19MAy)" xfId="1257" xr:uid="{A4FF3863-13F2-44F3-A4B4-E4A57BE53487}"/>
    <cellStyle name="差_Copy of DANH SACH LCD UPDATE NGAY 26 04 2010 _MEGASTAR-CHICILON.Proposal.Master2011_Kungfu Panda (updated)" xfId="1258" xr:uid="{01553535-62C3-4B19-B0DC-282CA41E30B2}"/>
    <cellStyle name="差_Copy of DANH SACH LCD UPDATE NGAY 26 04 2010 _MEGASTAR-CHICILON.Proposal.Master2011_MAster Plan of FOH, OOH " xfId="1259" xr:uid="{C279E732-459C-4123-98E0-05D98CA5441B}"/>
    <cellStyle name="差_Copy of DANH SACH LCD UPDATE NGAY 26 04 2010 _MEGASTAR-CHICILON.Proposal.Master2011_Pirate 4 updated" xfId="1260" xr:uid="{11018FE9-AFA7-4CC4-B4A0-DC81348CA696}"/>
    <cellStyle name="差_Copy of DANH SACH LCD UPDATE NGAY 26 04 2010 _MEGASTAR-CHICILON.Proposal.Master2011_Transformer" xfId="1261" xr:uid="{82B64812-F5CB-4AAC-A23A-29D42EAF9E8E}"/>
    <cellStyle name="差_Copy of DANH SACH LCD UPDATE NGAY 26 04 2010 _Pirate 4 updated" xfId="1262" xr:uid="{944ECB45-5823-496B-9302-343CBBCB43C5}"/>
    <cellStyle name="差_Copy of DANH SACH LCD UPDATE NGAY 26 04 2010 _Pirate 4 updated 19 May" xfId="1263" xr:uid="{D343CECF-499F-46A7-B026-E9112D1708CF}"/>
    <cellStyle name="差_Copy of DANH SACH LCD UPDATE NGAY 26 04 2010 _RANGO MP" xfId="1264" xr:uid="{D80C5964-ABCD-4B4A-8128-1AB0F3DDD27B}"/>
    <cellStyle name="差_Copy of DANH SACH LCD UPDATE NGAY 26 04 2010 _RANGO MP 2" xfId="1265" xr:uid="{04E005C8-CEC8-4837-BB68-3150AB6BC10A}"/>
    <cellStyle name="差_Copy of DANH SACH LCD UPDATE NGAY 26 04 2010 _Summer Block buster" xfId="1266" xr:uid="{1BC18F57-1BF0-4453-9B9D-A903E9BBC76B}"/>
    <cellStyle name="差_Copy of DANH SACH LCD UPDATE NGAY 26 04 2010 _Summer Block buster 2" xfId="1267" xr:uid="{BC726C71-1A66-4076-9DA8-0ACE75B6BB3F}"/>
    <cellStyle name="差_Copy of DANH SACH LCD UPDATE NGAY 26 04 2010 _Transformer" xfId="1268" xr:uid="{E7240D0D-B1E0-482F-9C64-060FFEB34F92}"/>
    <cellStyle name="差_Copy of DANH SACH LCD UPDATE NGAY 26 04 2010 _T-shirt" xfId="1269" xr:uid="{0AB6BF3B-ADDB-4D58-AD40-523DB6A70EB0}"/>
    <cellStyle name="差_Copy of DANH SACH LCD UPDATE NGAY 26 04 2010 _T-shirt_Kungfu Panda (updated 19MAy)" xfId="1270" xr:uid="{1619081C-8529-446F-BA20-A79B97EA85F8}"/>
    <cellStyle name="差_Copy of DANH SACH LCD UPDATE NGAY 26 04 2010 _T-shirt_Kungfu Panda (updated)" xfId="1271" xr:uid="{04C55F93-DC35-4B1F-B3C0-24F010B1160C}"/>
    <cellStyle name="差_Copy of DANH SACH LCD UPDATE NGAY 26 04 2010 _T-shirt_MAster Plan of FOH, OOH " xfId="1272" xr:uid="{20E2E82D-626D-449B-9FA7-67D45B180BA8}"/>
    <cellStyle name="差_Copy of DANH SACH LCD UPDATE NGAY 26 04 2010 _T-shirt_Pirate 4 updated" xfId="1273" xr:uid="{C2201C0A-4BF5-4228-9B7C-0A106B34727E}"/>
    <cellStyle name="差_Copy of DANH SACH LCD UPDATE NGAY 26 04 2010 _T-shirt_Transformer" xfId="1274" xr:uid="{ACBB048C-8526-4B5C-A750-5D98DF81099C}"/>
    <cellStyle name="差_GENERAL RATECARD 2011" xfId="1275" xr:uid="{F889A627-C7D3-4F12-ACF3-D8A97212964D}"/>
    <cellStyle name="差_GENERAL RATECARD 2011_Kungfu Panda (updated 19MAy)" xfId="1276" xr:uid="{764B7B00-0BCB-4359-847C-04850EED0118}"/>
    <cellStyle name="差_GENERAL RATECARD 2011_Kungfu Panda (updated)" xfId="1277" xr:uid="{DE0F9DF9-814E-46D0-855C-3C9364C44974}"/>
    <cellStyle name="差_GENERAL RATECARD 2011_MAster Plan of FOH, OOH " xfId="1278" xr:uid="{BEFFB89C-EDC0-47C6-B80E-254ABA39FB0E}"/>
    <cellStyle name="差_GENERAL RATECARD 2011_MEGASTAR-CHICILON Proposal Master2011-2012" xfId="1279" xr:uid="{2A5EFFF9-9352-4E5E-B772-559F05F5957E}"/>
    <cellStyle name="差_GENERAL RATECARD 2011_MEGASTAR-CHICILON Proposal Master2011-2012 2" xfId="1280" xr:uid="{0EFF9055-3932-4BF6-BD83-44AA9FFB6288}"/>
    <cellStyle name="差_GENERAL RATECARD 2011_Pirate 4 updated" xfId="1281" xr:uid="{7279D15F-A47B-4E68-8340-57C053A15C3A}"/>
    <cellStyle name="差_GENERAL RATECARD 2011_Transformer" xfId="1282" xr:uid="{5A6CBEC7-581C-4490-A758-7BEC47D9B69F}"/>
    <cellStyle name="差_LCD 15-9 " xfId="1283" xr:uid="{40F416C0-3ADE-4434-B513-25A1C6C45F6F}"/>
    <cellStyle name="差_LCD 15-9  2" xfId="1284" xr:uid="{6F5873AE-BE23-4802-BBE2-00C771D37CE6}"/>
    <cellStyle name="差_LCD 15-9 _Kungfu PAnda" xfId="1285" xr:uid="{AC02A7CE-E5AC-4CE2-89F8-2251472F869D}"/>
    <cellStyle name="差_LCD 15-9 _Kungfu Panda (updated 19MAy)" xfId="1286" xr:uid="{595D28D1-BAB9-4FC2-84B7-D0D5922A06B1}"/>
    <cellStyle name="差_LCD 15-9 _Kungfu Panda (updated)" xfId="1287" xr:uid="{D8184BB3-0B3A-4A52-A245-A8229FD42637}"/>
    <cellStyle name="差_LCD 15-9 _Kungfu PAnda_Kungfu Panda (updated 19MAy)" xfId="1288" xr:uid="{A38FEC4D-1E07-485F-A028-A83DD794D1D9}"/>
    <cellStyle name="差_LCD 15-9 _Kungfu PAnda_Kungfu Panda (updated)" xfId="1289" xr:uid="{D5543921-51D9-4015-B4B4-4E8FEB020B05}"/>
    <cellStyle name="差_LCD 15-9 _Kungfu PAnda_MAster Plan of FOH, OOH " xfId="1290" xr:uid="{B36D0B44-0CC6-456A-8BBF-4B030AA9A70E}"/>
    <cellStyle name="差_LCD 15-9 _Kungfu PAnda_Pirate 4 updated" xfId="1291" xr:uid="{43DE82EF-56DE-4AFC-AC4D-5176F35B1E61}"/>
    <cellStyle name="差_LCD 15-9 _Kungfu PAnda_Transformer" xfId="1292" xr:uid="{6390AE6B-14F8-4DDA-8957-10746EEF54D5}"/>
    <cellStyle name="差_LCD 15-9 _MAster Plan of FOH, OOH " xfId="1293" xr:uid="{1397AD52-78DF-4431-B31E-2F2561B8D9B1}"/>
    <cellStyle name="差_LCD 15-9 _MAster Plan of FOH, OOH  2" xfId="1294" xr:uid="{FF57D3FE-14AC-4827-BC2A-5777DF06ABB3}"/>
    <cellStyle name="差_LCD 15-9 _MEGASTAR-CHICILON Proposal Master2011-2012" xfId="1295" xr:uid="{9BDEE6A1-6597-4B5A-ABC2-0C09995BEDEA}"/>
    <cellStyle name="差_LCD 15-9 _MEGASTAR-CHICILON Proposal Master2011-2012_1" xfId="1296" xr:uid="{7B54CD0F-EDB8-4B99-9FAE-4F5FFED4E8E2}"/>
    <cellStyle name="差_LCD 15-9 _MEGASTAR-CHICILON Proposal Master2011-2012_1 2" xfId="1297" xr:uid="{34FBA95C-D300-4776-B987-2DF76024A913}"/>
    <cellStyle name="差_LCD 15-9 _MEGASTAR-CHICILON Proposal Master2011-2012_Kungfu Panda (updated 19MAy)" xfId="1298" xr:uid="{E4B3D2D4-6753-4A36-BDA1-A9DC411308A5}"/>
    <cellStyle name="差_LCD 15-9 _MEGASTAR-CHICILON Proposal Master2011-2012_Kungfu Panda (updated)" xfId="1299" xr:uid="{6D60B62D-38BB-463B-8910-3687BB9E2396}"/>
    <cellStyle name="差_LCD 15-9 _MEGASTAR-CHICILON Proposal Master2011-2012_MAster Plan of FOH, OOH " xfId="1300" xr:uid="{73A00BE5-1B13-4EF8-B8EA-865549F286FA}"/>
    <cellStyle name="差_LCD 15-9 _MEGASTAR-CHICILON Proposal Master2011-2012_Pirate 4 updated" xfId="1301" xr:uid="{4350FE52-47CF-4A84-95AF-396270BBAC19}"/>
    <cellStyle name="差_LCD 15-9 _MEGASTAR-CHICILON Proposal Master2011-2012_Transformer" xfId="1302" xr:uid="{533C1914-B373-4EB1-8B55-60D547511E96}"/>
    <cellStyle name="差_LCD 15-9 _MEGASTAR-CHICILON.Proposal.Master2011" xfId="1303" xr:uid="{1F966FA1-4EB1-493B-910D-A0FA633BE486}"/>
    <cellStyle name="差_LCD 15-9 _MEGASTAR-CHICILON.Proposal.Master2011_Kungfu Panda (updated 19MAy)" xfId="1304" xr:uid="{0659DDF4-0626-467E-A0D4-BC4E24D93F42}"/>
    <cellStyle name="差_LCD 15-9 _MEGASTAR-CHICILON.Proposal.Master2011_Kungfu Panda (updated)" xfId="1305" xr:uid="{C52D6775-EE05-4519-91BC-757F2D45B6C2}"/>
    <cellStyle name="差_LCD 15-9 _MEGASTAR-CHICILON.Proposal.Master2011_MAster Plan of FOH, OOH " xfId="1306" xr:uid="{32F8D089-18C9-4903-8C5D-F329EA479BD5}"/>
    <cellStyle name="差_LCD 15-9 _MEGASTAR-CHICILON.Proposal.Master2011_Pirate 4 updated" xfId="1307" xr:uid="{3C4A2452-063A-4442-B74C-801A1FF66BCA}"/>
    <cellStyle name="差_LCD 15-9 _MEGASTAR-CHICILON.Proposal.Master2011_Transformer" xfId="1308" xr:uid="{332B99F3-BD79-4446-9160-39E40E23DAB0}"/>
    <cellStyle name="差_LCD 15-9 _Pirate 4 updated" xfId="1309" xr:uid="{170375C2-AED2-4152-B374-FB19F082794A}"/>
    <cellStyle name="差_LCD 15-9 _Pirate 4 updated 19 May" xfId="1310" xr:uid="{731C880C-66B8-41EC-8E1F-26AD00C1F9CA}"/>
    <cellStyle name="差_LCD 15-9 _RANGO MP" xfId="1311" xr:uid="{DEBA6997-54AD-403B-B292-4420CA9D2652}"/>
    <cellStyle name="差_LCD 15-9 _RANGO MP 2" xfId="1312" xr:uid="{673BE96F-420D-48DF-80F5-3040F5933E67}"/>
    <cellStyle name="差_LCD 15-9 _Summer Block buster" xfId="1313" xr:uid="{600CF971-3478-41CE-A506-410F3154B443}"/>
    <cellStyle name="差_LCD 15-9 _Summer Block buster 2" xfId="1314" xr:uid="{9CAD398D-39EE-41D1-9250-39CA688672CB}"/>
    <cellStyle name="差_LCD 15-9 _Transformer" xfId="1315" xr:uid="{630CABD8-6C04-4181-B71F-FB3C27A63886}"/>
    <cellStyle name="差_LCD 15-9 _T-shirt" xfId="1316" xr:uid="{62EE8597-0019-44F4-AF70-C5C06FC6DFC3}"/>
    <cellStyle name="差_LCD 15-9 _T-shirt_Kungfu Panda (updated 19MAy)" xfId="1317" xr:uid="{7009A310-592A-4F5F-8627-AB7F9D8A24DD}"/>
    <cellStyle name="差_LCD 15-9 _T-shirt_Kungfu Panda (updated)" xfId="1318" xr:uid="{EAC6ADC3-D7B0-440C-B42F-4A04FC88EB89}"/>
    <cellStyle name="差_LCD 15-9 _T-shirt_MAster Plan of FOH, OOH " xfId="1319" xr:uid="{1F2B99F5-201F-45A2-8D1E-8902626B5BC4}"/>
    <cellStyle name="差_LCD 15-9 _T-shirt_Pirate 4 updated" xfId="1320" xr:uid="{FE171C25-8F83-4374-98EE-6E0A5E4D3827}"/>
    <cellStyle name="差_LCD 15-9 _T-shirt_Transformer" xfId="1321" xr:uid="{EFB8D682-3695-4D61-8440-58FB95546BCB}"/>
    <cellStyle name="差_LCD 28-10 " xfId="1322" xr:uid="{9E8EE133-D954-4F17-AC82-E261DF1BF239}"/>
    <cellStyle name="差_LCD 28-10  2" xfId="1323" xr:uid="{CDBC1804-ED72-4F2F-9616-39053CEF8FC4}"/>
    <cellStyle name="差_LCD 28-10 _Kungfu PAnda" xfId="1324" xr:uid="{0D3C3701-E1D2-4C59-ADE8-8B1F4B5EA97E}"/>
    <cellStyle name="差_LCD 28-10 _Kungfu Panda (updated 19MAy)" xfId="1325" xr:uid="{B534B651-5780-4E17-8582-4EF201B16BDA}"/>
    <cellStyle name="差_LCD 28-10 _Kungfu Panda (updated)" xfId="1326" xr:uid="{0686CEDE-502A-444C-880D-04EFD2FC5C05}"/>
    <cellStyle name="差_LCD 28-10 _Kungfu PAnda_Kungfu Panda (updated 19MAy)" xfId="1327" xr:uid="{8E8348AB-538A-4120-9279-B70D32D796D2}"/>
    <cellStyle name="差_LCD 28-10 _Kungfu PAnda_Kungfu Panda (updated)" xfId="1328" xr:uid="{767B7422-55AF-4775-9128-56A8E6C26578}"/>
    <cellStyle name="差_LCD 28-10 _Kungfu PAnda_MAster Plan of FOH, OOH " xfId="1329" xr:uid="{A94AD1B1-F01F-43F8-8877-EDCCF34CE00D}"/>
    <cellStyle name="差_LCD 28-10 _Kungfu PAnda_Pirate 4 updated" xfId="1330" xr:uid="{C6147F25-5C24-4D3A-A41B-5DB3438EE65D}"/>
    <cellStyle name="差_LCD 28-10 _Kungfu PAnda_Transformer" xfId="1331" xr:uid="{EBDC0E37-61A6-43F8-88F2-CE4B70BE7766}"/>
    <cellStyle name="差_LCD 28-10 _MAster Plan of FOH, OOH " xfId="1332" xr:uid="{C5B9272E-24F4-4DA0-9CC7-26C682AABDA5}"/>
    <cellStyle name="差_LCD 28-10 _MAster Plan of FOH, OOH  2" xfId="1333" xr:uid="{380AC47B-79E3-421E-8CBF-2295AD4F32EE}"/>
    <cellStyle name="差_LCD 28-10 _MEGASTAR-CHICILON Proposal Master2011-2012" xfId="1334" xr:uid="{3539EFC0-0B5C-4323-ABD2-7FC56C0000FE}"/>
    <cellStyle name="差_LCD 28-10 _MEGASTAR-CHICILON Proposal Master2011-2012_1" xfId="1335" xr:uid="{8FE3D381-86DB-4C55-8DCD-3844CB7B636B}"/>
    <cellStyle name="差_LCD 28-10 _MEGASTAR-CHICILON Proposal Master2011-2012_1 2" xfId="1336" xr:uid="{38171BE0-DB0C-4E2A-88BB-DA7EC8681583}"/>
    <cellStyle name="差_LCD 28-10 _MEGASTAR-CHICILON Proposal Master2011-2012_Kungfu Panda (updated 19MAy)" xfId="1337" xr:uid="{F638F7DE-E43C-4F40-A50D-0671FA9961C5}"/>
    <cellStyle name="差_LCD 28-10 _MEGASTAR-CHICILON Proposal Master2011-2012_Kungfu Panda (updated)" xfId="1338" xr:uid="{DA319085-438A-40FF-878B-7F0B66D8DBFE}"/>
    <cellStyle name="差_LCD 28-10 _MEGASTAR-CHICILON Proposal Master2011-2012_MAster Plan of FOH, OOH " xfId="1339" xr:uid="{592598A3-DAC3-4820-851F-D8EC8D1C102C}"/>
    <cellStyle name="差_LCD 28-10 _MEGASTAR-CHICILON Proposal Master2011-2012_Pirate 4 updated" xfId="1340" xr:uid="{50C62FD8-7D81-4E54-AB33-57B60B982D74}"/>
    <cellStyle name="差_LCD 28-10 _MEGASTAR-CHICILON Proposal Master2011-2012_Transformer" xfId="1341" xr:uid="{4AE31B94-3512-491E-8B70-04EE95DDFADD}"/>
    <cellStyle name="差_LCD 28-10 _MEGASTAR-CHICILON.Proposal.Master2011" xfId="1342" xr:uid="{729E59A3-DEB9-4A73-A6D2-8E2EEE56980E}"/>
    <cellStyle name="差_LCD 28-10 _MEGASTAR-CHICILON.Proposal.Master2011_Kungfu Panda (updated 19MAy)" xfId="1343" xr:uid="{A0AAF6F6-3FA9-40B0-B16E-CB87873C6A7F}"/>
    <cellStyle name="差_LCD 28-10 _MEGASTAR-CHICILON.Proposal.Master2011_Kungfu Panda (updated)" xfId="1344" xr:uid="{E45DAAE6-30E4-498B-851A-EC8B3FADCAD3}"/>
    <cellStyle name="差_LCD 28-10 _MEGASTAR-CHICILON.Proposal.Master2011_MAster Plan of FOH, OOH " xfId="1345" xr:uid="{EAE6D4FB-DC30-403A-8D61-322D20150E23}"/>
    <cellStyle name="差_LCD 28-10 _MEGASTAR-CHICILON.Proposal.Master2011_Pirate 4 updated" xfId="1346" xr:uid="{2973529E-5BB4-4C5F-A6E1-DA78DDCD7CB4}"/>
    <cellStyle name="差_LCD 28-10 _MEGASTAR-CHICILON.Proposal.Master2011_Transformer" xfId="1347" xr:uid="{CC1E1386-9FBD-4CC8-8785-B56E7FCE4BDF}"/>
    <cellStyle name="差_LCD 28-10 _Pirate 4 updated" xfId="1348" xr:uid="{0ED2EA06-1828-4A69-8B07-E1682738DD9B}"/>
    <cellStyle name="差_LCD 28-10 _Pirate 4 updated 19 May" xfId="1349" xr:uid="{00A6D34A-64D3-40C0-9004-3648FEF4DF12}"/>
    <cellStyle name="差_LCD 28-10 _RANGO MP" xfId="1350" xr:uid="{FB049ABC-F644-4D07-B8B5-6B0F524D2880}"/>
    <cellStyle name="差_LCD 28-10 _RANGO MP 2" xfId="1351" xr:uid="{264134E5-BD69-4039-8352-E66EDDD9C2BF}"/>
    <cellStyle name="差_LCD 28-10 _Summer Block buster" xfId="1352" xr:uid="{7B056B07-2C3B-4E33-9F05-8C1328FB76CB}"/>
    <cellStyle name="差_LCD 28-10 _Summer Block buster 2" xfId="1353" xr:uid="{9887D933-664D-4906-B2A2-CD7E3B7F94BD}"/>
    <cellStyle name="差_LCD 28-10 _Transformer" xfId="1354" xr:uid="{1522824C-CC8D-43EF-8FC0-0CD072ECFA9D}"/>
    <cellStyle name="差_LCD 28-10 _T-shirt" xfId="1355" xr:uid="{F95D5C31-AAFB-4129-91F8-321E54665FEF}"/>
    <cellStyle name="差_LCD 28-10 _T-shirt_Kungfu Panda (updated 19MAy)" xfId="1356" xr:uid="{C8171760-62A8-4F4D-A6FB-52338B0C2FB8}"/>
    <cellStyle name="差_LCD 28-10 _T-shirt_Kungfu Panda (updated)" xfId="1357" xr:uid="{E200CB40-CE98-418C-8487-A7E3E3E34FD2}"/>
    <cellStyle name="差_LCD 28-10 _T-shirt_MAster Plan of FOH, OOH " xfId="1358" xr:uid="{4CC8A609-8156-44B8-B0FC-D42318B96EE5}"/>
    <cellStyle name="差_LCD 28-10 _T-shirt_Pirate 4 updated" xfId="1359" xr:uid="{67B66362-7ECB-4836-AACA-0CE026960DB0}"/>
    <cellStyle name="差_LCD 28-10 _T-shirt_Transformer" xfId="1360" xr:uid="{3F852932-F617-408E-A1DF-8B0ADF8CF264}"/>
    <cellStyle name="差_LCD UPDATE NGAY 22-6 2010" xfId="1361" xr:uid="{36282D86-D66E-471E-92DD-BC3517988027}"/>
    <cellStyle name="差_POSTER FRAME LIST" xfId="1362" xr:uid="{98B7AECC-FC0F-445F-BF51-9C416E9083DE}"/>
    <cellStyle name="常规 2" xfId="1363" xr:uid="{493E730E-0324-4C5A-9B02-902648EA0759}"/>
    <cellStyle name="常规 3" xfId="1364" xr:uid="{9284E24C-30E1-4E61-A37E-976F0B6B5FD2}"/>
    <cellStyle name="常规 4" xfId="1365" xr:uid="{33155B00-DDD1-4A2F-B7A1-A3723953EBF3}"/>
    <cellStyle name="常规_Sheet1" xfId="1366" xr:uid="{85896B7A-027D-4ECE-8392-D8F0B8D82F07}"/>
    <cellStyle name="强调文字颜色 1" xfId="1367" xr:uid="{E061F1F0-8836-4CC8-99C8-D80D03D5B399}"/>
    <cellStyle name="强调文字颜色 2" xfId="1368" xr:uid="{A9ECB80E-C8E0-47A6-A67B-9187492C9763}"/>
    <cellStyle name="强调文字颜色 3" xfId="1369" xr:uid="{E3BC7E23-B4E7-42E7-AAFA-39C2D448C80E}"/>
    <cellStyle name="强调文字颜色 4" xfId="1370" xr:uid="{8A9F1632-9D02-4EA6-8D41-900D978AAE96}"/>
    <cellStyle name="强调文字颜色 5" xfId="1371" xr:uid="{B0878D2C-4188-4CF5-847B-EF365EBD014B}"/>
    <cellStyle name="强调文字颜色 6" xfId="1372" xr:uid="{5DED97BA-1DEE-4BBF-BA21-AD44F95E52FD}"/>
    <cellStyle name="标题" xfId="1373" xr:uid="{DA5E1F3D-4631-44C2-B859-AD34FC6352A5}"/>
    <cellStyle name="标题 1" xfId="1374" xr:uid="{79DC70A5-3551-4F84-9095-30191D69CA96}"/>
    <cellStyle name="标题 2" xfId="1375" xr:uid="{E412D4C2-A191-42A0-BA04-F8A7FD4BEFD9}"/>
    <cellStyle name="标题 3" xfId="1376" xr:uid="{664F60A3-2641-4637-9A8E-D2DD4DD1F68B}"/>
    <cellStyle name="标题 4" xfId="1377" xr:uid="{ECD11534-9DDE-429B-8834-E7EEA9CD2F0C}"/>
    <cellStyle name="标题_CHICILON FullRateCard 2011" xfId="1378" xr:uid="{1455CBCB-77AD-4DAA-9229-E82073EC58F4}"/>
    <cellStyle name="样式 1" xfId="1379" xr:uid="{DF5B69F9-96ED-43D7-BB58-35A8C859152D}"/>
    <cellStyle name="检查单元格" xfId="1380" xr:uid="{59DA817F-8AA5-4091-A1BC-6DD6139FCD4B}"/>
    <cellStyle name="汇总" xfId="1381" xr:uid="{1D598F36-9B3E-4B6A-BE3D-3790D7249A07}"/>
    <cellStyle name="注释" xfId="1382" xr:uid="{A23D52EE-83DF-4888-B8D7-504A253593AE}"/>
    <cellStyle name="解释性文本" xfId="1383" xr:uid="{127A9AA4-FD91-450E-96EC-0BC0E01D739A}"/>
    <cellStyle name="警告文本" xfId="1384" xr:uid="{3FDC6D2F-BE29-4766-8942-DB76CE6BEDB4}"/>
    <cellStyle name="计算" xfId="1385" xr:uid="{D0B31085-D399-4BAE-B855-78ECAE0CC222}"/>
    <cellStyle name="貨幣 [0]_Book1" xfId="1386" xr:uid="{1BEDE16C-A5E7-41C1-9960-B2D5E33DC527}"/>
    <cellStyle name="貨幣_Book1" xfId="1387" xr:uid="{13910629-E42D-45B6-B686-D86CC9F2AF39}"/>
    <cellStyle name="超链接 2" xfId="1388" xr:uid="{292E8A27-F1F3-4A97-BD7C-4A0628B5816C}"/>
    <cellStyle name="输入" xfId="1389" xr:uid="{58F2FE3C-8E21-44F9-8D76-D53C90E23AFA}"/>
    <cellStyle name="输出" xfId="1390" xr:uid="{14A67096-2EA3-4606-A683-ECA32B443BBB}"/>
    <cellStyle name="适中" xfId="1391" xr:uid="{F432A30E-9A26-4C7C-A6D4-0F20601F27BE}"/>
    <cellStyle name="链接单元格" xfId="1392" xr:uid="{47EFA612-8552-44D4-93B3-BA4191D3EAF2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596900</xdr:colOff>
      <xdr:row>0</xdr:row>
      <xdr:rowOff>0</xdr:rowOff>
    </xdr:from>
    <xdr:to>
      <xdr:col>3</xdr:col>
      <xdr:colOff>209550</xdr:colOff>
      <xdr:row>0</xdr:row>
      <xdr:rowOff>774700</xdr:rowOff>
    </xdr:to>
    <xdr:pic>
      <xdr:nvPicPr>
        <xdr:cNvPr id="13228" name="Picture 4">
          <a:extLst>
            <a:ext uri="{FF2B5EF4-FFF2-40B4-BE49-F238E27FC236}">
              <a16:creationId xmlns:a16="http://schemas.microsoft.com/office/drawing/2014/main" id="{CBEED0A1-CA62-9B6E-DC34-7BA82755F2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3600" y="0"/>
          <a:ext cx="19558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file/C/Users/khuyen.le/AppData/Local/Microsoft/Windows/Temporary%20Internet%20Files/Content.Outlook/EVGHVORZ/Users/phuong.vo/Desktop/CTP%20Master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file/Nhung/C/My%20Documents/Data%202002/Budget%202002/1%20Plan%202002%20Working%20Paper%20---%20Update%2015-11-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file/Nhung/C/Documents%20and%20Settings/Administrator/Desktop/My%20Documents/2002%20Data/MIR%202002/Mir1120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file/C/Users/khuyen.le/AppData/Local/Microsoft/Windows/Temporary%20Internet%20Files/Content.Outlook/EVGHVORZ/Documents%20and%20Settings/Oanh%20D/Desktop/VN_Publisher%20and%20Website%20Setup%20Form%20v6%2012Dec08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file/B/c/My%20Documents/NAM%20HA%202002/NAM%20HA%201/NAM%20HA%202002/KT2002/Nam%20Ha%2020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file/C/Users/khuyen.le/AppData/Local/Microsoft/Windows/Temporary%20Internet%20Files/Content.Outlook/EVGHVORZ/TRIUMPH/HIEU/BG2005/DS-FINAL/OANH/Aa2002/bud2003-01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file/C/Users/khuyen.le/AppData/Local/Microsoft/Windows/Temporary%20Internet%20Files/Content.Outlook/EVGHVORZ/ANH.BUI/Private/Linhtinh/Print/MaiAnh2004/PRINT/CONTRACTS%202004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file/S/Documents%20and%20Settings/PhuongLam%20Le/Desktop/Book4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file/C/Users/khuyen.le/AppData/Local/Microsoft/Windows/Temporary%20Internet%20Files/Content.Outlook/EVGHVORZ/MS%20Planners/Q.Phuong/Training%20documents/Reach%20estimator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file/C/Users/khuyen.le/AppData/Local/Microsoft/Windows/Temporary%20Internet%20Files/Content.Outlook/EVGHVORZ/DOCUME~1/NGUYEV~1/LOCALS~1/Temp/notes359DB9/A&amp;P%20USD%200808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file/C/Users/khuyen.le/AppData/Local/Microsoft/Windows/Temporary%20Internet%20Files/Content.Outlook/EVGHVORZ/MAI%20ANH/MaiAnh2006/print%20ratecard%202006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Macintosh%20HDUsers/mac/Downloads/09-%2011%20%20CGV%20-%20MOANA%20-%20Flyer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CGV/Local/file/O/PROGRAM%20FILES/SCOPE/Data/PhaseForm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P Master Excel"/>
      <sheetName val="CTP Master"/>
      <sheetName val="TOTAL 2011 Tuyen (13 OCt)"/>
      <sheetName val="#REF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 CONTROLS"/>
      <sheetName val="COVER"/>
      <sheetName val="SOE"/>
      <sheetName val="RIGS"/>
      <sheetName val="SUM-INPUT"/>
      <sheetName val="S"/>
      <sheetName val="P"/>
      <sheetName val="I"/>
      <sheetName val="H"/>
      <sheetName val="E512"/>
      <sheetName val="E620"/>
      <sheetName val="E621"/>
      <sheetName val="E615"/>
      <sheetName val="E622"/>
      <sheetName val="TOTAL_SELLING"/>
      <sheetName val="700"/>
      <sheetName val="721"/>
      <sheetName val="723"/>
      <sheetName val="722"/>
      <sheetName val="800"/>
      <sheetName val="E516"/>
      <sheetName val="carryover"/>
      <sheetName val="newrequest"/>
      <sheetName val="expenditure"/>
      <sheetName val="SUPPORT"/>
      <sheetName val="Salary "/>
      <sheetName val="TB"/>
      <sheetName val="Revenue"/>
      <sheetName val="Module1"/>
      <sheetName val="DSO"/>
      <sheetName val="PRINT_CONTROLS"/>
      <sheetName val="Salary_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/>
      <sheetData sheetId="3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MI2A-A"/>
      <sheetName val="MI2A-B"/>
      <sheetName val="MI3"/>
      <sheetName val="MI19(A)"/>
      <sheetName val="MI20(1)"/>
      <sheetName val="E6102"/>
      <sheetName val="E6120"/>
      <sheetName val="E6105"/>
      <sheetName val="E6119"/>
      <sheetName val="E6131"/>
      <sheetName val="E6200"/>
      <sheetName val="6WD"/>
      <sheetName val="S"/>
      <sheetName val="Budget 2"/>
      <sheetName val="TB"/>
      <sheetName val="Budget_2"/>
    </sheetNames>
    <sheetDataSet>
      <sheetData sheetId="0" refreshError="1"/>
      <sheetData sheetId="1" refreshError="1">
        <row r="1">
          <cell r="A1" t="str">
            <v>FORM MI-2A (4/90 REV)</v>
          </cell>
          <cell r="N1" t="str">
            <v>Page  1 of  2</v>
          </cell>
        </row>
        <row r="2">
          <cell r="A2" t="str">
            <v>+</v>
          </cell>
        </row>
        <row r="3">
          <cell r="B3" t="str">
            <v>CONSOLIDATING BALANCE SHEET</v>
          </cell>
          <cell r="C3" t="str">
            <v>TOTAL</v>
          </cell>
          <cell r="I3" t="str">
            <v>TOTAL</v>
          </cell>
          <cell r="J3" t="str">
            <v>DRILLING</v>
          </cell>
          <cell r="M3" t="str">
            <v>WATERWELL</v>
          </cell>
          <cell r="N3" t="str">
            <v>AIR</v>
          </cell>
        </row>
        <row r="4">
          <cell r="A4" t="str">
            <v>A</v>
          </cell>
          <cell r="B4" t="str">
            <v>(EXPRESSED IN U. S. $000)</v>
          </cell>
          <cell r="C4" t="str">
            <v>ENTITY</v>
          </cell>
          <cell r="D4" t="str">
            <v>ELIM</v>
          </cell>
          <cell r="E4" t="str">
            <v>MINERALS</v>
          </cell>
          <cell r="F4" t="str">
            <v>EXECUTIVE</v>
          </cell>
          <cell r="G4" t="str">
            <v>SWACO</v>
          </cell>
          <cell r="I4" t="str">
            <v>HEMISPHERE</v>
          </cell>
          <cell r="J4" t="str">
            <v>FLUIDS</v>
          </cell>
          <cell r="K4" t="str">
            <v>FEDERAL</v>
          </cell>
          <cell r="L4" t="str">
            <v>TENDERS</v>
          </cell>
          <cell r="M4" t="str">
            <v>/ MINING</v>
          </cell>
          <cell r="N4" t="str">
            <v>DRILLING</v>
          </cell>
        </row>
        <row r="6">
          <cell r="B6" t="str">
            <v>CURRENT ASSETS</v>
          </cell>
        </row>
        <row r="7">
          <cell r="A7">
            <v>1</v>
          </cell>
          <cell r="B7" t="str">
            <v xml:space="preserve"> UNRESTRICTED CASH (MI-2B)</v>
          </cell>
          <cell r="C7">
            <v>3038.1493700000005</v>
          </cell>
          <cell r="I7">
            <v>3038.1493700000005</v>
          </cell>
          <cell r="J7">
            <v>3038.1493700000005</v>
          </cell>
        </row>
        <row r="8">
          <cell r="A8">
            <v>2</v>
          </cell>
          <cell r="B8" t="str">
            <v xml:space="preserve"> RESTRICTED CASH (MI-2B)</v>
          </cell>
          <cell r="C8">
            <v>12.00076</v>
          </cell>
          <cell r="I8">
            <v>12.00076</v>
          </cell>
          <cell r="J8">
            <v>12.00076</v>
          </cell>
        </row>
        <row r="9">
          <cell r="A9">
            <v>3</v>
          </cell>
          <cell r="B9" t="str">
            <v xml:space="preserve"> MKTBLE. SEC./S-T INVEST. (MI-2B)</v>
          </cell>
          <cell r="C9">
            <v>0</v>
          </cell>
          <cell r="I9">
            <v>0</v>
          </cell>
          <cell r="J9">
            <v>0</v>
          </cell>
        </row>
        <row r="10">
          <cell r="B10" t="str">
            <v xml:space="preserve"> PUBLIC RECEIVABLES</v>
          </cell>
        </row>
        <row r="11">
          <cell r="A11">
            <v>4</v>
          </cell>
          <cell r="B11" t="str">
            <v xml:space="preserve">   NOTES &amp; ACCRUED INTEREST</v>
          </cell>
          <cell r="C11">
            <v>0</v>
          </cell>
          <cell r="I11">
            <v>0</v>
          </cell>
        </row>
        <row r="12">
          <cell r="A12">
            <v>5</v>
          </cell>
          <cell r="B12" t="str">
            <v xml:space="preserve">   ACCOUNTS</v>
          </cell>
          <cell r="C12">
            <v>872.24527999999975</v>
          </cell>
          <cell r="I12">
            <v>872.24527999999975</v>
          </cell>
          <cell r="J12">
            <v>872.24527999999975</v>
          </cell>
        </row>
        <row r="13">
          <cell r="A13">
            <v>6</v>
          </cell>
          <cell r="B13" t="str">
            <v xml:space="preserve">     TOTAL PUBLIC RECEIVABLES</v>
          </cell>
          <cell r="C13">
            <v>872.24527999999975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I13">
            <v>872.24527999999975</v>
          </cell>
          <cell r="J13">
            <v>872.24527999999975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A14">
            <v>7</v>
          </cell>
          <cell r="B14" t="str">
            <v xml:space="preserve">   LESS ALLOW. FOR DOUBT. REC.</v>
          </cell>
          <cell r="C14">
            <v>0</v>
          </cell>
          <cell r="I14">
            <v>0</v>
          </cell>
          <cell r="J14">
            <v>0</v>
          </cell>
        </row>
        <row r="15">
          <cell r="A15">
            <v>8</v>
          </cell>
          <cell r="B15" t="str">
            <v xml:space="preserve"> NET PUBLIC RECEIVABLES</v>
          </cell>
          <cell r="C15">
            <v>872.24527999999975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I15">
            <v>872.24527999999975</v>
          </cell>
          <cell r="J15">
            <v>872.24527999999975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A16">
            <v>9</v>
          </cell>
          <cell r="B16" t="str">
            <v xml:space="preserve"> REC. FROM AFFIL. &amp; UNCON. SUBS. </v>
          </cell>
          <cell r="C16">
            <v>363.68565000000001</v>
          </cell>
          <cell r="I16">
            <v>363.68565000000001</v>
          </cell>
          <cell r="J16">
            <v>363.68565000000001</v>
          </cell>
        </row>
        <row r="17">
          <cell r="A17">
            <v>10</v>
          </cell>
          <cell r="B17" t="str">
            <v xml:space="preserve"> INTERCO./DIV. ACCOUNTS REC. (MI-2C)</v>
          </cell>
          <cell r="C17">
            <v>0</v>
          </cell>
          <cell r="I17">
            <v>0</v>
          </cell>
        </row>
        <row r="18">
          <cell r="B18" t="str">
            <v xml:space="preserve"> INVENTORIES</v>
          </cell>
        </row>
        <row r="19">
          <cell r="A19">
            <v>11</v>
          </cell>
          <cell r="B19" t="str">
            <v xml:space="preserve">   FINISHED PRODUCTS &amp; PARTS</v>
          </cell>
          <cell r="C19">
            <v>2254.4807800000003</v>
          </cell>
          <cell r="I19">
            <v>2254.4807800000003</v>
          </cell>
          <cell r="J19">
            <v>2254.4807800000003</v>
          </cell>
        </row>
        <row r="20">
          <cell r="A20">
            <v>12</v>
          </cell>
          <cell r="B20" t="str">
            <v xml:space="preserve">   IN-PROCESS PRODUCTS &amp; PARTS</v>
          </cell>
          <cell r="C20">
            <v>0</v>
          </cell>
          <cell r="I20">
            <v>0</v>
          </cell>
          <cell r="J20">
            <v>0</v>
          </cell>
        </row>
        <row r="21">
          <cell r="A21">
            <v>13</v>
          </cell>
          <cell r="B21" t="str">
            <v xml:space="preserve">   RAW MATERIALS &amp; SUPPLIES</v>
          </cell>
          <cell r="C21">
            <v>0</v>
          </cell>
          <cell r="I21">
            <v>0</v>
          </cell>
          <cell r="J21">
            <v>0</v>
          </cell>
        </row>
        <row r="22">
          <cell r="A22">
            <v>14</v>
          </cell>
          <cell r="B22" t="str">
            <v xml:space="preserve">      TOTAL INVENTORY</v>
          </cell>
          <cell r="C22">
            <v>2254.4807800000003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I22">
            <v>2254.4807800000003</v>
          </cell>
          <cell r="J22">
            <v>2254.4807800000003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A23">
            <v>15</v>
          </cell>
          <cell r="B23" t="str">
            <v xml:space="preserve">   LESS PROG. PYMTS. ON CONT.</v>
          </cell>
          <cell r="C23">
            <v>0</v>
          </cell>
          <cell r="I23">
            <v>0</v>
          </cell>
        </row>
        <row r="24">
          <cell r="A24">
            <v>16</v>
          </cell>
          <cell r="B24" t="str">
            <v xml:space="preserve"> NET INVENTORY</v>
          </cell>
          <cell r="C24">
            <v>2254.4807800000003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I24">
            <v>2254.4807800000003</v>
          </cell>
          <cell r="J24">
            <v>2254.4807800000003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A25">
            <v>17</v>
          </cell>
          <cell r="B25" t="str">
            <v xml:space="preserve"> PREPAID EXPENSES</v>
          </cell>
          <cell r="C25">
            <v>4.3586800000000006</v>
          </cell>
          <cell r="I25">
            <v>4.3586800000000006</v>
          </cell>
          <cell r="J25">
            <v>4.3586800000000006</v>
          </cell>
        </row>
        <row r="26">
          <cell r="A26">
            <v>18</v>
          </cell>
          <cell r="B26" t="str">
            <v xml:space="preserve">      TOTAL CURRENT ASSETS</v>
          </cell>
          <cell r="C26">
            <v>6544.9205200000006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I26">
            <v>6544.9205200000006</v>
          </cell>
          <cell r="J26">
            <v>6544.9205200000006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8">
          <cell r="A28">
            <v>19</v>
          </cell>
          <cell r="B28" t="str">
            <v>INTERDIVISION CONTROL (MI-2C)</v>
          </cell>
          <cell r="C28">
            <v>0</v>
          </cell>
          <cell r="I28">
            <v>0</v>
          </cell>
        </row>
        <row r="29">
          <cell r="A29">
            <v>20</v>
          </cell>
          <cell r="B29" t="str">
            <v>INVEST. IN CONSOL. SUBSIDIARIES</v>
          </cell>
          <cell r="C29">
            <v>0</v>
          </cell>
          <cell r="I29">
            <v>0</v>
          </cell>
          <cell r="J29">
            <v>0</v>
          </cell>
        </row>
        <row r="30">
          <cell r="A30">
            <v>21</v>
          </cell>
          <cell r="B30" t="str">
            <v>INVEST. IN AFFIL. &amp; UNCON. SUBS.</v>
          </cell>
          <cell r="C30">
            <v>0</v>
          </cell>
          <cell r="I30">
            <v>0</v>
          </cell>
          <cell r="J30">
            <v>0</v>
          </cell>
        </row>
        <row r="31">
          <cell r="A31">
            <v>22</v>
          </cell>
          <cell r="B31" t="str">
            <v>INVEST. IN MKT. SEC. - NON CURRENT</v>
          </cell>
          <cell r="C31">
            <v>0</v>
          </cell>
          <cell r="I31">
            <v>0</v>
          </cell>
          <cell r="J31">
            <v>0</v>
          </cell>
        </row>
        <row r="32">
          <cell r="A32">
            <v>23</v>
          </cell>
          <cell r="B32" t="str">
            <v>OTHER ASSETS</v>
          </cell>
          <cell r="C32">
            <v>0</v>
          </cell>
          <cell r="I32">
            <v>0</v>
          </cell>
          <cell r="J32">
            <v>0</v>
          </cell>
        </row>
        <row r="33">
          <cell r="A33">
            <v>24</v>
          </cell>
          <cell r="B33" t="str">
            <v>LONG-TERM RECEIVABLES</v>
          </cell>
          <cell r="C33">
            <v>0</v>
          </cell>
          <cell r="I33">
            <v>0</v>
          </cell>
          <cell r="J33">
            <v>0</v>
          </cell>
        </row>
        <row r="34">
          <cell r="A34">
            <v>25</v>
          </cell>
          <cell r="B34" t="str">
            <v>L-T REC FRM AFFIL.&amp; UNCON. SUBS.</v>
          </cell>
          <cell r="C34">
            <v>0</v>
          </cell>
          <cell r="I34">
            <v>0</v>
          </cell>
          <cell r="J34">
            <v>0</v>
          </cell>
        </row>
        <row r="35">
          <cell r="A35">
            <v>26</v>
          </cell>
          <cell r="B35" t="str">
            <v>(UNASSIGNED)</v>
          </cell>
          <cell r="C35">
            <v>0</v>
          </cell>
          <cell r="I35">
            <v>0</v>
          </cell>
          <cell r="J35">
            <v>0</v>
          </cell>
        </row>
        <row r="36">
          <cell r="A36">
            <v>27</v>
          </cell>
          <cell r="B36" t="str">
            <v>PATENTS</v>
          </cell>
          <cell r="C36">
            <v>0</v>
          </cell>
          <cell r="I36">
            <v>0</v>
          </cell>
          <cell r="J36">
            <v>0</v>
          </cell>
        </row>
        <row r="37">
          <cell r="A37">
            <v>28</v>
          </cell>
          <cell r="B37" t="str">
            <v>GOODWILL</v>
          </cell>
          <cell r="C37">
            <v>0</v>
          </cell>
          <cell r="I37">
            <v>0</v>
          </cell>
          <cell r="J37">
            <v>0</v>
          </cell>
        </row>
        <row r="39">
          <cell r="B39" t="str">
            <v>PROPERTY PLANT &amp;  EQUIPMENT</v>
          </cell>
        </row>
        <row r="40">
          <cell r="A40">
            <v>29</v>
          </cell>
          <cell r="B40" t="str">
            <v xml:space="preserve"> LAND, LAND IMPROVE. &amp; MIN. DEP.</v>
          </cell>
          <cell r="C40">
            <v>0</v>
          </cell>
          <cell r="I40">
            <v>0</v>
          </cell>
          <cell r="J40">
            <v>0</v>
          </cell>
        </row>
        <row r="41">
          <cell r="A41">
            <v>30</v>
          </cell>
          <cell r="B41" t="str">
            <v xml:space="preserve"> BUILDINGS</v>
          </cell>
          <cell r="C41">
            <v>294.61</v>
          </cell>
          <cell r="I41">
            <v>294.61</v>
          </cell>
          <cell r="J41">
            <v>294.61</v>
          </cell>
        </row>
        <row r="42">
          <cell r="A42">
            <v>31</v>
          </cell>
          <cell r="B42" t="str">
            <v xml:space="preserve"> MACHINERY &amp; EQUIPMENT</v>
          </cell>
          <cell r="C42">
            <v>1157.9166</v>
          </cell>
          <cell r="I42">
            <v>1157.9166</v>
          </cell>
          <cell r="J42">
            <v>1157.9166</v>
          </cell>
        </row>
        <row r="43">
          <cell r="A43">
            <v>32</v>
          </cell>
          <cell r="B43" t="str">
            <v xml:space="preserve">     TOTAL PROPERTIES - GROSS</v>
          </cell>
          <cell r="C43">
            <v>1452.5266000000001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I43">
            <v>1452.5266000000001</v>
          </cell>
          <cell r="J43">
            <v>1452.5266000000001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A44">
            <v>33</v>
          </cell>
          <cell r="B44" t="str">
            <v xml:space="preserve">  LESS ALLOW. FOR DEPR. &amp; AMORT.</v>
          </cell>
          <cell r="C44">
            <v>788.17600000000004</v>
          </cell>
          <cell r="I44">
            <v>788.17600000000004</v>
          </cell>
          <cell r="J44">
            <v>788.17600000000004</v>
          </cell>
        </row>
        <row r="45">
          <cell r="A45">
            <v>34</v>
          </cell>
          <cell r="B45" t="str">
            <v xml:space="preserve">     TOTAL PROPERTIES - NET</v>
          </cell>
          <cell r="C45">
            <v>664.3506000000001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I45">
            <v>664.3506000000001</v>
          </cell>
          <cell r="J45">
            <v>664.3506000000001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</row>
        <row r="47">
          <cell r="A47">
            <v>35</v>
          </cell>
          <cell r="B47" t="str">
            <v xml:space="preserve">     TOTAL ASSETS (LINE B-34)</v>
          </cell>
          <cell r="C47">
            <v>7209.2711200000003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I47">
            <v>7209.2711200000003</v>
          </cell>
          <cell r="J47">
            <v>7209.2711200000003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 t="str">
            <v xml:space="preserve"> </v>
          </cell>
          <cell r="H48" t="str">
            <v xml:space="preserve"> </v>
          </cell>
        </row>
        <row r="49">
          <cell r="A49">
            <v>36</v>
          </cell>
          <cell r="B49" t="str">
            <v>CAPITAL EXPENDITURES</v>
          </cell>
          <cell r="C49">
            <v>0</v>
          </cell>
          <cell r="I49">
            <v>0</v>
          </cell>
        </row>
        <row r="52">
          <cell r="A52" t="str">
            <v>M-I DRILLING FLUIDS - VIETNAM J/V CO.</v>
          </cell>
          <cell r="C52" t="str">
            <v>November 2002</v>
          </cell>
        </row>
        <row r="53">
          <cell r="A53" t="str">
            <v>COMPANY  /   BRANCH   /   DIVISION</v>
          </cell>
        </row>
        <row r="55">
          <cell r="B55" t="str">
            <v>7739</v>
          </cell>
        </row>
        <row r="56">
          <cell r="A56" t="str">
            <v>IDENTIFICATION NUMBER</v>
          </cell>
        </row>
      </sheetData>
      <sheetData sheetId="2" refreshError="1"/>
      <sheetData sheetId="3" refreshError="1">
        <row r="1">
          <cell r="A1" t="str">
            <v>FORM MI-3 (12/94 REV)</v>
          </cell>
        </row>
        <row r="2">
          <cell r="A2" t="str">
            <v>COMPANY / BRANCH / DIVISION</v>
          </cell>
          <cell r="H2" t="str">
            <v>CURRENT</v>
          </cell>
          <cell r="I2" t="str">
            <v>YTD</v>
          </cell>
        </row>
        <row r="3">
          <cell r="A3" t="str">
            <v>M-I DRILLING FLUIDS VIETNAM J/V COMPANY</v>
          </cell>
          <cell r="B3" t="str">
            <v>STATEMENT OF EARNINGS</v>
          </cell>
          <cell r="C3" t="str">
            <v>TOTAL</v>
          </cell>
          <cell r="E3" t="str">
            <v>AGING ANALYSIS</v>
          </cell>
          <cell r="H3" t="str">
            <v>DRILLING</v>
          </cell>
          <cell r="I3" t="str">
            <v xml:space="preserve">DRILLING </v>
          </cell>
        </row>
        <row r="4">
          <cell r="A4" t="str">
            <v>E</v>
          </cell>
          <cell r="B4" t="str">
            <v>(EXPRESSED IN U. S. $000)</v>
          </cell>
          <cell r="C4" t="str">
            <v>ENTITY</v>
          </cell>
          <cell r="D4" t="str">
            <v>ELIM</v>
          </cell>
          <cell r="E4" t="str">
            <v>MINERALS</v>
          </cell>
          <cell r="F4" t="str">
            <v>EXECUTIVE</v>
          </cell>
          <cell r="G4" t="str">
            <v xml:space="preserve"> </v>
          </cell>
          <cell r="H4" t="str">
            <v>FLUIDS</v>
          </cell>
          <cell r="I4" t="str">
            <v>FLUIDS</v>
          </cell>
        </row>
        <row r="5">
          <cell r="A5" t="str">
            <v>November 2002</v>
          </cell>
          <cell r="E5" t="str">
            <v>(EXPRESSED IN U. S. $000)</v>
          </cell>
          <cell r="H5" t="str">
            <v xml:space="preserve"> </v>
          </cell>
        </row>
        <row r="6">
          <cell r="A6">
            <v>1</v>
          </cell>
          <cell r="B6" t="str">
            <v xml:space="preserve"> NET SALES &amp; SERVICE REVENUE</v>
          </cell>
          <cell r="C6">
            <v>1336.854879999999</v>
          </cell>
          <cell r="D6" t="str">
            <v>CURRENT - (NOT YET DUE)</v>
          </cell>
          <cell r="H6">
            <v>1336.854879999999</v>
          </cell>
          <cell r="I6">
            <v>11388.06335</v>
          </cell>
        </row>
        <row r="7">
          <cell r="A7">
            <v>1</v>
          </cell>
          <cell r="B7" t="str">
            <v xml:space="preserve"> COST OF SALES</v>
          </cell>
          <cell r="C7">
            <v>0</v>
          </cell>
          <cell r="D7" t="str">
            <v>SPECIAL</v>
          </cell>
          <cell r="F7" t="str">
            <v>1 - 30</v>
          </cell>
          <cell r="G7" t="str">
            <v>31 - 90</v>
          </cell>
          <cell r="H7" t="str">
            <v>91 - 180</v>
          </cell>
          <cell r="I7">
            <v>0</v>
          </cell>
        </row>
        <row r="8">
          <cell r="A8">
            <v>2</v>
          </cell>
          <cell r="B8" t="str">
            <v xml:space="preserve">   STANDARD COST OF SALES</v>
          </cell>
          <cell r="C8">
            <v>832.22746000000006</v>
          </cell>
          <cell r="D8" t="str">
            <v>TERMS</v>
          </cell>
          <cell r="E8" t="str">
            <v>TOTAL</v>
          </cell>
          <cell r="F8" t="str">
            <v>DAYS</v>
          </cell>
          <cell r="G8" t="str">
            <v>DAYS</v>
          </cell>
          <cell r="H8">
            <v>832.22746000000006</v>
          </cell>
          <cell r="I8">
            <v>6574.2761100000007</v>
          </cell>
        </row>
        <row r="9">
          <cell r="A9">
            <v>3</v>
          </cell>
          <cell r="B9" t="str">
            <v xml:space="preserve">   OTHER COST OF SALES</v>
          </cell>
          <cell r="C9">
            <v>0.7061999999999955</v>
          </cell>
          <cell r="E9">
            <v>35.352640000000001</v>
          </cell>
          <cell r="F9">
            <v>244.11521999999999</v>
          </cell>
          <cell r="G9">
            <v>12.640700000000001</v>
          </cell>
          <cell r="H9">
            <v>0.7061999999999955</v>
          </cell>
          <cell r="I9">
            <v>98.219679999999997</v>
          </cell>
        </row>
        <row r="10">
          <cell r="A10">
            <v>4</v>
          </cell>
          <cell r="B10" t="str">
            <v xml:space="preserve">   MANUFACTURING COST</v>
          </cell>
          <cell r="C10">
            <v>0</v>
          </cell>
          <cell r="E10">
            <v>455.90532999999999</v>
          </cell>
          <cell r="F10">
            <v>45.56015</v>
          </cell>
          <cell r="H10">
            <v>0</v>
          </cell>
          <cell r="I10">
            <v>0</v>
          </cell>
        </row>
        <row r="11">
          <cell r="A11">
            <v>5</v>
          </cell>
          <cell r="B11" t="str">
            <v xml:space="preserve">   DISTRIBUTION COST/RETAIL COMM.</v>
          </cell>
          <cell r="C11">
            <v>39.698440000000005</v>
          </cell>
          <cell r="E11">
            <v>489.33859000000001</v>
          </cell>
          <cell r="F11">
            <v>-77.175060000000002</v>
          </cell>
          <cell r="H11">
            <v>39.698440000000005</v>
          </cell>
          <cell r="I11">
            <v>429.40224000000006</v>
          </cell>
        </row>
        <row r="12">
          <cell r="A12">
            <v>6</v>
          </cell>
          <cell r="B12" t="str">
            <v xml:space="preserve">   FLUID HANDLING/PROCESSING COST</v>
          </cell>
          <cell r="C12">
            <v>2</v>
          </cell>
          <cell r="E12">
            <v>0</v>
          </cell>
          <cell r="H12">
            <v>2</v>
          </cell>
          <cell r="I12">
            <v>157.93117000000001</v>
          </cell>
        </row>
        <row r="13">
          <cell r="A13">
            <v>7</v>
          </cell>
          <cell r="B13" t="str">
            <v xml:space="preserve">   RESEARCH &amp; DEVELOPMENT COST</v>
          </cell>
          <cell r="C13">
            <v>0</v>
          </cell>
          <cell r="E13">
            <v>132.74379999999999</v>
          </cell>
          <cell r="F13">
            <v>188.65403000000001</v>
          </cell>
          <cell r="G13">
            <v>40.379449999999999</v>
          </cell>
          <cell r="H13">
            <v>0</v>
          </cell>
        </row>
        <row r="14">
          <cell r="A14">
            <v>8</v>
          </cell>
          <cell r="B14" t="str">
            <v xml:space="preserve">   INV. PERIOD COST COMPL. EXP. (INC.)</v>
          </cell>
          <cell r="C14">
            <v>0</v>
          </cell>
          <cell r="E14">
            <v>0</v>
          </cell>
          <cell r="F14">
            <v>-85.175690000000003</v>
          </cell>
          <cell r="G14">
            <v>98.494839999999996</v>
          </cell>
          <cell r="H14">
            <v>0</v>
          </cell>
          <cell r="I14">
            <v>0</v>
          </cell>
        </row>
        <row r="15">
          <cell r="A15">
            <v>9</v>
          </cell>
          <cell r="B15" t="str">
            <v xml:space="preserve">       TOTAL COST OF SALES</v>
          </cell>
          <cell r="C15">
            <v>874.63210000000004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874.63210000000004</v>
          </cell>
          <cell r="I15">
            <v>7259.829200000001</v>
          </cell>
        </row>
        <row r="16">
          <cell r="A16">
            <v>10</v>
          </cell>
          <cell r="B16" t="str">
            <v xml:space="preserve">          GROSS PROFIT</v>
          </cell>
          <cell r="C16">
            <v>462.22277999999892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462.22277999999892</v>
          </cell>
          <cell r="I16">
            <v>4128.2341499999993</v>
          </cell>
        </row>
        <row r="17">
          <cell r="A17">
            <v>10</v>
          </cell>
          <cell r="B17" t="str">
            <v xml:space="preserve"> OPERATING EXPENSE</v>
          </cell>
          <cell r="C17">
            <v>0</v>
          </cell>
          <cell r="E17">
            <v>0</v>
          </cell>
          <cell r="F17">
            <v>2.2357200000000002</v>
          </cell>
          <cell r="I17">
            <v>0</v>
          </cell>
        </row>
        <row r="18">
          <cell r="A18">
            <v>11</v>
          </cell>
          <cell r="B18" t="str">
            <v xml:space="preserve">    SELLING</v>
          </cell>
          <cell r="C18">
            <v>144.1559299999999</v>
          </cell>
          <cell r="E18">
            <v>0</v>
          </cell>
          <cell r="H18">
            <v>144.1559299999999</v>
          </cell>
          <cell r="I18">
            <v>1210.93382</v>
          </cell>
        </row>
        <row r="19">
          <cell r="A19">
            <v>12</v>
          </cell>
          <cell r="B19" t="str">
            <v xml:space="preserve">    GENERAL &amp; ADMINISTRATIVE</v>
          </cell>
          <cell r="C19">
            <v>29.479620000000011</v>
          </cell>
          <cell r="E19">
            <v>0</v>
          </cell>
          <cell r="H19">
            <v>29.479620000000011</v>
          </cell>
          <cell r="I19">
            <v>270.20357000000001</v>
          </cell>
        </row>
        <row r="20">
          <cell r="A20">
            <v>13</v>
          </cell>
          <cell r="B20" t="str">
            <v xml:space="preserve">        TOTAL OPERATING EXPENSE</v>
          </cell>
          <cell r="C20">
            <v>173.63554999999991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173.63554999999991</v>
          </cell>
          <cell r="I20">
            <v>1481.1373899999999</v>
          </cell>
        </row>
        <row r="21">
          <cell r="A21">
            <v>14</v>
          </cell>
          <cell r="B21" t="str">
            <v xml:space="preserve">           OPERATING EARNINGS</v>
          </cell>
          <cell r="C21">
            <v>288.58722999999901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288.58722999999901</v>
          </cell>
          <cell r="I21">
            <v>2647.0967599999994</v>
          </cell>
        </row>
        <row r="22">
          <cell r="A22">
            <v>15</v>
          </cell>
          <cell r="B22" t="str">
            <v xml:space="preserve"> OTHER INCOME  /  (EXPENSE)</v>
          </cell>
          <cell r="C22">
            <v>0</v>
          </cell>
          <cell r="E22">
            <v>0</v>
          </cell>
          <cell r="I22">
            <v>0</v>
          </cell>
        </row>
        <row r="23">
          <cell r="A23">
            <v>15</v>
          </cell>
          <cell r="B23" t="str">
            <v xml:space="preserve">   DIVIDENDS RECEIVED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2464.7200399999997</v>
          </cell>
        </row>
        <row r="24">
          <cell r="A24">
            <v>16</v>
          </cell>
          <cell r="B24" t="str">
            <v xml:space="preserve">   ROYALTIES EARNED</v>
          </cell>
          <cell r="C24">
            <v>0</v>
          </cell>
          <cell r="E24">
            <v>0</v>
          </cell>
          <cell r="H24">
            <v>0</v>
          </cell>
        </row>
        <row r="25">
          <cell r="A25">
            <v>17</v>
          </cell>
          <cell r="B25" t="str">
            <v xml:space="preserve">   GAIN (LOSS) ON SALE OF ASSETS</v>
          </cell>
          <cell r="C25">
            <v>0</v>
          </cell>
          <cell r="E25">
            <v>0</v>
          </cell>
          <cell r="H25">
            <v>0</v>
          </cell>
          <cell r="I25">
            <v>0</v>
          </cell>
        </row>
        <row r="26">
          <cell r="A26">
            <v>18</v>
          </cell>
          <cell r="B26" t="str">
            <v xml:space="preserve">   (UNASSIGNED)</v>
          </cell>
          <cell r="C26">
            <v>0</v>
          </cell>
          <cell r="E26">
            <v>59.535580000000003</v>
          </cell>
          <cell r="H26">
            <v>0</v>
          </cell>
          <cell r="I26">
            <v>0</v>
          </cell>
        </row>
        <row r="27">
          <cell r="A27">
            <v>19</v>
          </cell>
          <cell r="B27" t="str">
            <v xml:space="preserve">   EQUITY EARNINGS (LOSS)</v>
          </cell>
          <cell r="C27">
            <v>0</v>
          </cell>
          <cell r="E27">
            <v>0</v>
          </cell>
          <cell r="H27">
            <v>0</v>
          </cell>
          <cell r="I27">
            <v>0</v>
          </cell>
        </row>
        <row r="28">
          <cell r="A28">
            <v>20</v>
          </cell>
          <cell r="B28" t="str">
            <v xml:space="preserve">   FOREIGN EXCH. CONVERSION (LOSS)</v>
          </cell>
          <cell r="C28">
            <v>3.0055499999999995</v>
          </cell>
          <cell r="E28">
            <v>0</v>
          </cell>
          <cell r="H28">
            <v>3.0055499999999995</v>
          </cell>
          <cell r="I28">
            <v>12.660639999999999</v>
          </cell>
        </row>
        <row r="29">
          <cell r="A29">
            <v>21</v>
          </cell>
          <cell r="B29" t="str">
            <v xml:space="preserve">   TRANSLATION RATE CHANGE (LOSS)</v>
          </cell>
          <cell r="C29">
            <v>0</v>
          </cell>
          <cell r="E29">
            <v>25.724599999999999</v>
          </cell>
          <cell r="H29">
            <v>0</v>
          </cell>
          <cell r="I29">
            <v>0</v>
          </cell>
        </row>
        <row r="30">
          <cell r="A30">
            <v>22</v>
          </cell>
          <cell r="B30" t="str">
            <v xml:space="preserve">   OTHER INCOME (EXPENSE)</v>
          </cell>
          <cell r="C30">
            <v>1.9569299999999927</v>
          </cell>
          <cell r="E30">
            <v>0</v>
          </cell>
          <cell r="H30">
            <v>1.9569299999999927</v>
          </cell>
          <cell r="I30">
            <v>49.443929999999995</v>
          </cell>
        </row>
        <row r="31">
          <cell r="A31">
            <v>23</v>
          </cell>
          <cell r="B31" t="str">
            <v xml:space="preserve">       TOTAL OTHER INCOME (EXPENSE)</v>
          </cell>
          <cell r="C31">
            <v>4.9624799999999922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4.9624799999999922</v>
          </cell>
          <cell r="I31">
            <v>62.104569999999995</v>
          </cell>
        </row>
        <row r="32">
          <cell r="A32">
            <v>24</v>
          </cell>
          <cell r="B32" t="str">
            <v xml:space="preserve">   EARNINGS BEF. INTEREST &amp; TAXES</v>
          </cell>
          <cell r="C32">
            <v>293.54970999999898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293.54970999999898</v>
          </cell>
          <cell r="I32">
            <v>2709.2013299999994</v>
          </cell>
        </row>
        <row r="33">
          <cell r="A33">
            <v>25</v>
          </cell>
          <cell r="B33" t="str">
            <v xml:space="preserve"> INTEREST INCOME</v>
          </cell>
          <cell r="C33">
            <v>2.4776600000000002</v>
          </cell>
          <cell r="E33">
            <v>0</v>
          </cell>
          <cell r="H33">
            <v>2.4776600000000002</v>
          </cell>
          <cell r="I33">
            <v>11.67421</v>
          </cell>
        </row>
        <row r="34">
          <cell r="A34">
            <v>26</v>
          </cell>
          <cell r="B34" t="str">
            <v xml:space="preserve"> INTEREST EXPENSE</v>
          </cell>
          <cell r="C34">
            <v>0</v>
          </cell>
          <cell r="E34">
            <v>0</v>
          </cell>
          <cell r="H34">
            <v>0</v>
          </cell>
          <cell r="I34">
            <v>0</v>
          </cell>
        </row>
        <row r="35">
          <cell r="B35" t="str">
            <v xml:space="preserve"> PROVISION FOR TAXES ON INCOME</v>
          </cell>
          <cell r="E35">
            <v>0</v>
          </cell>
          <cell r="H35">
            <v>0</v>
          </cell>
        </row>
        <row r="36">
          <cell r="A36">
            <v>27</v>
          </cell>
          <cell r="B36" t="str">
            <v xml:space="preserve">   U.S. TAXES - CURRENT</v>
          </cell>
          <cell r="C36">
            <v>0</v>
          </cell>
          <cell r="E36">
            <v>0</v>
          </cell>
          <cell r="H36">
            <v>0</v>
          </cell>
          <cell r="I36">
            <v>0</v>
          </cell>
        </row>
        <row r="37">
          <cell r="A37">
            <v>28</v>
          </cell>
          <cell r="B37" t="str">
            <v xml:space="preserve">   STATE TAXES - CURRENT</v>
          </cell>
          <cell r="C37">
            <v>0</v>
          </cell>
          <cell r="E37">
            <v>0</v>
          </cell>
          <cell r="H37">
            <v>0</v>
          </cell>
          <cell r="I37">
            <v>939.10599999999999</v>
          </cell>
        </row>
        <row r="38">
          <cell r="A38">
            <v>29</v>
          </cell>
          <cell r="B38" t="str">
            <v xml:space="preserve">   FOREIGN TAXES - CURRENT</v>
          </cell>
          <cell r="C38">
            <v>50</v>
          </cell>
          <cell r="D38">
            <v>0</v>
          </cell>
          <cell r="E38">
            <v>1487.85754</v>
          </cell>
          <cell r="F38">
            <v>472.08334000000002</v>
          </cell>
          <cell r="G38">
            <v>65.943520000000007</v>
          </cell>
          <cell r="H38">
            <v>50</v>
          </cell>
          <cell r="I38">
            <v>565</v>
          </cell>
        </row>
        <row r="39">
          <cell r="A39">
            <v>30</v>
          </cell>
          <cell r="B39" t="str">
            <v xml:space="preserve">   U.S. TAXES - DEFERRED</v>
          </cell>
          <cell r="C39">
            <v>0</v>
          </cell>
          <cell r="H39">
            <v>0</v>
          </cell>
          <cell r="I39">
            <v>3805.4450799999977</v>
          </cell>
        </row>
        <row r="40">
          <cell r="A40">
            <v>31</v>
          </cell>
          <cell r="B40" t="str">
            <v xml:space="preserve">   FOREIGN TAXES - DEFERRED</v>
          </cell>
          <cell r="C40">
            <v>0</v>
          </cell>
          <cell r="H40">
            <v>0</v>
          </cell>
          <cell r="I40">
            <v>0</v>
          </cell>
        </row>
        <row r="41">
          <cell r="A41">
            <v>32</v>
          </cell>
          <cell r="B41" t="str">
            <v xml:space="preserve">        TOTAL TAXES</v>
          </cell>
          <cell r="C41">
            <v>50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50</v>
          </cell>
          <cell r="I41">
            <v>565</v>
          </cell>
        </row>
      </sheetData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 refreshError="1"/>
      <sheetData sheetId="13" refreshError="1">
        <row r="18">
          <cell r="Q18">
            <v>4012329.7157999999</v>
          </cell>
        </row>
        <row r="19">
          <cell r="Q19">
            <v>61874.370299999988</v>
          </cell>
        </row>
        <row r="20">
          <cell r="Q20">
            <v>0</v>
          </cell>
        </row>
        <row r="21">
          <cell r="Q21">
            <v>0</v>
          </cell>
        </row>
        <row r="22">
          <cell r="Q22">
            <v>0</v>
          </cell>
        </row>
        <row r="23">
          <cell r="Q23">
            <v>0</v>
          </cell>
        </row>
        <row r="24">
          <cell r="Q24">
            <v>0</v>
          </cell>
        </row>
        <row r="27">
          <cell r="Q27">
            <v>0</v>
          </cell>
        </row>
      </sheetData>
      <sheetData sheetId="14" refreshError="1"/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Publisher Info (for PO)"/>
      <sheetName val="Network Channel Definition"/>
      <sheetName val="Guidelines"/>
      <sheetName val="Description"/>
      <sheetName val="Lists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Autos</v>
          </cell>
        </row>
        <row r="2">
          <cell r="A2" t="str">
            <v>Business</v>
          </cell>
        </row>
        <row r="3">
          <cell r="A3" t="str">
            <v>Community and Networking</v>
          </cell>
        </row>
        <row r="4">
          <cell r="A4" t="str">
            <v>Education</v>
          </cell>
        </row>
        <row r="5">
          <cell r="A5" t="str">
            <v>Gaming</v>
          </cell>
        </row>
        <row r="6">
          <cell r="A6" t="str">
            <v>Lifestyle and Entertainment</v>
          </cell>
        </row>
        <row r="7">
          <cell r="A7" t="str">
            <v>Men</v>
          </cell>
        </row>
        <row r="8">
          <cell r="A8" t="str">
            <v>News and Information</v>
          </cell>
        </row>
        <row r="9">
          <cell r="A9" t="str">
            <v>Real Estate</v>
          </cell>
        </row>
        <row r="10">
          <cell r="A10" t="str">
            <v>Run of Network</v>
          </cell>
        </row>
        <row r="11">
          <cell r="A11" t="str">
            <v>Shopping</v>
          </cell>
        </row>
        <row r="12">
          <cell r="A12" t="str">
            <v>Sports</v>
          </cell>
        </row>
        <row r="13">
          <cell r="A13" t="str">
            <v>Technology</v>
          </cell>
        </row>
        <row r="14">
          <cell r="A14" t="str">
            <v>Travel</v>
          </cell>
        </row>
        <row r="15">
          <cell r="A15" t="str">
            <v>Women</v>
          </cell>
        </row>
        <row r="16">
          <cell r="A16" t="str">
            <v>Youth</v>
          </cell>
        </row>
        <row r="17">
          <cell r="A17" t="str">
            <v>Video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GTGT"/>
      <sheetName val="BANRA"/>
      <sheetName val="MUAVAO"/>
      <sheetName val="MUAVAO3%"/>
      <sheetName val="DATA"/>
      <sheetName val="CDPS"/>
      <sheetName val="KQKD"/>
      <sheetName val="CONGNO"/>
      <sheetName val="THUE"/>
      <sheetName val="hoadon"/>
      <sheetName val="hoadon 1"/>
      <sheetName val="TNDN_uoc"/>
      <sheetName val="TNDN_qt2"/>
      <sheetName val="QT_HD"/>
      <sheetName val="TNDN_qt"/>
      <sheetName val="HD"/>
      <sheetName val="NVL"/>
      <sheetName val="HH"/>
      <sheetName val="CDKT"/>
      <sheetName val="Z"/>
      <sheetName val="phieuchi"/>
      <sheetName val="TT"/>
      <sheetName val="phieuthu"/>
      <sheetName val="TSCD"/>
      <sheetName val="Module1"/>
      <sheetName val="Module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2">
          <cell r="H12" t="str">
            <v>NO</v>
          </cell>
          <cell r="I12" t="str">
            <v>CO</v>
          </cell>
          <cell r="J12" t="str">
            <v xml:space="preserve"> SOTIEN </v>
          </cell>
          <cell r="K12" t="str">
            <v>MANO</v>
          </cell>
          <cell r="L12" t="str">
            <v>MACO</v>
          </cell>
        </row>
        <row r="13">
          <cell r="H13">
            <v>0</v>
          </cell>
          <cell r="I13">
            <v>0</v>
          </cell>
          <cell r="J13" t="str">
            <v xml:space="preserve"> </v>
          </cell>
        </row>
        <row r="14">
          <cell r="H14">
            <v>0</v>
          </cell>
          <cell r="I14">
            <v>0</v>
          </cell>
          <cell r="J14">
            <v>0</v>
          </cell>
          <cell r="L14" t="str">
            <v/>
          </cell>
        </row>
        <row r="15">
          <cell r="H15">
            <v>131</v>
          </cell>
          <cell r="I15">
            <v>511</v>
          </cell>
          <cell r="J15">
            <v>872720</v>
          </cell>
          <cell r="K15" t="str">
            <v>131_XL4</v>
          </cell>
        </row>
        <row r="16">
          <cell r="H16">
            <v>131</v>
          </cell>
          <cell r="I16">
            <v>3331</v>
          </cell>
          <cell r="J16">
            <v>87272</v>
          </cell>
          <cell r="K16" t="str">
            <v>131_XL4</v>
          </cell>
        </row>
        <row r="17">
          <cell r="H17">
            <v>111</v>
          </cell>
          <cell r="I17">
            <v>511</v>
          </cell>
          <cell r="J17">
            <v>500000</v>
          </cell>
          <cell r="K17" t="str">
            <v>a</v>
          </cell>
          <cell r="L17" t="str">
            <v>131_BTL</v>
          </cell>
        </row>
        <row r="18">
          <cell r="H18">
            <v>111</v>
          </cell>
          <cell r="I18">
            <v>3331</v>
          </cell>
          <cell r="J18">
            <v>50000</v>
          </cell>
          <cell r="K18" t="str">
            <v>a</v>
          </cell>
        </row>
        <row r="19">
          <cell r="H19">
            <v>111</v>
          </cell>
          <cell r="I19">
            <v>131</v>
          </cell>
          <cell r="J19">
            <v>87272</v>
          </cell>
          <cell r="L19" t="str">
            <v>131_XL4</v>
          </cell>
        </row>
        <row r="20">
          <cell r="H20">
            <v>111</v>
          </cell>
          <cell r="I20">
            <v>511</v>
          </cell>
          <cell r="J20">
            <v>1727270</v>
          </cell>
          <cell r="K20" t="str">
            <v>a</v>
          </cell>
          <cell r="L20" t="str">
            <v>131_NP</v>
          </cell>
        </row>
        <row r="21">
          <cell r="H21">
            <v>111</v>
          </cell>
          <cell r="I21">
            <v>3331</v>
          </cell>
          <cell r="J21">
            <v>172727</v>
          </cell>
          <cell r="K21" t="str">
            <v>a</v>
          </cell>
        </row>
        <row r="22">
          <cell r="H22">
            <v>131</v>
          </cell>
          <cell r="I22">
            <v>511</v>
          </cell>
          <cell r="J22">
            <v>872720</v>
          </cell>
          <cell r="K22" t="str">
            <v>131_XL4</v>
          </cell>
        </row>
        <row r="23">
          <cell r="H23">
            <v>131</v>
          </cell>
          <cell r="I23">
            <v>3331</v>
          </cell>
          <cell r="J23">
            <v>87272</v>
          </cell>
          <cell r="K23" t="str">
            <v>131_XL4</v>
          </cell>
        </row>
        <row r="24">
          <cell r="H24">
            <v>111</v>
          </cell>
          <cell r="I24">
            <v>131</v>
          </cell>
          <cell r="J24">
            <v>872720</v>
          </cell>
          <cell r="L24" t="str">
            <v>131_XL4</v>
          </cell>
        </row>
        <row r="25">
          <cell r="H25">
            <v>111</v>
          </cell>
          <cell r="I25">
            <v>511</v>
          </cell>
          <cell r="J25">
            <v>500000</v>
          </cell>
          <cell r="K25" t="str">
            <v>a</v>
          </cell>
          <cell r="L25" t="str">
            <v>131_BTL</v>
          </cell>
        </row>
        <row r="26">
          <cell r="H26">
            <v>111</v>
          </cell>
          <cell r="I26">
            <v>3331</v>
          </cell>
          <cell r="J26">
            <v>50000</v>
          </cell>
          <cell r="K26" t="str">
            <v>a</v>
          </cell>
        </row>
        <row r="27">
          <cell r="H27">
            <v>111</v>
          </cell>
          <cell r="I27">
            <v>511</v>
          </cell>
          <cell r="J27">
            <v>1840000</v>
          </cell>
          <cell r="K27" t="str">
            <v>a</v>
          </cell>
          <cell r="L27" t="str">
            <v>131_DNAM</v>
          </cell>
        </row>
        <row r="28">
          <cell r="H28">
            <v>111</v>
          </cell>
          <cell r="I28">
            <v>3331</v>
          </cell>
          <cell r="J28">
            <v>184000</v>
          </cell>
          <cell r="K28" t="str">
            <v>a</v>
          </cell>
        </row>
        <row r="29">
          <cell r="H29">
            <v>111</v>
          </cell>
          <cell r="I29">
            <v>511</v>
          </cell>
          <cell r="J29">
            <v>230000</v>
          </cell>
          <cell r="K29" t="str">
            <v>a</v>
          </cell>
          <cell r="L29" t="str">
            <v>131_BTL</v>
          </cell>
        </row>
        <row r="30">
          <cell r="H30">
            <v>111</v>
          </cell>
          <cell r="I30">
            <v>3331</v>
          </cell>
          <cell r="J30">
            <v>23000</v>
          </cell>
          <cell r="K30" t="str">
            <v>a</v>
          </cell>
        </row>
        <row r="31">
          <cell r="H31">
            <v>111</v>
          </cell>
          <cell r="I31">
            <v>511</v>
          </cell>
          <cell r="J31">
            <v>2249983</v>
          </cell>
          <cell r="K31" t="str">
            <v>a</v>
          </cell>
          <cell r="L31" t="str">
            <v>131_CAM</v>
          </cell>
        </row>
        <row r="32">
          <cell r="H32">
            <v>111</v>
          </cell>
          <cell r="I32">
            <v>3331</v>
          </cell>
          <cell r="J32">
            <v>224998</v>
          </cell>
          <cell r="K32" t="str">
            <v>a</v>
          </cell>
        </row>
        <row r="33">
          <cell r="H33">
            <v>111</v>
          </cell>
          <cell r="I33">
            <v>511</v>
          </cell>
          <cell r="J33">
            <v>1309080</v>
          </cell>
          <cell r="K33" t="str">
            <v>a</v>
          </cell>
        </row>
        <row r="34">
          <cell r="H34">
            <v>111</v>
          </cell>
          <cell r="I34">
            <v>3331</v>
          </cell>
          <cell r="J34">
            <v>130908</v>
          </cell>
          <cell r="K34" t="str">
            <v>a</v>
          </cell>
        </row>
        <row r="35">
          <cell r="H35">
            <v>111</v>
          </cell>
          <cell r="I35">
            <v>511</v>
          </cell>
          <cell r="J35">
            <v>545000</v>
          </cell>
          <cell r="K35" t="str">
            <v>b</v>
          </cell>
          <cell r="L35" t="str">
            <v>131_BTL</v>
          </cell>
        </row>
        <row r="36">
          <cell r="H36">
            <v>111</v>
          </cell>
          <cell r="I36">
            <v>3331</v>
          </cell>
          <cell r="J36">
            <v>54500</v>
          </cell>
          <cell r="K36" t="str">
            <v>b</v>
          </cell>
        </row>
        <row r="37">
          <cell r="H37">
            <v>111</v>
          </cell>
          <cell r="I37">
            <v>511</v>
          </cell>
          <cell r="J37">
            <v>3409085</v>
          </cell>
          <cell r="K37" t="str">
            <v>b</v>
          </cell>
          <cell r="L37" t="str">
            <v>131_TOAN</v>
          </cell>
        </row>
        <row r="38">
          <cell r="H38">
            <v>111</v>
          </cell>
          <cell r="I38">
            <v>3331</v>
          </cell>
          <cell r="J38">
            <v>340909</v>
          </cell>
          <cell r="K38" t="str">
            <v>b</v>
          </cell>
        </row>
        <row r="39">
          <cell r="H39">
            <v>111</v>
          </cell>
          <cell r="I39">
            <v>511</v>
          </cell>
          <cell r="J39">
            <v>49963632</v>
          </cell>
          <cell r="K39" t="str">
            <v>b</v>
          </cell>
          <cell r="L39" t="str">
            <v>131_TOAN</v>
          </cell>
        </row>
        <row r="40">
          <cell r="H40">
            <v>111</v>
          </cell>
          <cell r="I40">
            <v>3331</v>
          </cell>
          <cell r="J40">
            <v>4996363</v>
          </cell>
          <cell r="K40" t="str">
            <v>b</v>
          </cell>
        </row>
        <row r="41">
          <cell r="H41">
            <v>111</v>
          </cell>
          <cell r="I41">
            <v>511</v>
          </cell>
          <cell r="J41">
            <v>6509060</v>
          </cell>
          <cell r="K41" t="str">
            <v>c</v>
          </cell>
          <cell r="L41" t="str">
            <v>131_CKCT2</v>
          </cell>
        </row>
        <row r="42">
          <cell r="H42">
            <v>111</v>
          </cell>
          <cell r="I42">
            <v>3331</v>
          </cell>
          <cell r="J42">
            <v>650906</v>
          </cell>
          <cell r="K42" t="str">
            <v>c</v>
          </cell>
        </row>
        <row r="43">
          <cell r="H43">
            <v>111</v>
          </cell>
          <cell r="I43">
            <v>511</v>
          </cell>
          <cell r="J43">
            <v>1818180</v>
          </cell>
          <cell r="K43" t="str">
            <v>c</v>
          </cell>
          <cell r="L43" t="str">
            <v>131_XDBC</v>
          </cell>
        </row>
        <row r="44">
          <cell r="H44">
            <v>111</v>
          </cell>
          <cell r="I44">
            <v>3331</v>
          </cell>
          <cell r="J44">
            <v>181818</v>
          </cell>
          <cell r="K44" t="str">
            <v>c</v>
          </cell>
        </row>
        <row r="45">
          <cell r="H45">
            <v>111</v>
          </cell>
          <cell r="I45">
            <v>511</v>
          </cell>
          <cell r="J45">
            <v>5563641</v>
          </cell>
          <cell r="K45" t="str">
            <v>c</v>
          </cell>
          <cell r="L45" t="str">
            <v>131_XL6</v>
          </cell>
        </row>
        <row r="46">
          <cell r="H46">
            <v>111</v>
          </cell>
          <cell r="I46">
            <v>3331</v>
          </cell>
          <cell r="J46">
            <v>556364</v>
          </cell>
          <cell r="K46" t="str">
            <v>c</v>
          </cell>
        </row>
        <row r="47">
          <cell r="H47">
            <v>111</v>
          </cell>
          <cell r="I47">
            <v>511</v>
          </cell>
          <cell r="J47">
            <v>1430000</v>
          </cell>
          <cell r="K47" t="str">
            <v>c</v>
          </cell>
          <cell r="L47" t="str">
            <v>131_XL6</v>
          </cell>
        </row>
        <row r="48">
          <cell r="H48">
            <v>111</v>
          </cell>
          <cell r="I48">
            <v>3331</v>
          </cell>
          <cell r="J48">
            <v>143000</v>
          </cell>
          <cell r="K48" t="str">
            <v>c</v>
          </cell>
        </row>
        <row r="49">
          <cell r="H49">
            <v>111</v>
          </cell>
          <cell r="I49">
            <v>511</v>
          </cell>
          <cell r="J49">
            <v>90000</v>
          </cell>
        </row>
        <row r="50">
          <cell r="H50">
            <v>111</v>
          </cell>
          <cell r="I50">
            <v>3331</v>
          </cell>
          <cell r="J50">
            <v>9000</v>
          </cell>
        </row>
        <row r="51">
          <cell r="H51">
            <v>111</v>
          </cell>
          <cell r="I51">
            <v>511</v>
          </cell>
          <cell r="J51">
            <v>96415500</v>
          </cell>
          <cell r="K51" t="str">
            <v>c</v>
          </cell>
          <cell r="L51" t="str">
            <v>131_XL6</v>
          </cell>
        </row>
        <row r="52">
          <cell r="H52">
            <v>111</v>
          </cell>
          <cell r="I52">
            <v>3331</v>
          </cell>
          <cell r="J52">
            <v>5074500</v>
          </cell>
          <cell r="K52" t="str">
            <v>c</v>
          </cell>
        </row>
        <row r="53">
          <cell r="H53">
            <v>111</v>
          </cell>
          <cell r="I53">
            <v>511</v>
          </cell>
          <cell r="J53">
            <v>2322729</v>
          </cell>
          <cell r="K53" t="str">
            <v>c</v>
          </cell>
          <cell r="L53" t="str">
            <v>131_XL6</v>
          </cell>
        </row>
        <row r="54">
          <cell r="H54">
            <v>111</v>
          </cell>
          <cell r="I54">
            <v>3331</v>
          </cell>
          <cell r="J54">
            <v>232273</v>
          </cell>
          <cell r="K54" t="str">
            <v>c</v>
          </cell>
        </row>
        <row r="55">
          <cell r="H55">
            <v>111</v>
          </cell>
          <cell r="I55">
            <v>511</v>
          </cell>
          <cell r="J55">
            <v>3254545</v>
          </cell>
          <cell r="K55" t="str">
            <v>c</v>
          </cell>
          <cell r="L55" t="str">
            <v>131_XL6</v>
          </cell>
        </row>
        <row r="56">
          <cell r="H56">
            <v>111</v>
          </cell>
          <cell r="I56">
            <v>3331</v>
          </cell>
          <cell r="J56">
            <v>325454</v>
          </cell>
          <cell r="K56" t="str">
            <v>c</v>
          </cell>
        </row>
        <row r="57">
          <cell r="H57">
            <v>111</v>
          </cell>
          <cell r="I57">
            <v>511</v>
          </cell>
          <cell r="J57">
            <v>2681818</v>
          </cell>
          <cell r="K57" t="str">
            <v>c</v>
          </cell>
          <cell r="L57" t="str">
            <v>131_XL6</v>
          </cell>
        </row>
        <row r="58">
          <cell r="H58">
            <v>111</v>
          </cell>
          <cell r="I58">
            <v>3331</v>
          </cell>
          <cell r="J58">
            <v>268182</v>
          </cell>
          <cell r="K58" t="str">
            <v>c</v>
          </cell>
        </row>
        <row r="59">
          <cell r="H59">
            <v>111</v>
          </cell>
          <cell r="I59">
            <v>511</v>
          </cell>
          <cell r="J59">
            <v>1232722</v>
          </cell>
          <cell r="K59" t="str">
            <v>c</v>
          </cell>
        </row>
        <row r="60">
          <cell r="H60">
            <v>111</v>
          </cell>
          <cell r="I60">
            <v>3331</v>
          </cell>
          <cell r="J60">
            <v>123272</v>
          </cell>
          <cell r="K60" t="str">
            <v>c</v>
          </cell>
          <cell r="L60" t="str">
            <v>131_TNDIEN</v>
          </cell>
        </row>
        <row r="61">
          <cell r="H61">
            <v>111</v>
          </cell>
          <cell r="I61">
            <v>511</v>
          </cell>
          <cell r="J61">
            <v>1186364</v>
          </cell>
          <cell r="K61" t="str">
            <v>c</v>
          </cell>
        </row>
        <row r="62">
          <cell r="H62">
            <v>111</v>
          </cell>
          <cell r="I62">
            <v>3331</v>
          </cell>
          <cell r="J62">
            <v>118636</v>
          </cell>
          <cell r="K62" t="str">
            <v>c</v>
          </cell>
          <cell r="L62" t="str">
            <v>131_TNDIEN</v>
          </cell>
        </row>
        <row r="63">
          <cell r="H63">
            <v>111</v>
          </cell>
          <cell r="I63">
            <v>511</v>
          </cell>
          <cell r="J63">
            <v>1818180</v>
          </cell>
          <cell r="K63" t="str">
            <v>c</v>
          </cell>
        </row>
        <row r="64">
          <cell r="H64">
            <v>111</v>
          </cell>
          <cell r="I64">
            <v>3331</v>
          </cell>
          <cell r="J64">
            <v>181818</v>
          </cell>
          <cell r="K64" t="str">
            <v>c</v>
          </cell>
          <cell r="L64" t="str">
            <v>131_TNDIEN</v>
          </cell>
        </row>
        <row r="65">
          <cell r="H65">
            <v>111</v>
          </cell>
          <cell r="I65">
            <v>511</v>
          </cell>
          <cell r="J65">
            <v>1818182</v>
          </cell>
          <cell r="K65" t="str">
            <v>c</v>
          </cell>
        </row>
        <row r="66">
          <cell r="H66">
            <v>111</v>
          </cell>
          <cell r="I66">
            <v>3331</v>
          </cell>
          <cell r="J66">
            <v>181818</v>
          </cell>
          <cell r="K66" t="str">
            <v>c</v>
          </cell>
          <cell r="L66" t="str">
            <v>131_TNDIEN</v>
          </cell>
        </row>
        <row r="67">
          <cell r="H67">
            <v>111</v>
          </cell>
          <cell r="I67">
            <v>511</v>
          </cell>
          <cell r="J67">
            <v>1990717</v>
          </cell>
          <cell r="K67" t="str">
            <v>c</v>
          </cell>
        </row>
        <row r="68">
          <cell r="H68">
            <v>111</v>
          </cell>
          <cell r="I68">
            <v>3331</v>
          </cell>
          <cell r="J68">
            <v>99538</v>
          </cell>
          <cell r="K68" t="str">
            <v>c</v>
          </cell>
          <cell r="L68" t="str">
            <v>131_TNDIEN</v>
          </cell>
        </row>
        <row r="69">
          <cell r="H69">
            <v>131</v>
          </cell>
          <cell r="I69">
            <v>511</v>
          </cell>
          <cell r="J69">
            <v>192773486</v>
          </cell>
          <cell r="K69">
            <v>202758150</v>
          </cell>
        </row>
        <row r="70">
          <cell r="H70">
            <v>131</v>
          </cell>
          <cell r="I70">
            <v>3331</v>
          </cell>
          <cell r="J70">
            <v>9984664</v>
          </cell>
          <cell r="K70" t="str">
            <v>c</v>
          </cell>
          <cell r="L70" t="str">
            <v>131_TNDIEN</v>
          </cell>
        </row>
        <row r="71">
          <cell r="H71">
            <v>111</v>
          </cell>
          <cell r="I71">
            <v>511</v>
          </cell>
          <cell r="J71">
            <v>1477273</v>
          </cell>
          <cell r="K71" t="str">
            <v>c</v>
          </cell>
        </row>
        <row r="72">
          <cell r="H72">
            <v>111</v>
          </cell>
          <cell r="I72">
            <v>3331</v>
          </cell>
          <cell r="J72">
            <v>147727</v>
          </cell>
          <cell r="K72" t="str">
            <v>c</v>
          </cell>
          <cell r="L72" t="str">
            <v>131_TNDIEN</v>
          </cell>
        </row>
        <row r="73">
          <cell r="H73">
            <v>131</v>
          </cell>
          <cell r="I73">
            <v>511</v>
          </cell>
          <cell r="J73">
            <v>222857000</v>
          </cell>
          <cell r="K73">
            <v>234000000</v>
          </cell>
        </row>
        <row r="74">
          <cell r="H74">
            <v>131</v>
          </cell>
          <cell r="I74">
            <v>3331</v>
          </cell>
          <cell r="J74">
            <v>11143000</v>
          </cell>
          <cell r="K74">
            <v>436758150</v>
          </cell>
        </row>
        <row r="75">
          <cell r="H75">
            <v>111</v>
          </cell>
          <cell r="I75">
            <v>511</v>
          </cell>
          <cell r="J75">
            <v>2445455</v>
          </cell>
          <cell r="K75" t="str">
            <v>0</v>
          </cell>
          <cell r="L75">
            <v>1</v>
          </cell>
        </row>
        <row r="76">
          <cell r="H76">
            <v>111</v>
          </cell>
          <cell r="I76">
            <v>3331</v>
          </cell>
          <cell r="J76">
            <v>244545</v>
          </cell>
        </row>
        <row r="77">
          <cell r="H77">
            <v>111</v>
          </cell>
          <cell r="I77">
            <v>511</v>
          </cell>
          <cell r="J77">
            <v>300000</v>
          </cell>
          <cell r="K77">
            <v>0</v>
          </cell>
          <cell r="L77" t="str">
            <v>1</v>
          </cell>
        </row>
        <row r="78">
          <cell r="H78">
            <v>111</v>
          </cell>
          <cell r="I78">
            <v>3331</v>
          </cell>
          <cell r="J78">
            <v>30000</v>
          </cell>
        </row>
        <row r="79">
          <cell r="H79">
            <v>111</v>
          </cell>
          <cell r="I79">
            <v>511</v>
          </cell>
          <cell r="J79">
            <v>1727273</v>
          </cell>
          <cell r="K79">
            <v>0</v>
          </cell>
          <cell r="L79">
            <v>0</v>
          </cell>
        </row>
        <row r="80">
          <cell r="H80">
            <v>111</v>
          </cell>
          <cell r="I80">
            <v>3331</v>
          </cell>
          <cell r="J80">
            <v>172727</v>
          </cell>
        </row>
        <row r="81">
          <cell r="H81">
            <v>111</v>
          </cell>
          <cell r="I81">
            <v>511</v>
          </cell>
          <cell r="J81">
            <v>2590900</v>
          </cell>
          <cell r="K81">
            <v>0</v>
          </cell>
          <cell r="L81">
            <v>0</v>
          </cell>
        </row>
        <row r="82">
          <cell r="H82">
            <v>111</v>
          </cell>
          <cell r="I82">
            <v>3331</v>
          </cell>
          <cell r="J82">
            <v>259100</v>
          </cell>
        </row>
        <row r="83">
          <cell r="H83">
            <v>111</v>
          </cell>
          <cell r="I83">
            <v>511</v>
          </cell>
          <cell r="J83">
            <v>4481834</v>
          </cell>
          <cell r="K83">
            <v>0</v>
          </cell>
          <cell r="L83" t="str">
            <v>1</v>
          </cell>
        </row>
        <row r="84">
          <cell r="H84">
            <v>111</v>
          </cell>
          <cell r="I84">
            <v>3331</v>
          </cell>
          <cell r="J84">
            <v>448183</v>
          </cell>
        </row>
        <row r="85">
          <cell r="H85">
            <v>111</v>
          </cell>
          <cell r="I85">
            <v>511</v>
          </cell>
          <cell r="J85">
            <v>4590920</v>
          </cell>
          <cell r="K85">
            <v>0</v>
          </cell>
          <cell r="L85">
            <v>0</v>
          </cell>
        </row>
        <row r="86">
          <cell r="H86">
            <v>111</v>
          </cell>
          <cell r="I86">
            <v>3331</v>
          </cell>
          <cell r="J86">
            <v>459092</v>
          </cell>
        </row>
        <row r="87">
          <cell r="H87">
            <v>111</v>
          </cell>
          <cell r="I87">
            <v>511</v>
          </cell>
          <cell r="J87">
            <v>3090880</v>
          </cell>
          <cell r="K87">
            <v>0</v>
          </cell>
          <cell r="L87">
            <v>0</v>
          </cell>
        </row>
        <row r="88">
          <cell r="H88">
            <v>111</v>
          </cell>
          <cell r="I88">
            <v>3331</v>
          </cell>
          <cell r="J88">
            <v>309088</v>
          </cell>
        </row>
        <row r="89">
          <cell r="H89">
            <v>111</v>
          </cell>
          <cell r="I89">
            <v>511</v>
          </cell>
          <cell r="J89">
            <v>2045445</v>
          </cell>
          <cell r="K89">
            <v>0</v>
          </cell>
          <cell r="L89" t="str">
            <v>1</v>
          </cell>
        </row>
        <row r="90">
          <cell r="H90">
            <v>111</v>
          </cell>
          <cell r="I90">
            <v>3331</v>
          </cell>
          <cell r="J90">
            <v>204544</v>
          </cell>
        </row>
        <row r="91">
          <cell r="H91">
            <v>111</v>
          </cell>
          <cell r="I91">
            <v>511</v>
          </cell>
          <cell r="J91">
            <v>2109088</v>
          </cell>
          <cell r="K91" t="str">
            <v>060</v>
          </cell>
          <cell r="L91" t="str">
            <v>1</v>
          </cell>
        </row>
        <row r="92">
          <cell r="H92">
            <v>111</v>
          </cell>
          <cell r="I92">
            <v>3331</v>
          </cell>
          <cell r="J92">
            <v>210908</v>
          </cell>
        </row>
        <row r="93">
          <cell r="H93">
            <v>111</v>
          </cell>
          <cell r="I93">
            <v>511</v>
          </cell>
          <cell r="J93">
            <v>3318200</v>
          </cell>
          <cell r="K93" t="str">
            <v>242</v>
          </cell>
          <cell r="L93">
            <v>0</v>
          </cell>
        </row>
        <row r="94">
          <cell r="H94">
            <v>111</v>
          </cell>
          <cell r="I94">
            <v>3331</v>
          </cell>
          <cell r="J94">
            <v>331800</v>
          </cell>
        </row>
        <row r="95">
          <cell r="H95">
            <v>111</v>
          </cell>
          <cell r="I95">
            <v>511</v>
          </cell>
          <cell r="J95">
            <v>42300000</v>
          </cell>
          <cell r="K95">
            <v>0</v>
          </cell>
          <cell r="L95" t="str">
            <v>1</v>
          </cell>
        </row>
        <row r="96">
          <cell r="H96">
            <v>111</v>
          </cell>
          <cell r="I96">
            <v>3331</v>
          </cell>
          <cell r="J96">
            <v>2115000</v>
          </cell>
        </row>
        <row r="97">
          <cell r="H97">
            <v>111</v>
          </cell>
          <cell r="I97">
            <v>511</v>
          </cell>
          <cell r="J97">
            <v>4004545</v>
          </cell>
          <cell r="K97">
            <v>0</v>
          </cell>
          <cell r="L97">
            <v>0</v>
          </cell>
        </row>
        <row r="98">
          <cell r="H98">
            <v>111</v>
          </cell>
          <cell r="I98">
            <v>3331</v>
          </cell>
          <cell r="J98">
            <v>400455</v>
          </cell>
        </row>
        <row r="99">
          <cell r="H99">
            <v>111</v>
          </cell>
          <cell r="I99">
            <v>511</v>
          </cell>
          <cell r="J99">
            <v>316364</v>
          </cell>
          <cell r="K99">
            <v>0</v>
          </cell>
          <cell r="L99">
            <v>0</v>
          </cell>
        </row>
        <row r="100">
          <cell r="H100">
            <v>111</v>
          </cell>
          <cell r="I100">
            <v>3331</v>
          </cell>
          <cell r="J100">
            <v>31636</v>
          </cell>
        </row>
        <row r="101">
          <cell r="H101">
            <v>111</v>
          </cell>
          <cell r="I101">
            <v>511</v>
          </cell>
          <cell r="J101">
            <v>490908</v>
          </cell>
          <cell r="K101">
            <v>0</v>
          </cell>
          <cell r="L101">
            <v>0</v>
          </cell>
        </row>
        <row r="102">
          <cell r="H102">
            <v>111</v>
          </cell>
          <cell r="I102">
            <v>3331</v>
          </cell>
          <cell r="J102">
            <v>49091</v>
          </cell>
        </row>
        <row r="103">
          <cell r="H103">
            <v>111</v>
          </cell>
          <cell r="I103">
            <v>511</v>
          </cell>
          <cell r="J103">
            <v>2322726</v>
          </cell>
          <cell r="K103">
            <v>0</v>
          </cell>
          <cell r="L103" t="str">
            <v>1</v>
          </cell>
        </row>
        <row r="104">
          <cell r="H104">
            <v>111</v>
          </cell>
          <cell r="I104">
            <v>3331</v>
          </cell>
          <cell r="J104">
            <v>232273</v>
          </cell>
        </row>
        <row r="105">
          <cell r="H105">
            <v>111</v>
          </cell>
          <cell r="I105">
            <v>511</v>
          </cell>
          <cell r="J105">
            <v>8413659</v>
          </cell>
          <cell r="K105">
            <v>0</v>
          </cell>
          <cell r="L105">
            <v>0</v>
          </cell>
        </row>
        <row r="106">
          <cell r="H106">
            <v>111</v>
          </cell>
          <cell r="I106">
            <v>3331</v>
          </cell>
          <cell r="J106">
            <v>841366</v>
          </cell>
        </row>
        <row r="107">
          <cell r="H107">
            <v>111</v>
          </cell>
          <cell r="I107">
            <v>511</v>
          </cell>
          <cell r="J107">
            <v>2730000</v>
          </cell>
          <cell r="K107" t="str">
            <v>008</v>
          </cell>
          <cell r="L107" t="str">
            <v>1</v>
          </cell>
        </row>
        <row r="108">
          <cell r="H108">
            <v>111</v>
          </cell>
          <cell r="I108">
            <v>3331</v>
          </cell>
          <cell r="J108">
            <v>273000</v>
          </cell>
        </row>
        <row r="109">
          <cell r="H109">
            <v>111</v>
          </cell>
          <cell r="I109">
            <v>511</v>
          </cell>
          <cell r="J109">
            <v>6418182</v>
          </cell>
          <cell r="K109">
            <v>0</v>
          </cell>
          <cell r="L109">
            <v>0</v>
          </cell>
        </row>
        <row r="110">
          <cell r="H110">
            <v>111</v>
          </cell>
          <cell r="I110">
            <v>3331</v>
          </cell>
          <cell r="J110">
            <v>641818</v>
          </cell>
        </row>
        <row r="111">
          <cell r="H111">
            <v>111</v>
          </cell>
          <cell r="I111">
            <v>511</v>
          </cell>
          <cell r="J111">
            <v>910000</v>
          </cell>
          <cell r="K111">
            <v>0</v>
          </cell>
          <cell r="L111">
            <v>0</v>
          </cell>
        </row>
        <row r="112">
          <cell r="H112">
            <v>111</v>
          </cell>
          <cell r="I112">
            <v>3331</v>
          </cell>
          <cell r="J112">
            <v>91000</v>
          </cell>
        </row>
        <row r="113">
          <cell r="H113">
            <v>111</v>
          </cell>
          <cell r="I113">
            <v>511</v>
          </cell>
          <cell r="J113">
            <v>700000</v>
          </cell>
          <cell r="K113" t="str">
            <v xml:space="preserve">  </v>
          </cell>
          <cell r="L113" t="str">
            <v>3</v>
          </cell>
        </row>
        <row r="114">
          <cell r="H114">
            <v>111</v>
          </cell>
          <cell r="I114">
            <v>3331</v>
          </cell>
          <cell r="J114">
            <v>70000</v>
          </cell>
        </row>
        <row r="115">
          <cell r="H115">
            <v>111</v>
          </cell>
          <cell r="I115">
            <v>511</v>
          </cell>
          <cell r="J115">
            <v>5136364</v>
          </cell>
          <cell r="K115">
            <v>0</v>
          </cell>
          <cell r="L115" t="str">
            <v>1</v>
          </cell>
        </row>
        <row r="116">
          <cell r="H116">
            <v>111</v>
          </cell>
          <cell r="I116">
            <v>3331</v>
          </cell>
          <cell r="J116">
            <v>513636</v>
          </cell>
        </row>
        <row r="117">
          <cell r="H117">
            <v>111</v>
          </cell>
          <cell r="I117">
            <v>511</v>
          </cell>
          <cell r="J117">
            <v>1363640</v>
          </cell>
          <cell r="K117">
            <v>0</v>
          </cell>
          <cell r="L117" t="str">
            <v>1</v>
          </cell>
        </row>
        <row r="118">
          <cell r="H118">
            <v>111</v>
          </cell>
          <cell r="I118">
            <v>3331</v>
          </cell>
          <cell r="J118">
            <v>136360</v>
          </cell>
        </row>
        <row r="119">
          <cell r="H119">
            <v>111</v>
          </cell>
          <cell r="I119">
            <v>511</v>
          </cell>
          <cell r="J119">
            <v>2100000</v>
          </cell>
        </row>
        <row r="120">
          <cell r="H120">
            <v>111</v>
          </cell>
          <cell r="I120">
            <v>3331</v>
          </cell>
          <cell r="J120">
            <v>210000</v>
          </cell>
        </row>
        <row r="121">
          <cell r="H121">
            <v>111</v>
          </cell>
          <cell r="I121">
            <v>511</v>
          </cell>
          <cell r="J121">
            <v>12727300</v>
          </cell>
          <cell r="L121">
            <v>1</v>
          </cell>
        </row>
        <row r="122">
          <cell r="H122">
            <v>111</v>
          </cell>
          <cell r="I122">
            <v>3331</v>
          </cell>
          <cell r="J122">
            <v>1272700</v>
          </cell>
        </row>
        <row r="123">
          <cell r="H123">
            <v>111</v>
          </cell>
          <cell r="I123">
            <v>511</v>
          </cell>
          <cell r="J123">
            <v>4636365</v>
          </cell>
          <cell r="L123">
            <v>1</v>
          </cell>
        </row>
        <row r="124">
          <cell r="H124">
            <v>111</v>
          </cell>
          <cell r="I124">
            <v>3331</v>
          </cell>
          <cell r="J124">
            <v>463636</v>
          </cell>
        </row>
        <row r="125">
          <cell r="H125">
            <v>111</v>
          </cell>
          <cell r="I125">
            <v>511</v>
          </cell>
          <cell r="J125">
            <v>2945000</v>
          </cell>
        </row>
        <row r="126">
          <cell r="H126">
            <v>111</v>
          </cell>
          <cell r="I126">
            <v>3331</v>
          </cell>
          <cell r="J126">
            <v>294500</v>
          </cell>
        </row>
        <row r="127">
          <cell r="H127">
            <v>111</v>
          </cell>
          <cell r="I127">
            <v>511</v>
          </cell>
          <cell r="J127">
            <v>3481818</v>
          </cell>
          <cell r="K127" t="str">
            <v>0</v>
          </cell>
          <cell r="L127">
            <v>0</v>
          </cell>
        </row>
        <row r="128">
          <cell r="H128">
            <v>111</v>
          </cell>
          <cell r="I128">
            <v>3331</v>
          </cell>
          <cell r="J128">
            <v>348182</v>
          </cell>
        </row>
        <row r="129">
          <cell r="H129">
            <v>111</v>
          </cell>
          <cell r="I129">
            <v>511</v>
          </cell>
          <cell r="J129">
            <v>1518180</v>
          </cell>
          <cell r="L129">
            <v>1</v>
          </cell>
        </row>
        <row r="130">
          <cell r="H130">
            <v>111</v>
          </cell>
          <cell r="I130">
            <v>3331</v>
          </cell>
          <cell r="J130">
            <v>151818</v>
          </cell>
        </row>
        <row r="131">
          <cell r="H131">
            <v>111</v>
          </cell>
          <cell r="I131">
            <v>511</v>
          </cell>
          <cell r="J131">
            <v>2081817</v>
          </cell>
          <cell r="K131">
            <v>0</v>
          </cell>
          <cell r="L131">
            <v>0</v>
          </cell>
        </row>
        <row r="132">
          <cell r="H132">
            <v>111</v>
          </cell>
          <cell r="I132">
            <v>3331</v>
          </cell>
          <cell r="J132">
            <v>208182</v>
          </cell>
        </row>
        <row r="133">
          <cell r="H133">
            <v>111</v>
          </cell>
          <cell r="I133">
            <v>511</v>
          </cell>
          <cell r="J133">
            <v>2100000</v>
          </cell>
          <cell r="K133">
            <v>0</v>
          </cell>
          <cell r="L133">
            <v>0</v>
          </cell>
        </row>
        <row r="134">
          <cell r="H134">
            <v>111</v>
          </cell>
          <cell r="I134">
            <v>3331</v>
          </cell>
          <cell r="J134">
            <v>210000</v>
          </cell>
        </row>
        <row r="135">
          <cell r="H135">
            <v>111</v>
          </cell>
          <cell r="I135">
            <v>511</v>
          </cell>
          <cell r="J135">
            <v>1500000</v>
          </cell>
          <cell r="K135">
            <v>0</v>
          </cell>
          <cell r="L135" t="str">
            <v>1</v>
          </cell>
        </row>
        <row r="136">
          <cell r="H136">
            <v>111</v>
          </cell>
          <cell r="I136">
            <v>3331</v>
          </cell>
          <cell r="J136">
            <v>150000</v>
          </cell>
        </row>
        <row r="137">
          <cell r="H137">
            <v>111</v>
          </cell>
          <cell r="I137">
            <v>511</v>
          </cell>
          <cell r="J137">
            <v>6374546</v>
          </cell>
          <cell r="K137">
            <v>0</v>
          </cell>
          <cell r="L137" t="str">
            <v>1</v>
          </cell>
        </row>
        <row r="138">
          <cell r="H138">
            <v>111</v>
          </cell>
          <cell r="I138">
            <v>3331</v>
          </cell>
          <cell r="J138">
            <v>637454</v>
          </cell>
        </row>
        <row r="139">
          <cell r="H139">
            <v>111</v>
          </cell>
          <cell r="I139">
            <v>511</v>
          </cell>
          <cell r="J139">
            <v>4609092</v>
          </cell>
          <cell r="K139">
            <v>0</v>
          </cell>
          <cell r="L139">
            <v>0</v>
          </cell>
        </row>
        <row r="140">
          <cell r="H140">
            <v>111</v>
          </cell>
          <cell r="I140">
            <v>3331</v>
          </cell>
          <cell r="J140">
            <v>460909</v>
          </cell>
        </row>
        <row r="141">
          <cell r="H141">
            <v>111</v>
          </cell>
          <cell r="I141">
            <v>511</v>
          </cell>
          <cell r="J141">
            <v>4609092</v>
          </cell>
          <cell r="K141">
            <v>0</v>
          </cell>
          <cell r="L141">
            <v>0</v>
          </cell>
        </row>
        <row r="142">
          <cell r="H142">
            <v>111</v>
          </cell>
          <cell r="I142">
            <v>3331</v>
          </cell>
          <cell r="J142">
            <v>460909</v>
          </cell>
        </row>
        <row r="143">
          <cell r="H143">
            <v>111</v>
          </cell>
          <cell r="I143">
            <v>511</v>
          </cell>
          <cell r="J143">
            <v>2236350</v>
          </cell>
          <cell r="K143">
            <v>0</v>
          </cell>
          <cell r="L143">
            <v>0</v>
          </cell>
        </row>
        <row r="144">
          <cell r="H144">
            <v>111</v>
          </cell>
          <cell r="I144">
            <v>3331</v>
          </cell>
          <cell r="J144">
            <v>223635</v>
          </cell>
        </row>
        <row r="145">
          <cell r="H145">
            <v>111</v>
          </cell>
          <cell r="I145">
            <v>511</v>
          </cell>
          <cell r="J145">
            <v>9500000</v>
          </cell>
          <cell r="K145">
            <v>0</v>
          </cell>
          <cell r="L145" t="str">
            <v>1</v>
          </cell>
        </row>
        <row r="146">
          <cell r="H146">
            <v>111</v>
          </cell>
          <cell r="I146">
            <v>3331</v>
          </cell>
          <cell r="J146">
            <v>950000</v>
          </cell>
        </row>
        <row r="147">
          <cell r="H147">
            <v>111</v>
          </cell>
          <cell r="I147">
            <v>511</v>
          </cell>
          <cell r="J147">
            <v>1035000</v>
          </cell>
          <cell r="K147">
            <v>0</v>
          </cell>
          <cell r="L147" t="str">
            <v>1</v>
          </cell>
        </row>
        <row r="148">
          <cell r="H148">
            <v>111</v>
          </cell>
          <cell r="I148">
            <v>3331</v>
          </cell>
          <cell r="J148">
            <v>103500</v>
          </cell>
        </row>
        <row r="149">
          <cell r="H149">
            <v>111</v>
          </cell>
          <cell r="I149">
            <v>511</v>
          </cell>
          <cell r="J149">
            <v>458178</v>
          </cell>
          <cell r="K149">
            <v>0</v>
          </cell>
          <cell r="L149">
            <v>0</v>
          </cell>
        </row>
        <row r="150">
          <cell r="H150">
            <v>111</v>
          </cell>
          <cell r="I150">
            <v>3331</v>
          </cell>
          <cell r="J150">
            <v>45818</v>
          </cell>
        </row>
        <row r="151">
          <cell r="H151">
            <v>111</v>
          </cell>
          <cell r="I151">
            <v>511</v>
          </cell>
          <cell r="J151">
            <v>3345440</v>
          </cell>
          <cell r="K151">
            <v>0</v>
          </cell>
          <cell r="L151">
            <v>0</v>
          </cell>
        </row>
        <row r="152">
          <cell r="H152">
            <v>111</v>
          </cell>
          <cell r="I152">
            <v>3331</v>
          </cell>
          <cell r="J152">
            <v>334544</v>
          </cell>
        </row>
        <row r="153">
          <cell r="H153">
            <v>111</v>
          </cell>
          <cell r="I153">
            <v>511</v>
          </cell>
          <cell r="J153">
            <v>2781810</v>
          </cell>
          <cell r="K153">
            <v>0</v>
          </cell>
          <cell r="L153">
            <v>0</v>
          </cell>
        </row>
        <row r="154">
          <cell r="H154">
            <v>111</v>
          </cell>
          <cell r="I154">
            <v>3331</v>
          </cell>
          <cell r="J154">
            <v>278181</v>
          </cell>
        </row>
        <row r="155">
          <cell r="H155">
            <v>111</v>
          </cell>
          <cell r="I155">
            <v>511</v>
          </cell>
          <cell r="J155">
            <v>40525714</v>
          </cell>
          <cell r="K155">
            <v>0</v>
          </cell>
          <cell r="L155">
            <v>0</v>
          </cell>
        </row>
        <row r="156">
          <cell r="H156">
            <v>111</v>
          </cell>
          <cell r="I156">
            <v>3331</v>
          </cell>
          <cell r="J156">
            <v>2026286</v>
          </cell>
        </row>
        <row r="157">
          <cell r="H157">
            <v>111</v>
          </cell>
          <cell r="I157">
            <v>511</v>
          </cell>
          <cell r="J157">
            <v>4272300</v>
          </cell>
          <cell r="K157">
            <v>0</v>
          </cell>
          <cell r="L157">
            <v>0</v>
          </cell>
        </row>
        <row r="158">
          <cell r="H158">
            <v>111</v>
          </cell>
          <cell r="I158">
            <v>3331</v>
          </cell>
          <cell r="J158">
            <v>427230</v>
          </cell>
        </row>
        <row r="159">
          <cell r="H159">
            <v>111</v>
          </cell>
          <cell r="I159">
            <v>511</v>
          </cell>
          <cell r="J159">
            <v>1581824</v>
          </cell>
          <cell r="K159">
            <v>0</v>
          </cell>
          <cell r="L159" t="str">
            <v>1</v>
          </cell>
        </row>
        <row r="160">
          <cell r="H160">
            <v>111</v>
          </cell>
          <cell r="I160">
            <v>3331</v>
          </cell>
          <cell r="J160">
            <v>158182</v>
          </cell>
        </row>
        <row r="161">
          <cell r="H161">
            <v>111</v>
          </cell>
          <cell r="I161">
            <v>511</v>
          </cell>
          <cell r="J161">
            <v>790900</v>
          </cell>
          <cell r="K161">
            <v>0</v>
          </cell>
          <cell r="L161" t="str">
            <v>1</v>
          </cell>
        </row>
        <row r="162">
          <cell r="H162">
            <v>111</v>
          </cell>
          <cell r="I162">
            <v>3331</v>
          </cell>
          <cell r="J162">
            <v>79090</v>
          </cell>
        </row>
        <row r="163">
          <cell r="H163">
            <v>111</v>
          </cell>
          <cell r="I163">
            <v>511</v>
          </cell>
          <cell r="J163">
            <v>5481806</v>
          </cell>
          <cell r="K163">
            <v>0</v>
          </cell>
          <cell r="L163">
            <v>0</v>
          </cell>
        </row>
        <row r="164">
          <cell r="H164">
            <v>111</v>
          </cell>
          <cell r="I164">
            <v>3331</v>
          </cell>
          <cell r="J164">
            <v>548181</v>
          </cell>
        </row>
        <row r="165">
          <cell r="H165">
            <v>111</v>
          </cell>
          <cell r="I165">
            <v>511</v>
          </cell>
          <cell r="J165">
            <v>4866379</v>
          </cell>
          <cell r="K165">
            <v>0</v>
          </cell>
          <cell r="L165">
            <v>0</v>
          </cell>
        </row>
        <row r="166">
          <cell r="H166">
            <v>111</v>
          </cell>
          <cell r="I166">
            <v>3331</v>
          </cell>
          <cell r="J166">
            <v>486638</v>
          </cell>
        </row>
        <row r="167">
          <cell r="H167">
            <v>111</v>
          </cell>
          <cell r="I167">
            <v>511</v>
          </cell>
          <cell r="J167">
            <v>2927280</v>
          </cell>
          <cell r="K167">
            <v>0</v>
          </cell>
          <cell r="L167" t="str">
            <v>1</v>
          </cell>
        </row>
        <row r="168">
          <cell r="H168">
            <v>111</v>
          </cell>
          <cell r="I168">
            <v>3331</v>
          </cell>
          <cell r="J168">
            <v>292728</v>
          </cell>
        </row>
        <row r="169">
          <cell r="H169">
            <v>111</v>
          </cell>
          <cell r="I169">
            <v>511</v>
          </cell>
          <cell r="J169">
            <v>4559107</v>
          </cell>
          <cell r="K169">
            <v>0</v>
          </cell>
          <cell r="L169" t="str">
            <v>1</v>
          </cell>
        </row>
        <row r="170">
          <cell r="H170">
            <v>111</v>
          </cell>
          <cell r="I170">
            <v>3331</v>
          </cell>
          <cell r="J170">
            <v>455911</v>
          </cell>
        </row>
        <row r="171">
          <cell r="H171">
            <v>111</v>
          </cell>
          <cell r="I171">
            <v>511</v>
          </cell>
          <cell r="J171">
            <v>672730</v>
          </cell>
          <cell r="K171">
            <v>0</v>
          </cell>
          <cell r="L171" t="str">
            <v>1</v>
          </cell>
        </row>
        <row r="172">
          <cell r="H172">
            <v>111</v>
          </cell>
          <cell r="I172">
            <v>3331</v>
          </cell>
          <cell r="J172">
            <v>67273</v>
          </cell>
        </row>
        <row r="173">
          <cell r="H173">
            <v>111</v>
          </cell>
          <cell r="I173">
            <v>511</v>
          </cell>
          <cell r="J173">
            <v>1490900</v>
          </cell>
          <cell r="K173">
            <v>0</v>
          </cell>
          <cell r="L173">
            <v>0</v>
          </cell>
        </row>
        <row r="174">
          <cell r="H174">
            <v>111</v>
          </cell>
          <cell r="I174">
            <v>3331</v>
          </cell>
          <cell r="J174">
            <v>149090</v>
          </cell>
        </row>
        <row r="175">
          <cell r="H175">
            <v>111</v>
          </cell>
          <cell r="I175">
            <v>511</v>
          </cell>
          <cell r="J175">
            <v>668182</v>
          </cell>
          <cell r="K175">
            <v>0</v>
          </cell>
          <cell r="L175">
            <v>0</v>
          </cell>
        </row>
        <row r="176">
          <cell r="H176">
            <v>111</v>
          </cell>
          <cell r="I176">
            <v>3331</v>
          </cell>
          <cell r="J176">
            <v>66818</v>
          </cell>
        </row>
        <row r="177">
          <cell r="H177">
            <v>111</v>
          </cell>
          <cell r="I177">
            <v>511</v>
          </cell>
          <cell r="J177">
            <v>2795465</v>
          </cell>
          <cell r="K177">
            <v>0</v>
          </cell>
          <cell r="L177">
            <v>0</v>
          </cell>
        </row>
        <row r="178">
          <cell r="H178">
            <v>111</v>
          </cell>
          <cell r="I178">
            <v>3331</v>
          </cell>
          <cell r="J178">
            <v>279547</v>
          </cell>
        </row>
        <row r="179">
          <cell r="H179">
            <v>111</v>
          </cell>
          <cell r="I179">
            <v>511</v>
          </cell>
          <cell r="J179">
            <v>9100000</v>
          </cell>
          <cell r="K179">
            <v>0</v>
          </cell>
          <cell r="L179">
            <v>0</v>
          </cell>
        </row>
        <row r="180">
          <cell r="H180">
            <v>111</v>
          </cell>
          <cell r="I180">
            <v>3331</v>
          </cell>
          <cell r="J180">
            <v>910000</v>
          </cell>
        </row>
        <row r="181">
          <cell r="H181">
            <v>111</v>
          </cell>
          <cell r="I181">
            <v>511</v>
          </cell>
          <cell r="J181">
            <v>5460000</v>
          </cell>
          <cell r="K181">
            <v>0</v>
          </cell>
          <cell r="L181" t="str">
            <v>1</v>
          </cell>
        </row>
        <row r="182">
          <cell r="H182">
            <v>111</v>
          </cell>
          <cell r="I182">
            <v>3331</v>
          </cell>
          <cell r="J182">
            <v>546000</v>
          </cell>
        </row>
        <row r="183">
          <cell r="H183">
            <v>155</v>
          </cell>
          <cell r="I183">
            <v>154</v>
          </cell>
        </row>
        <row r="184">
          <cell r="H184">
            <v>152</v>
          </cell>
          <cell r="I184">
            <v>111</v>
          </cell>
        </row>
        <row r="185">
          <cell r="H185">
            <v>111</v>
          </cell>
          <cell r="I185">
            <v>338</v>
          </cell>
          <cell r="J185">
            <v>525000000</v>
          </cell>
        </row>
        <row r="186">
          <cell r="H186">
            <v>112</v>
          </cell>
          <cell r="I186">
            <v>131</v>
          </cell>
          <cell r="J186">
            <v>436758150</v>
          </cell>
        </row>
        <row r="187">
          <cell r="H187">
            <v>111</v>
          </cell>
          <cell r="I187">
            <v>112</v>
          </cell>
          <cell r="J187">
            <v>21000000</v>
          </cell>
          <cell r="K187" t="str">
            <v>c</v>
          </cell>
        </row>
        <row r="188">
          <cell r="H188">
            <v>111</v>
          </cell>
          <cell r="I188">
            <v>112</v>
          </cell>
          <cell r="J188">
            <v>40000000</v>
          </cell>
          <cell r="K188" t="str">
            <v>c</v>
          </cell>
        </row>
        <row r="189">
          <cell r="H189">
            <v>622</v>
          </cell>
          <cell r="I189">
            <v>111</v>
          </cell>
          <cell r="J189">
            <v>4820775</v>
          </cell>
        </row>
        <row r="190">
          <cell r="H190">
            <v>622</v>
          </cell>
          <cell r="I190">
            <v>111</v>
          </cell>
          <cell r="J190">
            <v>9738210</v>
          </cell>
        </row>
        <row r="191">
          <cell r="H191">
            <v>622</v>
          </cell>
          <cell r="I191">
            <v>111</v>
          </cell>
          <cell r="J191">
            <v>11142850</v>
          </cell>
        </row>
        <row r="192">
          <cell r="H192">
            <v>622</v>
          </cell>
          <cell r="I192">
            <v>111</v>
          </cell>
          <cell r="J192">
            <v>2026286</v>
          </cell>
        </row>
        <row r="193">
          <cell r="H193">
            <v>154</v>
          </cell>
          <cell r="I193">
            <v>622</v>
          </cell>
          <cell r="J193">
            <v>27728121</v>
          </cell>
        </row>
        <row r="194">
          <cell r="H194">
            <v>632</v>
          </cell>
          <cell r="I194">
            <v>154</v>
          </cell>
          <cell r="J194">
            <v>27728121</v>
          </cell>
        </row>
        <row r="195">
          <cell r="H195">
            <v>111</v>
          </cell>
          <cell r="I195">
            <v>112</v>
          </cell>
          <cell r="J195">
            <v>3000000</v>
          </cell>
          <cell r="K195" t="str">
            <v>e</v>
          </cell>
        </row>
        <row r="196">
          <cell r="H196">
            <v>111</v>
          </cell>
          <cell r="I196">
            <v>112</v>
          </cell>
          <cell r="J196">
            <v>1000000</v>
          </cell>
          <cell r="K196" t="str">
            <v>f</v>
          </cell>
        </row>
        <row r="197">
          <cell r="H197">
            <v>111</v>
          </cell>
          <cell r="I197">
            <v>112</v>
          </cell>
          <cell r="J197">
            <v>85000000</v>
          </cell>
          <cell r="K197" t="str">
            <v>f</v>
          </cell>
        </row>
        <row r="198">
          <cell r="H198">
            <v>111</v>
          </cell>
          <cell r="I198">
            <v>112</v>
          </cell>
          <cell r="J198">
            <v>35000000</v>
          </cell>
          <cell r="K198" t="str">
            <v>f</v>
          </cell>
        </row>
        <row r="199">
          <cell r="H199">
            <v>111</v>
          </cell>
          <cell r="I199">
            <v>112</v>
          </cell>
          <cell r="J199">
            <v>3500000</v>
          </cell>
          <cell r="K199" t="str">
            <v>g</v>
          </cell>
        </row>
        <row r="200">
          <cell r="H200">
            <v>111</v>
          </cell>
          <cell r="I200">
            <v>112</v>
          </cell>
          <cell r="J200">
            <v>60000000</v>
          </cell>
          <cell r="K200" t="str">
            <v>g</v>
          </cell>
        </row>
        <row r="201">
          <cell r="H201">
            <v>111</v>
          </cell>
          <cell r="I201">
            <v>112</v>
          </cell>
          <cell r="J201">
            <v>100000000</v>
          </cell>
          <cell r="K201" t="str">
            <v>h</v>
          </cell>
        </row>
        <row r="202">
          <cell r="H202">
            <v>111</v>
          </cell>
          <cell r="I202">
            <v>112</v>
          </cell>
          <cell r="J202">
            <v>16000000</v>
          </cell>
          <cell r="K202" t="str">
            <v>h</v>
          </cell>
        </row>
        <row r="203">
          <cell r="H203">
            <v>111</v>
          </cell>
          <cell r="I203">
            <v>112</v>
          </cell>
          <cell r="J203">
            <v>20000000</v>
          </cell>
        </row>
        <row r="204">
          <cell r="H204">
            <v>111</v>
          </cell>
          <cell r="I204">
            <v>112</v>
          </cell>
          <cell r="J204">
            <v>10000000</v>
          </cell>
        </row>
        <row r="205">
          <cell r="H205">
            <v>112</v>
          </cell>
          <cell r="I205">
            <v>711</v>
          </cell>
          <cell r="J205">
            <v>200</v>
          </cell>
        </row>
        <row r="206">
          <cell r="H206">
            <v>112</v>
          </cell>
          <cell r="I206">
            <v>711</v>
          </cell>
          <cell r="J206">
            <v>26318</v>
          </cell>
        </row>
        <row r="207">
          <cell r="H207">
            <v>112</v>
          </cell>
          <cell r="I207">
            <v>711</v>
          </cell>
          <cell r="J207">
            <v>91237</v>
          </cell>
        </row>
        <row r="208">
          <cell r="H208">
            <v>112</v>
          </cell>
          <cell r="I208">
            <v>711</v>
          </cell>
          <cell r="J208">
            <v>115022</v>
          </cell>
        </row>
        <row r="209">
          <cell r="H209">
            <v>112</v>
          </cell>
          <cell r="I209">
            <v>711</v>
          </cell>
          <cell r="J209">
            <v>119607</v>
          </cell>
        </row>
        <row r="210">
          <cell r="H210">
            <v>642</v>
          </cell>
          <cell r="I210">
            <v>111</v>
          </cell>
          <cell r="J210">
            <v>2750000</v>
          </cell>
          <cell r="K210" t="str">
            <v>a</v>
          </cell>
        </row>
        <row r="211">
          <cell r="H211">
            <v>152</v>
          </cell>
          <cell r="I211">
            <v>111</v>
          </cell>
          <cell r="J211">
            <v>88928541</v>
          </cell>
          <cell r="K211" t="str">
            <v>a</v>
          </cell>
        </row>
        <row r="212">
          <cell r="H212">
            <v>133</v>
          </cell>
          <cell r="I212">
            <v>111</v>
          </cell>
          <cell r="J212">
            <v>6293673</v>
          </cell>
          <cell r="K212" t="str">
            <v>a</v>
          </cell>
        </row>
        <row r="213">
          <cell r="H213">
            <v>621</v>
          </cell>
          <cell r="I213">
            <v>152</v>
          </cell>
          <cell r="J213">
            <v>88928541</v>
          </cell>
          <cell r="K213" t="str">
            <v>a</v>
          </cell>
        </row>
        <row r="214">
          <cell r="H214">
            <v>622</v>
          </cell>
          <cell r="I214">
            <v>111</v>
          </cell>
          <cell r="J214">
            <v>2400000</v>
          </cell>
        </row>
        <row r="215">
          <cell r="H215">
            <v>154</v>
          </cell>
          <cell r="I215">
            <v>622</v>
          </cell>
          <cell r="J215">
            <v>2400000</v>
          </cell>
          <cell r="K215" t="str">
            <v>a</v>
          </cell>
        </row>
        <row r="216">
          <cell r="H216">
            <v>154</v>
          </cell>
          <cell r="I216">
            <v>621</v>
          </cell>
          <cell r="J216">
            <v>88928541</v>
          </cell>
          <cell r="K216" t="str">
            <v>a</v>
          </cell>
        </row>
        <row r="217">
          <cell r="H217">
            <v>155</v>
          </cell>
          <cell r="I217">
            <v>154</v>
          </cell>
          <cell r="J217">
            <v>91328541</v>
          </cell>
          <cell r="K217" t="str">
            <v>a</v>
          </cell>
        </row>
        <row r="218">
          <cell r="H218">
            <v>632</v>
          </cell>
          <cell r="I218">
            <v>155</v>
          </cell>
          <cell r="J218">
            <v>91328541</v>
          </cell>
          <cell r="K218" t="str">
            <v>a</v>
          </cell>
        </row>
        <row r="219">
          <cell r="H219">
            <v>152</v>
          </cell>
          <cell r="I219">
            <v>111</v>
          </cell>
          <cell r="J219">
            <v>8754545</v>
          </cell>
          <cell r="K219" t="str">
            <v>a</v>
          </cell>
        </row>
        <row r="220">
          <cell r="H220">
            <v>133</v>
          </cell>
          <cell r="I220">
            <v>111</v>
          </cell>
          <cell r="J220">
            <v>635455</v>
          </cell>
          <cell r="K220" t="str">
            <v>a</v>
          </cell>
        </row>
        <row r="221">
          <cell r="H221">
            <v>621</v>
          </cell>
          <cell r="I221">
            <v>152</v>
          </cell>
          <cell r="J221">
            <v>8754545</v>
          </cell>
          <cell r="K221" t="str">
            <v>a</v>
          </cell>
        </row>
        <row r="222">
          <cell r="H222">
            <v>622</v>
          </cell>
          <cell r="I222">
            <v>111</v>
          </cell>
          <cell r="J222">
            <v>2400000</v>
          </cell>
        </row>
        <row r="223">
          <cell r="H223">
            <v>154</v>
          </cell>
          <cell r="I223">
            <v>622</v>
          </cell>
          <cell r="J223">
            <v>2400000</v>
          </cell>
          <cell r="K223" t="str">
            <v>a</v>
          </cell>
        </row>
        <row r="224">
          <cell r="H224">
            <v>154</v>
          </cell>
          <cell r="I224">
            <v>621</v>
          </cell>
          <cell r="J224">
            <v>8754545</v>
          </cell>
          <cell r="K224" t="str">
            <v>a</v>
          </cell>
        </row>
        <row r="225">
          <cell r="H225">
            <v>155</v>
          </cell>
          <cell r="I225">
            <v>154</v>
          </cell>
          <cell r="J225">
            <v>11154545</v>
          </cell>
          <cell r="K225" t="str">
            <v>a</v>
          </cell>
        </row>
        <row r="226">
          <cell r="H226">
            <v>632</v>
          </cell>
          <cell r="I226">
            <v>155</v>
          </cell>
          <cell r="J226">
            <v>11154545</v>
          </cell>
          <cell r="K226" t="str">
            <v>a</v>
          </cell>
        </row>
        <row r="227">
          <cell r="H227">
            <v>152</v>
          </cell>
          <cell r="I227">
            <v>111</v>
          </cell>
          <cell r="J227">
            <v>49918182</v>
          </cell>
          <cell r="K227" t="str">
            <v>a</v>
          </cell>
        </row>
        <row r="228">
          <cell r="H228">
            <v>133</v>
          </cell>
          <cell r="I228">
            <v>111</v>
          </cell>
          <cell r="J228">
            <v>4991818</v>
          </cell>
          <cell r="K228" t="str">
            <v>a</v>
          </cell>
        </row>
        <row r="229">
          <cell r="H229">
            <v>621</v>
          </cell>
          <cell r="I229">
            <v>152</v>
          </cell>
          <cell r="J229">
            <v>49918182</v>
          </cell>
          <cell r="K229" t="str">
            <v>a</v>
          </cell>
        </row>
        <row r="230">
          <cell r="H230">
            <v>622</v>
          </cell>
          <cell r="I230">
            <v>111</v>
          </cell>
          <cell r="J230">
            <v>2400000</v>
          </cell>
        </row>
        <row r="231">
          <cell r="H231">
            <v>154</v>
          </cell>
          <cell r="I231">
            <v>622</v>
          </cell>
          <cell r="J231">
            <v>2400000</v>
          </cell>
          <cell r="K231" t="str">
            <v>a</v>
          </cell>
        </row>
        <row r="232">
          <cell r="H232">
            <v>154</v>
          </cell>
          <cell r="I232">
            <v>621</v>
          </cell>
          <cell r="J232">
            <v>49918182</v>
          </cell>
          <cell r="K232" t="str">
            <v>a</v>
          </cell>
        </row>
        <row r="233">
          <cell r="H233">
            <v>155</v>
          </cell>
          <cell r="I233">
            <v>154</v>
          </cell>
          <cell r="J233">
            <v>52318182</v>
          </cell>
          <cell r="K233" t="str">
            <v>a</v>
          </cell>
        </row>
        <row r="234">
          <cell r="H234">
            <v>632</v>
          </cell>
          <cell r="I234">
            <v>155</v>
          </cell>
          <cell r="J234">
            <v>52318182</v>
          </cell>
          <cell r="K234" t="str">
            <v>a</v>
          </cell>
        </row>
        <row r="235">
          <cell r="H235">
            <v>152</v>
          </cell>
          <cell r="I235">
            <v>111</v>
          </cell>
          <cell r="J235">
            <v>12936364</v>
          </cell>
          <cell r="K235" t="str">
            <v>a</v>
          </cell>
        </row>
        <row r="236">
          <cell r="H236">
            <v>133</v>
          </cell>
          <cell r="I236">
            <v>111</v>
          </cell>
          <cell r="J236">
            <v>1293636</v>
          </cell>
          <cell r="K236" t="str">
            <v>a</v>
          </cell>
        </row>
        <row r="237">
          <cell r="H237">
            <v>621</v>
          </cell>
          <cell r="I237">
            <v>152</v>
          </cell>
          <cell r="J237">
            <v>12936364</v>
          </cell>
          <cell r="K237" t="str">
            <v>a</v>
          </cell>
        </row>
        <row r="238">
          <cell r="H238">
            <v>622</v>
          </cell>
          <cell r="I238">
            <v>111</v>
          </cell>
          <cell r="J238">
            <v>2400000</v>
          </cell>
        </row>
        <row r="239">
          <cell r="H239">
            <v>154</v>
          </cell>
          <cell r="I239">
            <v>622</v>
          </cell>
          <cell r="J239">
            <v>2400000</v>
          </cell>
          <cell r="K239" t="str">
            <v>a</v>
          </cell>
        </row>
        <row r="240">
          <cell r="H240">
            <v>154</v>
          </cell>
          <cell r="I240">
            <v>621</v>
          </cell>
          <cell r="J240">
            <v>12936364</v>
          </cell>
          <cell r="K240" t="str">
            <v>a</v>
          </cell>
        </row>
        <row r="241">
          <cell r="H241">
            <v>155</v>
          </cell>
          <cell r="I241">
            <v>154</v>
          </cell>
          <cell r="J241">
            <v>15336364</v>
          </cell>
          <cell r="K241" t="str">
            <v>a</v>
          </cell>
        </row>
        <row r="242">
          <cell r="H242">
            <v>632</v>
          </cell>
          <cell r="I242">
            <v>155</v>
          </cell>
          <cell r="J242">
            <v>15336364</v>
          </cell>
          <cell r="K242" t="str">
            <v>a</v>
          </cell>
        </row>
        <row r="243">
          <cell r="H243">
            <v>152</v>
          </cell>
          <cell r="I243">
            <v>111</v>
          </cell>
          <cell r="J243">
            <v>10954545</v>
          </cell>
          <cell r="K243" t="str">
            <v>a</v>
          </cell>
        </row>
        <row r="244">
          <cell r="H244">
            <v>133</v>
          </cell>
          <cell r="I244">
            <v>111</v>
          </cell>
          <cell r="J244">
            <v>1095455</v>
          </cell>
          <cell r="K244" t="str">
            <v>a</v>
          </cell>
        </row>
        <row r="245">
          <cell r="H245">
            <v>621</v>
          </cell>
          <cell r="I245">
            <v>152</v>
          </cell>
          <cell r="J245">
            <v>10954545</v>
          </cell>
          <cell r="K245" t="str">
            <v>a</v>
          </cell>
        </row>
        <row r="246">
          <cell r="H246">
            <v>622</v>
          </cell>
          <cell r="I246">
            <v>111</v>
          </cell>
          <cell r="J246">
            <v>2400000</v>
          </cell>
        </row>
        <row r="247">
          <cell r="H247">
            <v>154</v>
          </cell>
          <cell r="I247">
            <v>622</v>
          </cell>
          <cell r="J247">
            <v>2400000</v>
          </cell>
          <cell r="K247" t="str">
            <v>a</v>
          </cell>
        </row>
        <row r="248">
          <cell r="H248">
            <v>154</v>
          </cell>
          <cell r="I248">
            <v>621</v>
          </cell>
          <cell r="J248">
            <v>10954545</v>
          </cell>
          <cell r="K248" t="str">
            <v>a</v>
          </cell>
        </row>
        <row r="249">
          <cell r="H249">
            <v>155</v>
          </cell>
          <cell r="I249">
            <v>154</v>
          </cell>
          <cell r="J249">
            <v>13354545</v>
          </cell>
          <cell r="K249" t="str">
            <v>a</v>
          </cell>
        </row>
        <row r="250">
          <cell r="H250">
            <v>632</v>
          </cell>
          <cell r="I250">
            <v>155</v>
          </cell>
          <cell r="J250">
            <v>13354545</v>
          </cell>
          <cell r="K250" t="str">
            <v>a</v>
          </cell>
        </row>
        <row r="251">
          <cell r="H251">
            <v>152</v>
          </cell>
          <cell r="I251">
            <v>111</v>
          </cell>
          <cell r="J251">
            <v>101016447</v>
          </cell>
          <cell r="K251" t="str">
            <v>a</v>
          </cell>
        </row>
        <row r="252">
          <cell r="H252">
            <v>133</v>
          </cell>
          <cell r="I252">
            <v>111</v>
          </cell>
          <cell r="J252">
            <v>8432337</v>
          </cell>
          <cell r="K252" t="str">
            <v>a</v>
          </cell>
        </row>
        <row r="253">
          <cell r="H253">
            <v>621</v>
          </cell>
          <cell r="I253">
            <v>152</v>
          </cell>
          <cell r="J253">
            <v>101016447</v>
          </cell>
          <cell r="K253" t="str">
            <v>a</v>
          </cell>
        </row>
        <row r="254">
          <cell r="H254">
            <v>622</v>
          </cell>
          <cell r="I254">
            <v>111</v>
          </cell>
          <cell r="J254">
            <v>2400000</v>
          </cell>
        </row>
        <row r="255">
          <cell r="H255">
            <v>154</v>
          </cell>
          <cell r="I255">
            <v>622</v>
          </cell>
          <cell r="J255">
            <v>2400000</v>
          </cell>
          <cell r="K255" t="str">
            <v>a</v>
          </cell>
        </row>
        <row r="256">
          <cell r="H256">
            <v>154</v>
          </cell>
          <cell r="I256">
            <v>621</v>
          </cell>
          <cell r="J256">
            <v>101016447</v>
          </cell>
          <cell r="K256" t="str">
            <v>a</v>
          </cell>
        </row>
        <row r="257">
          <cell r="H257">
            <v>155</v>
          </cell>
          <cell r="I257">
            <v>154</v>
          </cell>
          <cell r="J257">
            <v>103416447</v>
          </cell>
          <cell r="K257" t="str">
            <v>a</v>
          </cell>
        </row>
        <row r="258">
          <cell r="H258">
            <v>632</v>
          </cell>
          <cell r="I258">
            <v>155</v>
          </cell>
          <cell r="J258">
            <v>103416447</v>
          </cell>
          <cell r="K258" t="str">
            <v>a</v>
          </cell>
        </row>
        <row r="259">
          <cell r="H259">
            <v>152</v>
          </cell>
          <cell r="I259">
            <v>111</v>
          </cell>
          <cell r="J259">
            <v>88000000</v>
          </cell>
          <cell r="K259" t="str">
            <v>a</v>
          </cell>
        </row>
        <row r="260">
          <cell r="H260">
            <v>133</v>
          </cell>
          <cell r="I260">
            <v>111</v>
          </cell>
          <cell r="J260">
            <v>4400000</v>
          </cell>
          <cell r="K260" t="str">
            <v>a</v>
          </cell>
        </row>
        <row r="261">
          <cell r="H261">
            <v>621</v>
          </cell>
          <cell r="I261">
            <v>152</v>
          </cell>
          <cell r="J261">
            <v>88000000</v>
          </cell>
          <cell r="K261" t="str">
            <v>a</v>
          </cell>
        </row>
        <row r="262">
          <cell r="H262">
            <v>622</v>
          </cell>
          <cell r="I262">
            <v>111</v>
          </cell>
          <cell r="J262">
            <v>2400000</v>
          </cell>
        </row>
        <row r="263">
          <cell r="H263">
            <v>154</v>
          </cell>
          <cell r="I263">
            <v>622</v>
          </cell>
          <cell r="J263">
            <v>2400000</v>
          </cell>
          <cell r="K263" t="str">
            <v>a</v>
          </cell>
        </row>
        <row r="264">
          <cell r="H264">
            <v>154</v>
          </cell>
          <cell r="I264">
            <v>621</v>
          </cell>
          <cell r="J264">
            <v>88000000</v>
          </cell>
          <cell r="K264" t="str">
            <v>a</v>
          </cell>
        </row>
        <row r="265">
          <cell r="H265">
            <v>155</v>
          </cell>
          <cell r="I265">
            <v>154</v>
          </cell>
          <cell r="J265">
            <v>90400000</v>
          </cell>
          <cell r="K265" t="str">
            <v>a</v>
          </cell>
        </row>
        <row r="266">
          <cell r="H266">
            <v>632</v>
          </cell>
          <cell r="I266">
            <v>155</v>
          </cell>
          <cell r="J266">
            <v>90400000</v>
          </cell>
          <cell r="K266" t="str">
            <v>a</v>
          </cell>
        </row>
        <row r="267">
          <cell r="H267">
            <v>152</v>
          </cell>
          <cell r="I267">
            <v>111</v>
          </cell>
          <cell r="J267">
            <v>43840435</v>
          </cell>
          <cell r="K267" t="str">
            <v>a</v>
          </cell>
        </row>
        <row r="268">
          <cell r="H268">
            <v>133</v>
          </cell>
          <cell r="I268">
            <v>111</v>
          </cell>
          <cell r="J268">
            <v>2996950</v>
          </cell>
          <cell r="K268" t="str">
            <v>a</v>
          </cell>
        </row>
        <row r="269">
          <cell r="H269">
            <v>621</v>
          </cell>
          <cell r="I269">
            <v>152</v>
          </cell>
          <cell r="J269">
            <v>43840435</v>
          </cell>
          <cell r="K269" t="str">
            <v>a</v>
          </cell>
        </row>
        <row r="270">
          <cell r="H270">
            <v>622</v>
          </cell>
          <cell r="I270">
            <v>111</v>
          </cell>
          <cell r="J270">
            <v>2400000</v>
          </cell>
        </row>
        <row r="271">
          <cell r="H271">
            <v>154</v>
          </cell>
          <cell r="I271">
            <v>622</v>
          </cell>
          <cell r="J271">
            <v>2400000</v>
          </cell>
          <cell r="K271" t="str">
            <v>a</v>
          </cell>
        </row>
        <row r="272">
          <cell r="H272">
            <v>154</v>
          </cell>
          <cell r="I272">
            <v>621</v>
          </cell>
          <cell r="J272">
            <v>43840435</v>
          </cell>
          <cell r="K272" t="str">
            <v>a</v>
          </cell>
        </row>
        <row r="273">
          <cell r="H273">
            <v>155</v>
          </cell>
          <cell r="I273">
            <v>154</v>
          </cell>
          <cell r="J273">
            <v>46240435</v>
          </cell>
          <cell r="K273" t="str">
            <v>a</v>
          </cell>
        </row>
        <row r="274">
          <cell r="H274">
            <v>632</v>
          </cell>
          <cell r="I274">
            <v>155</v>
          </cell>
          <cell r="J274">
            <v>46240435</v>
          </cell>
          <cell r="K274" t="str">
            <v>a</v>
          </cell>
        </row>
        <row r="275">
          <cell r="H275">
            <v>152</v>
          </cell>
          <cell r="I275">
            <v>111</v>
          </cell>
          <cell r="J275">
            <v>94450669</v>
          </cell>
          <cell r="K275" t="str">
            <v>a</v>
          </cell>
        </row>
        <row r="276">
          <cell r="H276">
            <v>133</v>
          </cell>
          <cell r="I276">
            <v>111</v>
          </cell>
          <cell r="J276">
            <v>5492307</v>
          </cell>
          <cell r="K276" t="str">
            <v>a</v>
          </cell>
        </row>
        <row r="277">
          <cell r="H277">
            <v>621</v>
          </cell>
          <cell r="I277">
            <v>152</v>
          </cell>
          <cell r="J277">
            <v>94450669</v>
          </cell>
          <cell r="K277" t="str">
            <v>a</v>
          </cell>
        </row>
        <row r="278">
          <cell r="H278">
            <v>622</v>
          </cell>
          <cell r="I278">
            <v>111</v>
          </cell>
          <cell r="J278">
            <v>2400000</v>
          </cell>
        </row>
        <row r="279">
          <cell r="H279">
            <v>154</v>
          </cell>
          <cell r="I279">
            <v>622</v>
          </cell>
          <cell r="J279">
            <v>2400000</v>
          </cell>
          <cell r="K279" t="str">
            <v>a</v>
          </cell>
        </row>
        <row r="280">
          <cell r="H280">
            <v>154</v>
          </cell>
          <cell r="I280">
            <v>621</v>
          </cell>
          <cell r="J280">
            <v>94450669</v>
          </cell>
          <cell r="K280" t="str">
            <v>a</v>
          </cell>
        </row>
        <row r="281">
          <cell r="H281">
            <v>155</v>
          </cell>
          <cell r="I281">
            <v>154</v>
          </cell>
          <cell r="J281">
            <v>96850669</v>
          </cell>
          <cell r="K281" t="str">
            <v>a</v>
          </cell>
        </row>
        <row r="282">
          <cell r="H282">
            <v>632</v>
          </cell>
          <cell r="I282">
            <v>155</v>
          </cell>
          <cell r="J282">
            <v>96850669</v>
          </cell>
          <cell r="K282" t="str">
            <v>a</v>
          </cell>
        </row>
        <row r="283">
          <cell r="H283">
            <v>152</v>
          </cell>
          <cell r="I283">
            <v>111</v>
          </cell>
          <cell r="J283">
            <v>240025491</v>
          </cell>
          <cell r="K283" t="str">
            <v>a</v>
          </cell>
        </row>
        <row r="284">
          <cell r="H284">
            <v>133</v>
          </cell>
          <cell r="I284">
            <v>111</v>
          </cell>
          <cell r="J284">
            <v>18193984</v>
          </cell>
          <cell r="K284" t="str">
            <v>a</v>
          </cell>
        </row>
        <row r="285">
          <cell r="H285">
            <v>621</v>
          </cell>
          <cell r="I285">
            <v>152</v>
          </cell>
          <cell r="J285">
            <v>240025491</v>
          </cell>
          <cell r="K285" t="str">
            <v>a</v>
          </cell>
        </row>
        <row r="286">
          <cell r="H286">
            <v>622</v>
          </cell>
          <cell r="I286">
            <v>111</v>
          </cell>
          <cell r="J286">
            <v>2400000</v>
          </cell>
        </row>
        <row r="287">
          <cell r="H287">
            <v>154</v>
          </cell>
          <cell r="I287">
            <v>622</v>
          </cell>
          <cell r="J287">
            <v>2400000</v>
          </cell>
          <cell r="K287" t="str">
            <v>a</v>
          </cell>
        </row>
        <row r="288">
          <cell r="H288">
            <v>154</v>
          </cell>
          <cell r="I288">
            <v>621</v>
          </cell>
          <cell r="J288">
            <v>240025491</v>
          </cell>
          <cell r="K288" t="str">
            <v>a</v>
          </cell>
        </row>
        <row r="289">
          <cell r="H289">
            <v>155</v>
          </cell>
          <cell r="I289">
            <v>154</v>
          </cell>
          <cell r="J289">
            <v>242425491</v>
          </cell>
          <cell r="K289" t="str">
            <v>a</v>
          </cell>
        </row>
        <row r="290">
          <cell r="H290">
            <v>632</v>
          </cell>
          <cell r="I290">
            <v>155</v>
          </cell>
          <cell r="J290">
            <v>242425491</v>
          </cell>
          <cell r="K290" t="str">
            <v>a</v>
          </cell>
        </row>
        <row r="291">
          <cell r="H291">
            <v>152</v>
          </cell>
          <cell r="I291">
            <v>111</v>
          </cell>
          <cell r="J291">
            <v>54045900</v>
          </cell>
          <cell r="K291" t="str">
            <v>a</v>
          </cell>
        </row>
        <row r="292">
          <cell r="H292">
            <v>133</v>
          </cell>
          <cell r="I292">
            <v>111</v>
          </cell>
          <cell r="J292">
            <v>5318876</v>
          </cell>
          <cell r="K292" t="str">
            <v>a</v>
          </cell>
        </row>
        <row r="293">
          <cell r="H293">
            <v>621</v>
          </cell>
          <cell r="I293">
            <v>152</v>
          </cell>
          <cell r="J293">
            <v>54045900</v>
          </cell>
          <cell r="K293" t="str">
            <v>a</v>
          </cell>
        </row>
        <row r="294">
          <cell r="H294">
            <v>622</v>
          </cell>
          <cell r="I294">
            <v>111</v>
          </cell>
          <cell r="J294">
            <v>2400000</v>
          </cell>
        </row>
        <row r="295">
          <cell r="H295">
            <v>154</v>
          </cell>
          <cell r="I295">
            <v>622</v>
          </cell>
          <cell r="J295">
            <v>2400000</v>
          </cell>
          <cell r="K295" t="str">
            <v>a</v>
          </cell>
        </row>
        <row r="296">
          <cell r="H296">
            <v>154</v>
          </cell>
          <cell r="I296">
            <v>621</v>
          </cell>
          <cell r="J296">
            <v>54045900</v>
          </cell>
          <cell r="K296" t="str">
            <v>a</v>
          </cell>
        </row>
        <row r="299">
          <cell r="H299" t="str">
            <v>642</v>
          </cell>
          <cell r="I299" t="str">
            <v>3338</v>
          </cell>
          <cell r="J299">
            <v>850000</v>
          </cell>
          <cell r="K299" t="str">
            <v>MONBAI_642</v>
          </cell>
        </row>
        <row r="300">
          <cell r="H300" t="str">
            <v>141</v>
          </cell>
          <cell r="I300" t="str">
            <v>3339</v>
          </cell>
        </row>
        <row r="301">
          <cell r="H301" t="str">
            <v>133</v>
          </cell>
          <cell r="I301" t="str">
            <v>331</v>
          </cell>
          <cell r="L301" t="str">
            <v>PHUONG_331</v>
          </cell>
        </row>
        <row r="302">
          <cell r="H302" t="str">
            <v>3331</v>
          </cell>
          <cell r="I302" t="str">
            <v>133</v>
          </cell>
          <cell r="J302">
            <v>57186483</v>
          </cell>
        </row>
        <row r="303">
          <cell r="H303" t="str">
            <v>642</v>
          </cell>
          <cell r="I303">
            <v>214</v>
          </cell>
          <cell r="K303" t="str">
            <v>KH_642</v>
          </cell>
        </row>
        <row r="304">
          <cell r="H304" t="str">
            <v>154</v>
          </cell>
          <cell r="I304" t="str">
            <v>621</v>
          </cell>
          <cell r="L304" t="str">
            <v>KC_621</v>
          </cell>
        </row>
        <row r="305">
          <cell r="H305" t="str">
            <v>154</v>
          </cell>
          <cell r="I305" t="str">
            <v>622</v>
          </cell>
          <cell r="L305" t="str">
            <v>KC_622</v>
          </cell>
        </row>
        <row r="306">
          <cell r="H306" t="str">
            <v>154</v>
          </cell>
          <cell r="I306" t="str">
            <v>627</v>
          </cell>
          <cell r="J306">
            <v>0</v>
          </cell>
          <cell r="L306" t="str">
            <v>KC_627</v>
          </cell>
        </row>
        <row r="307">
          <cell r="H307" t="str">
            <v>911</v>
          </cell>
          <cell r="I307">
            <v>641</v>
          </cell>
          <cell r="J307">
            <v>0</v>
          </cell>
        </row>
        <row r="308">
          <cell r="H308" t="str">
            <v>911</v>
          </cell>
          <cell r="I308">
            <v>642</v>
          </cell>
          <cell r="J308">
            <v>3600000</v>
          </cell>
          <cell r="L308" t="str">
            <v>KC_642</v>
          </cell>
        </row>
        <row r="309">
          <cell r="H309" t="str">
            <v>632</v>
          </cell>
          <cell r="I309" t="str">
            <v>154</v>
          </cell>
        </row>
        <row r="310">
          <cell r="H310" t="str">
            <v>911</v>
          </cell>
          <cell r="I310" t="str">
            <v>632</v>
          </cell>
          <cell r="J310">
            <v>790553340</v>
          </cell>
        </row>
        <row r="311">
          <cell r="H311">
            <v>511</v>
          </cell>
          <cell r="I311" t="str">
            <v>911</v>
          </cell>
          <cell r="J311">
            <v>864297845</v>
          </cell>
          <cell r="K311" t="str">
            <v>KC_511</v>
          </cell>
        </row>
        <row r="312">
          <cell r="H312" t="str">
            <v>711</v>
          </cell>
          <cell r="I312" t="str">
            <v>911</v>
          </cell>
          <cell r="J312">
            <v>352384</v>
          </cell>
        </row>
        <row r="313">
          <cell r="H313" t="str">
            <v>911</v>
          </cell>
          <cell r="I313" t="str">
            <v>811</v>
          </cell>
        </row>
        <row r="314">
          <cell r="H314" t="str">
            <v>721</v>
          </cell>
          <cell r="I314" t="str">
            <v>911</v>
          </cell>
          <cell r="J314">
            <v>0</v>
          </cell>
        </row>
        <row r="315">
          <cell r="H315" t="str">
            <v>911</v>
          </cell>
          <cell r="I315" t="str">
            <v>821</v>
          </cell>
        </row>
        <row r="316">
          <cell r="H316" t="str">
            <v>911</v>
          </cell>
          <cell r="I316" t="str">
            <v>4212</v>
          </cell>
          <cell r="J316">
            <v>70496889</v>
          </cell>
        </row>
        <row r="317">
          <cell r="H317" t="str">
            <v>4212</v>
          </cell>
          <cell r="I317" t="str">
            <v>911</v>
          </cell>
          <cell r="J317">
            <v>0</v>
          </cell>
        </row>
        <row r="318">
          <cell r="H318" t="str">
            <v>4212</v>
          </cell>
          <cell r="I318" t="str">
            <v>3334</v>
          </cell>
          <cell r="J318">
            <v>22559004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C"/>
      <sheetName val="AA-B"/>
      <sheetName val="AA-R"/>
      <sheetName val="AA-W"/>
      <sheetName val="AA-C"/>
      <sheetName val="B"/>
      <sheetName val="R"/>
      <sheetName val="W"/>
      <sheetName val="C"/>
    </sheetNames>
    <sheetDataSet>
      <sheetData sheetId="0" refreshError="1">
        <row r="2">
          <cell r="A2" t="str">
            <v>style No.</v>
          </cell>
          <cell r="C2">
            <v>37394</v>
          </cell>
        </row>
        <row r="3">
          <cell r="C3">
            <v>15221</v>
          </cell>
        </row>
        <row r="4">
          <cell r="C4" t="str">
            <v>VND</v>
          </cell>
          <cell r="D4" t="str">
            <v>USD</v>
          </cell>
        </row>
        <row r="5">
          <cell r="A5" t="str">
            <v>11V089</v>
          </cell>
          <cell r="B5" t="str">
            <v>AMORTEEN</v>
          </cell>
          <cell r="C5">
            <v>11271</v>
          </cell>
          <cell r="D5">
            <v>0.74049011234478679</v>
          </cell>
        </row>
        <row r="6">
          <cell r="A6" t="str">
            <v>11V103</v>
          </cell>
          <cell r="B6" t="str">
            <v>CLASSIQUE</v>
          </cell>
          <cell r="C6">
            <v>15368</v>
          </cell>
          <cell r="D6">
            <v>1.0096577097431181</v>
          </cell>
        </row>
        <row r="7">
          <cell r="A7" t="str">
            <v>11V261</v>
          </cell>
          <cell r="B7" t="str">
            <v>CLARICE</v>
          </cell>
          <cell r="C7">
            <v>23110</v>
          </cell>
          <cell r="D7">
            <v>1.518297089547336</v>
          </cell>
        </row>
        <row r="8">
          <cell r="A8" t="str">
            <v>11V451</v>
          </cell>
          <cell r="B8" t="str">
            <v>JESSICA</v>
          </cell>
          <cell r="C8">
            <v>25284</v>
          </cell>
          <cell r="D8">
            <v>1.6611260758163064</v>
          </cell>
        </row>
        <row r="9">
          <cell r="A9" t="str">
            <v>11V615</v>
          </cell>
          <cell r="B9" t="str">
            <v>T 434 V</v>
          </cell>
          <cell r="C9">
            <v>12960</v>
          </cell>
          <cell r="D9">
            <v>0.85145522633204129</v>
          </cell>
        </row>
        <row r="10">
          <cell r="A10" t="str">
            <v>11V708</v>
          </cell>
          <cell r="B10" t="str">
            <v>T 350 V</v>
          </cell>
          <cell r="C10">
            <v>16677</v>
          </cell>
          <cell r="D10">
            <v>1.0956573155508837</v>
          </cell>
        </row>
        <row r="11">
          <cell r="A11" t="str">
            <v>11V711</v>
          </cell>
          <cell r="B11" t="str">
            <v>ANGELICA V</v>
          </cell>
          <cell r="C11">
            <v>18043</v>
          </cell>
          <cell r="D11">
            <v>1.1854017475855725</v>
          </cell>
        </row>
        <row r="12">
          <cell r="A12" t="str">
            <v>11V941</v>
          </cell>
          <cell r="B12" t="str">
            <v>FASHION 350 V</v>
          </cell>
          <cell r="C12">
            <v>17358</v>
          </cell>
          <cell r="D12">
            <v>1.1403981341567571</v>
          </cell>
        </row>
        <row r="13">
          <cell r="A13" t="str">
            <v>16V086</v>
          </cell>
          <cell r="C13">
            <v>59152</v>
          </cell>
          <cell r="D13">
            <v>3.886209841666119</v>
          </cell>
        </row>
        <row r="14">
          <cell r="A14" t="str">
            <v>16V101</v>
          </cell>
          <cell r="C14">
            <v>59244</v>
          </cell>
          <cell r="D14">
            <v>3.8922541225937848</v>
          </cell>
        </row>
        <row r="15">
          <cell r="A15" t="str">
            <v>16V114</v>
          </cell>
          <cell r="C15">
            <v>60165</v>
          </cell>
          <cell r="D15">
            <v>3.9527626305761778</v>
          </cell>
        </row>
        <row r="16">
          <cell r="A16" t="str">
            <v>16V128</v>
          </cell>
          <cell r="C16">
            <v>60427</v>
          </cell>
          <cell r="D16">
            <v>3.969975691478878</v>
          </cell>
        </row>
        <row r="17">
          <cell r="A17" t="str">
            <v>16V163</v>
          </cell>
          <cell r="C17">
            <v>52611</v>
          </cell>
          <cell r="D17">
            <v>3.4564746074502333</v>
          </cell>
        </row>
        <row r="18">
          <cell r="A18" t="str">
            <v>16V164</v>
          </cell>
          <cell r="C18">
            <v>55954</v>
          </cell>
          <cell r="D18">
            <v>3.6761053807239996</v>
          </cell>
        </row>
        <row r="19">
          <cell r="A19" t="str">
            <v>18V184</v>
          </cell>
          <cell r="B19" t="str">
            <v>MAXIMIZER 020 DS</v>
          </cell>
          <cell r="C19">
            <v>31238</v>
          </cell>
          <cell r="D19">
            <v>2.0522961697654556</v>
          </cell>
        </row>
        <row r="20">
          <cell r="A20" t="str">
            <v>18V257</v>
          </cell>
          <cell r="B20" t="str">
            <v>T 352 TV</v>
          </cell>
          <cell r="C20">
            <v>20522</v>
          </cell>
          <cell r="D20">
            <v>1.3482688391038697</v>
          </cell>
        </row>
        <row r="21">
          <cell r="A21" t="str">
            <v>18V291</v>
          </cell>
          <cell r="B21" t="str">
            <v>MAXIMIZER 018 MVT</v>
          </cell>
          <cell r="C21">
            <v>29581</v>
          </cell>
          <cell r="D21">
            <v>1.9434334143617371</v>
          </cell>
        </row>
        <row r="22">
          <cell r="A22" t="str">
            <v>18V344</v>
          </cell>
          <cell r="B22" t="str">
            <v>ODELIE TV</v>
          </cell>
          <cell r="C22">
            <v>25268</v>
          </cell>
          <cell r="D22">
            <v>1.6600748965245384</v>
          </cell>
        </row>
        <row r="23">
          <cell r="A23" t="str">
            <v>18V435</v>
          </cell>
          <cell r="B23" t="str">
            <v>2758 DS</v>
          </cell>
          <cell r="C23">
            <v>19309</v>
          </cell>
          <cell r="D23">
            <v>1.2685763090467117</v>
          </cell>
        </row>
        <row r="24">
          <cell r="A24" t="str">
            <v>18V695</v>
          </cell>
          <cell r="B24" t="str">
            <v>MAXIMIZER 025 MDS</v>
          </cell>
          <cell r="C24">
            <v>34945</v>
          </cell>
          <cell r="D24">
            <v>2.295841271926943</v>
          </cell>
        </row>
        <row r="25">
          <cell r="A25" t="str">
            <v>19V437</v>
          </cell>
          <cell r="B25" t="str">
            <v>FASHION 350 TV 01</v>
          </cell>
          <cell r="C25">
            <v>18053</v>
          </cell>
          <cell r="D25">
            <v>1.1860587346429274</v>
          </cell>
        </row>
        <row r="26">
          <cell r="A26" t="str">
            <v>19V613</v>
          </cell>
          <cell r="B26" t="str">
            <v>MAXIMIZER 031 MVT 02</v>
          </cell>
          <cell r="C26">
            <v>50461</v>
          </cell>
          <cell r="D26">
            <v>3.3152223901189148</v>
          </cell>
        </row>
        <row r="27">
          <cell r="A27" t="str">
            <v>19V623</v>
          </cell>
          <cell r="B27" t="str">
            <v>MAXIMIZER 039 MVT 02</v>
          </cell>
          <cell r="C27">
            <v>65140</v>
          </cell>
          <cell r="D27">
            <v>4.2796136916102752</v>
          </cell>
        </row>
        <row r="28">
          <cell r="A28" t="str">
            <v>19V779</v>
          </cell>
          <cell r="B28" t="str">
            <v>MAXIMIZER 045 TV</v>
          </cell>
          <cell r="C28">
            <v>61370</v>
          </cell>
          <cell r="D28">
            <v>4.0319295709874519</v>
          </cell>
        </row>
        <row r="29">
          <cell r="A29" t="str">
            <v>19V803</v>
          </cell>
          <cell r="B29" t="str">
            <v>MAXIMIZER 060 DS</v>
          </cell>
          <cell r="C29">
            <v>28767</v>
          </cell>
          <cell r="D29">
            <v>1.8899546678930426</v>
          </cell>
        </row>
        <row r="30">
          <cell r="A30" t="str">
            <v>19V819</v>
          </cell>
          <cell r="C30">
            <v>48192</v>
          </cell>
          <cell r="D30">
            <v>3.1661520268050718</v>
          </cell>
        </row>
        <row r="31">
          <cell r="A31" t="str">
            <v>19V967</v>
          </cell>
          <cell r="B31" t="str">
            <v>FASHION 463 DS</v>
          </cell>
          <cell r="C31">
            <v>19559</v>
          </cell>
          <cell r="D31">
            <v>1.2850009854805859</v>
          </cell>
        </row>
        <row r="32">
          <cell r="A32" t="str">
            <v>19V968</v>
          </cell>
          <cell r="B32" t="str">
            <v>FASHION 463 TV</v>
          </cell>
          <cell r="C32">
            <v>18512</v>
          </cell>
          <cell r="D32">
            <v>1.2162144405755206</v>
          </cell>
        </row>
        <row r="33">
          <cell r="A33" t="str">
            <v>19V969</v>
          </cell>
          <cell r="B33" t="str">
            <v>FASHION 464 MDS</v>
          </cell>
          <cell r="C33">
            <v>51188</v>
          </cell>
          <cell r="D33">
            <v>3.3629853491886208</v>
          </cell>
        </row>
        <row r="34">
          <cell r="A34" t="str">
            <v>19V972</v>
          </cell>
          <cell r="B34" t="str">
            <v>FASHION 466 TV</v>
          </cell>
          <cell r="C34">
            <v>40864</v>
          </cell>
          <cell r="D34">
            <v>2.6847119111753499</v>
          </cell>
        </row>
        <row r="35">
          <cell r="A35" t="str">
            <v>19V973</v>
          </cell>
          <cell r="B35" t="str">
            <v>FASHION 466 DS</v>
          </cell>
          <cell r="C35">
            <v>43215</v>
          </cell>
          <cell r="D35">
            <v>2.8391695683595035</v>
          </cell>
        </row>
        <row r="36">
          <cell r="A36" t="str">
            <v>19V976</v>
          </cell>
          <cell r="B36" t="str">
            <v>FASHION 467 MDS</v>
          </cell>
          <cell r="C36">
            <v>35603</v>
          </cell>
          <cell r="D36">
            <v>2.3390710203009002</v>
          </cell>
        </row>
        <row r="37">
          <cell r="A37" t="str">
            <v>19V977</v>
          </cell>
          <cell r="B37" t="str">
            <v>FASHION 467 MVT</v>
          </cell>
          <cell r="C37">
            <v>35514</v>
          </cell>
          <cell r="D37">
            <v>2.3332238354904407</v>
          </cell>
        </row>
        <row r="38">
          <cell r="A38" t="str">
            <v>19V979</v>
          </cell>
          <cell r="B38" t="str">
            <v>FASHION 468 FV</v>
          </cell>
          <cell r="C38">
            <v>33654</v>
          </cell>
          <cell r="D38">
            <v>2.2110242428224165</v>
          </cell>
        </row>
        <row r="39">
          <cell r="A39" t="str">
            <v>20V407</v>
          </cell>
          <cell r="B39" t="str">
            <v>CONFECTION N</v>
          </cell>
          <cell r="C39">
            <v>13103</v>
          </cell>
          <cell r="D39">
            <v>0.86085014125221737</v>
          </cell>
        </row>
        <row r="40">
          <cell r="A40" t="str">
            <v>20V408</v>
          </cell>
          <cell r="B40" t="str">
            <v>JOLLY FLOWER N</v>
          </cell>
          <cell r="C40">
            <v>12059</v>
          </cell>
          <cell r="D40">
            <v>0.79226069246435848</v>
          </cell>
        </row>
        <row r="41">
          <cell r="A41" t="str">
            <v>20V421</v>
          </cell>
          <cell r="B41" t="str">
            <v>2003 V</v>
          </cell>
          <cell r="C41">
            <v>20284</v>
          </cell>
          <cell r="D41">
            <v>1.3326325471388214</v>
          </cell>
        </row>
        <row r="42">
          <cell r="A42" t="str">
            <v>20V427</v>
          </cell>
          <cell r="B42" t="str">
            <v>MAMABEL 01</v>
          </cell>
          <cell r="C42">
            <v>30391</v>
          </cell>
          <cell r="D42">
            <v>1.9966493660074895</v>
          </cell>
        </row>
        <row r="43">
          <cell r="A43" t="str">
            <v>21V165</v>
          </cell>
          <cell r="B43" t="str">
            <v>FASHION 118 MV</v>
          </cell>
          <cell r="C43">
            <v>23843</v>
          </cell>
          <cell r="D43">
            <v>1.5664542408514552</v>
          </cell>
        </row>
        <row r="44">
          <cell r="A44" t="str">
            <v>26V274</v>
          </cell>
          <cell r="C44">
            <v>37702</v>
          </cell>
          <cell r="D44">
            <v>2.4769726036397084</v>
          </cell>
        </row>
        <row r="45">
          <cell r="A45" t="str">
            <v>26V300</v>
          </cell>
          <cell r="B45" t="str">
            <v>MAXIMIZER 022 MVT CLICK N</v>
          </cell>
          <cell r="C45">
            <v>35199</v>
          </cell>
          <cell r="D45">
            <v>2.3125287431837593</v>
          </cell>
        </row>
        <row r="46">
          <cell r="A46" t="str">
            <v>26V308</v>
          </cell>
          <cell r="B46" t="str">
            <v>MAXIMIZER 012 TV CLICK N</v>
          </cell>
          <cell r="C46">
            <v>45856</v>
          </cell>
          <cell r="D46">
            <v>3.0126798502069509</v>
          </cell>
        </row>
        <row r="47">
          <cell r="A47" t="str">
            <v>26V332</v>
          </cell>
          <cell r="C47">
            <v>65922</v>
          </cell>
          <cell r="D47">
            <v>4.3309900794954341</v>
          </cell>
        </row>
        <row r="48">
          <cell r="A48" t="str">
            <v>27V143</v>
          </cell>
          <cell r="B48" t="str">
            <v>2620 FV</v>
          </cell>
          <cell r="C48">
            <v>21531</v>
          </cell>
          <cell r="D48">
            <v>1.4145588331909862</v>
          </cell>
        </row>
        <row r="49">
          <cell r="A49" t="str">
            <v>27V627</v>
          </cell>
          <cell r="B49" t="str">
            <v>SILHOUETTE</v>
          </cell>
          <cell r="C49">
            <v>19743</v>
          </cell>
          <cell r="D49">
            <v>1.2970895473359174</v>
          </cell>
        </row>
        <row r="50">
          <cell r="A50" t="str">
            <v>29V352</v>
          </cell>
          <cell r="B50" t="str">
            <v>BEATRICE</v>
          </cell>
          <cell r="C50">
            <v>20792</v>
          </cell>
          <cell r="D50">
            <v>1.3660074896524539</v>
          </cell>
        </row>
        <row r="51">
          <cell r="A51" t="str">
            <v>37V010</v>
          </cell>
          <cell r="B51" t="str">
            <v>AMOURETTE 01 LDN</v>
          </cell>
          <cell r="C51">
            <v>71344</v>
          </cell>
          <cell r="D51">
            <v>4.6872084619932988</v>
          </cell>
        </row>
        <row r="52">
          <cell r="A52" t="str">
            <v>37V092</v>
          </cell>
          <cell r="B52" t="str">
            <v>MAXIMIZER 034 MDSL</v>
          </cell>
          <cell r="C52">
            <v>68580</v>
          </cell>
          <cell r="D52">
            <v>4.5056172393403848</v>
          </cell>
        </row>
        <row r="53">
          <cell r="A53" t="str">
            <v>40V208</v>
          </cell>
          <cell r="C53">
            <v>25893</v>
          </cell>
          <cell r="D53">
            <v>1.7011365876092241</v>
          </cell>
        </row>
        <row r="54">
          <cell r="A54" t="str">
            <v>40V301</v>
          </cell>
          <cell r="B54" t="str">
            <v>SLIMFIT</v>
          </cell>
          <cell r="C54">
            <v>45617</v>
          </cell>
          <cell r="D54">
            <v>2.9969778595361674</v>
          </cell>
        </row>
        <row r="55">
          <cell r="A55" t="str">
            <v>40V684</v>
          </cell>
          <cell r="B55" t="str">
            <v>FASHION 355 PY</v>
          </cell>
          <cell r="C55">
            <v>28052</v>
          </cell>
          <cell r="D55">
            <v>1.8429800932921621</v>
          </cell>
        </row>
        <row r="56">
          <cell r="A56" t="str">
            <v>40V707</v>
          </cell>
          <cell r="C56">
            <v>35101</v>
          </cell>
          <cell r="D56">
            <v>2.3060902700216808</v>
          </cell>
        </row>
        <row r="57">
          <cell r="A57" t="str">
            <v>74V034</v>
          </cell>
          <cell r="B57" t="str">
            <v>FASHION 245 HIKINI</v>
          </cell>
          <cell r="C57">
            <v>11528</v>
          </cell>
          <cell r="D57">
            <v>0.75737467971880956</v>
          </cell>
        </row>
        <row r="58">
          <cell r="A58" t="str">
            <v>74V072</v>
          </cell>
          <cell r="B58" t="str">
            <v>T 352 HIKINI</v>
          </cell>
          <cell r="C58">
            <v>13360</v>
          </cell>
          <cell r="D58">
            <v>0.87773470862624003</v>
          </cell>
        </row>
        <row r="59">
          <cell r="A59" t="str">
            <v>74V084</v>
          </cell>
          <cell r="B59" t="str">
            <v>ANGELICA HIKINI</v>
          </cell>
          <cell r="C59">
            <v>7936</v>
          </cell>
          <cell r="D59">
            <v>0.52138492871690423</v>
          </cell>
        </row>
        <row r="60">
          <cell r="A60" t="str">
            <v>74V1002</v>
          </cell>
          <cell r="C60">
            <v>15513</v>
          </cell>
          <cell r="D60">
            <v>1.0191840220747652</v>
          </cell>
        </row>
        <row r="61">
          <cell r="A61" t="str">
            <v>74V1003</v>
          </cell>
          <cell r="C61">
            <v>16426</v>
          </cell>
          <cell r="D61">
            <v>1.0791669404112738</v>
          </cell>
        </row>
        <row r="62">
          <cell r="A62" t="str">
            <v>74V1061</v>
          </cell>
          <cell r="C62">
            <v>23004</v>
          </cell>
          <cell r="D62">
            <v>1.5113330267393732</v>
          </cell>
        </row>
        <row r="63">
          <cell r="A63" t="str">
            <v>74V653</v>
          </cell>
          <cell r="B63" t="str">
            <v>FASHION 330 HIKINI</v>
          </cell>
          <cell r="C63">
            <v>13765</v>
          </cell>
          <cell r="D63">
            <v>0.90434268444911636</v>
          </cell>
        </row>
        <row r="64">
          <cell r="A64" t="str">
            <v>74V733</v>
          </cell>
          <cell r="B64" t="str">
            <v>FASHION 355 HIKINI</v>
          </cell>
          <cell r="C64">
            <v>19500</v>
          </cell>
          <cell r="D64">
            <v>1.2811247618421917</v>
          </cell>
        </row>
        <row r="65">
          <cell r="A65" t="str">
            <v>74V735</v>
          </cell>
          <cell r="B65" t="str">
            <v>FASHION 429 HIKINI</v>
          </cell>
          <cell r="C65">
            <v>8865</v>
          </cell>
          <cell r="D65">
            <v>0.58241902634518095</v>
          </cell>
        </row>
        <row r="66">
          <cell r="A66" t="str">
            <v>74V793</v>
          </cell>
          <cell r="B66" t="str">
            <v>FASHION 398 MINI</v>
          </cell>
          <cell r="C66">
            <v>22363</v>
          </cell>
          <cell r="D66">
            <v>1.4692201563629197</v>
          </cell>
        </row>
        <row r="67">
          <cell r="A67" t="str">
            <v>74V868</v>
          </cell>
          <cell r="B67" t="str">
            <v>74V868</v>
          </cell>
          <cell r="C67">
            <v>6965</v>
          </cell>
          <cell r="D67">
            <v>0.4575914854477367</v>
          </cell>
        </row>
        <row r="68">
          <cell r="A68" t="str">
            <v>74V869</v>
          </cell>
          <cell r="B68" t="str">
            <v>74V869</v>
          </cell>
          <cell r="C68">
            <v>7093</v>
          </cell>
          <cell r="D68">
            <v>0.4660009197818803</v>
          </cell>
        </row>
        <row r="69">
          <cell r="A69" t="str">
            <v>74V870</v>
          </cell>
          <cell r="B69" t="str">
            <v>74V870</v>
          </cell>
          <cell r="C69">
            <v>7835</v>
          </cell>
          <cell r="D69">
            <v>0.51474935943761913</v>
          </cell>
        </row>
        <row r="70">
          <cell r="A70" t="str">
            <v>74V892</v>
          </cell>
          <cell r="B70" t="str">
            <v>FASHION 466 HIKINI</v>
          </cell>
          <cell r="C70">
            <v>12487</v>
          </cell>
          <cell r="D70">
            <v>0.82037973851915114</v>
          </cell>
        </row>
        <row r="71">
          <cell r="A71" t="str">
            <v>74V893</v>
          </cell>
          <cell r="B71" t="str">
            <v>FASHION 467 HIKINI</v>
          </cell>
          <cell r="C71">
            <v>17673</v>
          </cell>
          <cell r="D71">
            <v>1.1610932264634386</v>
          </cell>
        </row>
        <row r="72">
          <cell r="A72" t="str">
            <v>74V894</v>
          </cell>
          <cell r="B72" t="str">
            <v>FASHION 468 HIKINI</v>
          </cell>
          <cell r="C72">
            <v>15498</v>
          </cell>
          <cell r="D72">
            <v>1.0181985414887327</v>
          </cell>
        </row>
        <row r="73">
          <cell r="A73" t="str">
            <v>74V980</v>
          </cell>
          <cell r="C73">
            <v>21433</v>
          </cell>
          <cell r="D73">
            <v>1.4081203600289074</v>
          </cell>
        </row>
        <row r="74">
          <cell r="A74" t="str">
            <v>75X974</v>
          </cell>
          <cell r="C74">
            <v>6122</v>
          </cell>
          <cell r="D74">
            <v>0.40220747651271271</v>
          </cell>
        </row>
        <row r="75">
          <cell r="A75" t="str">
            <v>76v030</v>
          </cell>
          <cell r="B75" t="str">
            <v>Lilia midi 1</v>
          </cell>
          <cell r="C75">
            <v>16389</v>
          </cell>
          <cell r="D75">
            <v>1.0767360882990604</v>
          </cell>
        </row>
        <row r="76">
          <cell r="A76" t="str">
            <v>76V129</v>
          </cell>
          <cell r="B76" t="str">
            <v>MAMABEL 05</v>
          </cell>
          <cell r="C76">
            <v>23144</v>
          </cell>
          <cell r="D76">
            <v>1.5205308455423427</v>
          </cell>
        </row>
        <row r="77">
          <cell r="A77" t="str">
            <v>76V261</v>
          </cell>
          <cell r="B77" t="str">
            <v>SLOGGI STYLE TANGA</v>
          </cell>
          <cell r="C77">
            <v>10121</v>
          </cell>
          <cell r="D77">
            <v>0.66493660074896521</v>
          </cell>
        </row>
        <row r="78">
          <cell r="A78" t="str">
            <v>76V262</v>
          </cell>
          <cell r="B78" t="str">
            <v>SLOGGI STYLE MIDI</v>
          </cell>
          <cell r="C78">
            <v>12005</v>
          </cell>
          <cell r="D78">
            <v>0.78871296235464161</v>
          </cell>
        </row>
        <row r="79">
          <cell r="A79" t="str">
            <v>76V336</v>
          </cell>
          <cell r="B79" t="str">
            <v xml:space="preserve">SLOGGI COMFORT MINI </v>
          </cell>
          <cell r="C79">
            <v>12260</v>
          </cell>
          <cell r="D79">
            <v>0.80546613231719333</v>
          </cell>
        </row>
        <row r="80">
          <cell r="A80" t="str">
            <v>76V337</v>
          </cell>
          <cell r="B80" t="str">
            <v xml:space="preserve">SLOGGI COMFPRT MIDI </v>
          </cell>
          <cell r="C80">
            <v>13532</v>
          </cell>
          <cell r="D80">
            <v>0.8890348860127455</v>
          </cell>
        </row>
        <row r="81">
          <cell r="A81" t="str">
            <v>76V338</v>
          </cell>
          <cell r="B81" t="str">
            <v>SLOGGI COMFORT HIKINI</v>
          </cell>
          <cell r="C81">
            <v>13276</v>
          </cell>
          <cell r="D81">
            <v>0.87221601734445831</v>
          </cell>
        </row>
        <row r="82">
          <cell r="A82" t="str">
            <v>76V339</v>
          </cell>
          <cell r="B82" t="str">
            <v xml:space="preserve">SLOGGI COMFORT MAXI </v>
          </cell>
          <cell r="C82">
            <v>18867</v>
          </cell>
          <cell r="D82">
            <v>1.2395374811116222</v>
          </cell>
        </row>
        <row r="83">
          <cell r="A83" t="str">
            <v>76V364</v>
          </cell>
          <cell r="B83" t="str">
            <v>SLOGGI STYLE JUST WAIST</v>
          </cell>
          <cell r="C83">
            <v>14001</v>
          </cell>
          <cell r="D83">
            <v>0.91984757900269365</v>
          </cell>
        </row>
        <row r="84">
          <cell r="A84" t="str">
            <v>76V366</v>
          </cell>
          <cell r="B84" t="str">
            <v>SLOGGI STYLE HIKINI</v>
          </cell>
          <cell r="C84">
            <v>12548</v>
          </cell>
          <cell r="D84">
            <v>0.82438735956901654</v>
          </cell>
        </row>
        <row r="85">
          <cell r="A85" t="str">
            <v>76V367</v>
          </cell>
          <cell r="B85" t="str">
            <v>SLOGGI STYLE MAXI</v>
          </cell>
          <cell r="C85">
            <v>15068</v>
          </cell>
          <cell r="D85">
            <v>0.98994809802246897</v>
          </cell>
        </row>
        <row r="86">
          <cell r="A86" t="str">
            <v>76V384</v>
          </cell>
          <cell r="B86" t="str">
            <v>LILIA 02 MIDI 2</v>
          </cell>
          <cell r="C86">
            <v>15825</v>
          </cell>
          <cell r="D86">
            <v>1.0396820182642401</v>
          </cell>
        </row>
        <row r="87">
          <cell r="A87" t="str">
            <v>76V400</v>
          </cell>
          <cell r="B87" t="str">
            <v xml:space="preserve">SLOGGI COMFORT TANGA </v>
          </cell>
          <cell r="C87">
            <v>12272</v>
          </cell>
          <cell r="D87">
            <v>0.80625451678601934</v>
          </cell>
        </row>
        <row r="88">
          <cell r="A88" t="str">
            <v>77V319</v>
          </cell>
          <cell r="B88" t="str">
            <v>COTTON COMFORT MINI</v>
          </cell>
          <cell r="C88">
            <v>5098</v>
          </cell>
          <cell r="D88">
            <v>0.33493200183956379</v>
          </cell>
        </row>
        <row r="89">
          <cell r="A89" t="str">
            <v>77V324</v>
          </cell>
          <cell r="B89" t="str">
            <v>COTTON COMFORT MIDI</v>
          </cell>
          <cell r="C89">
            <v>5968</v>
          </cell>
          <cell r="D89">
            <v>0.39208987582944616</v>
          </cell>
        </row>
        <row r="90">
          <cell r="A90" t="str">
            <v>77V575</v>
          </cell>
          <cell r="B90" t="str">
            <v>COTTON COMFORT MAXI</v>
          </cell>
          <cell r="C90">
            <v>6711</v>
          </cell>
          <cell r="D90">
            <v>0.44090401419092046</v>
          </cell>
        </row>
        <row r="91">
          <cell r="A91" t="str">
            <v>78V001</v>
          </cell>
          <cell r="B91" t="str">
            <v>MAXI PATTERN</v>
          </cell>
          <cell r="C91">
            <v>6996</v>
          </cell>
          <cell r="D91">
            <v>0.45962814532553709</v>
          </cell>
        </row>
        <row r="92">
          <cell r="A92" t="str">
            <v>78V002</v>
          </cell>
          <cell r="B92" t="str">
            <v>MINI PATTERN</v>
          </cell>
          <cell r="C92">
            <v>5622</v>
          </cell>
          <cell r="D92">
            <v>0.36935812364496418</v>
          </cell>
        </row>
        <row r="93">
          <cell r="A93" t="str">
            <v>78V003</v>
          </cell>
          <cell r="B93" t="str">
            <v>MIDI PATTERN</v>
          </cell>
          <cell r="C93">
            <v>6526</v>
          </cell>
          <cell r="D93">
            <v>0.42874975362985351</v>
          </cell>
        </row>
        <row r="94">
          <cell r="A94" t="str">
            <v>83V262</v>
          </cell>
          <cell r="B94" t="str">
            <v>T 397 VEST</v>
          </cell>
          <cell r="C94">
            <v>8696</v>
          </cell>
          <cell r="D94">
            <v>0.57131594507588201</v>
          </cell>
        </row>
        <row r="95">
          <cell r="A95" t="str">
            <v>83V271</v>
          </cell>
          <cell r="B95" t="str">
            <v>T 409 VEST</v>
          </cell>
          <cell r="C95">
            <v>10349</v>
          </cell>
          <cell r="D95">
            <v>0.6799159056566586</v>
          </cell>
        </row>
        <row r="96">
          <cell r="A96" t="str">
            <v>87V093</v>
          </cell>
          <cell r="B96" t="str">
            <v>SLOGGI ACTIVE BOY LEG</v>
          </cell>
          <cell r="C96">
            <v>17200</v>
          </cell>
          <cell r="D96">
            <v>1.1300177386505486</v>
          </cell>
        </row>
        <row r="97">
          <cell r="A97" t="str">
            <v>88V103</v>
          </cell>
          <cell r="B97" t="str">
            <v>SLOGGI ACIVE TOP</v>
          </cell>
          <cell r="C97">
            <v>22435</v>
          </cell>
          <cell r="D97">
            <v>1.4739504631758755</v>
          </cell>
        </row>
        <row r="98">
          <cell r="A98" t="str">
            <v>16V547</v>
          </cell>
          <cell r="B98" t="str">
            <v>FASHION 573 TV</v>
          </cell>
          <cell r="C98">
            <v>30856</v>
          </cell>
          <cell r="D98">
            <v>2.0395267367307821</v>
          </cell>
        </row>
        <row r="99">
          <cell r="A99" t="str">
            <v>16V549</v>
          </cell>
          <cell r="B99" t="str">
            <v>FASHION 573 FV</v>
          </cell>
          <cell r="C99">
            <v>36740</v>
          </cell>
          <cell r="D99">
            <v>2.42844867473065</v>
          </cell>
        </row>
        <row r="100">
          <cell r="A100" t="str">
            <v>16V550</v>
          </cell>
          <cell r="B100" t="str">
            <v>FASHION 574 TV</v>
          </cell>
          <cell r="C100">
            <v>29979</v>
          </cell>
          <cell r="D100">
            <v>1.9815585960737656</v>
          </cell>
        </row>
        <row r="101">
          <cell r="A101" t="str">
            <v>16V552</v>
          </cell>
          <cell r="B101" t="str">
            <v>FASHION 574 FV</v>
          </cell>
          <cell r="C101">
            <v>34774</v>
          </cell>
          <cell r="D101">
            <v>2.2984995703615572</v>
          </cell>
        </row>
        <row r="102">
          <cell r="A102" t="str">
            <v>16V556</v>
          </cell>
          <cell r="B102" t="str">
            <v>FASHION 576 TV</v>
          </cell>
          <cell r="C102">
            <v>29839</v>
          </cell>
          <cell r="D102">
            <v>1.9723048449996694</v>
          </cell>
        </row>
        <row r="103">
          <cell r="A103" t="str">
            <v>16V557</v>
          </cell>
          <cell r="B103" t="str">
            <v>FASHION 577 DS</v>
          </cell>
          <cell r="C103">
            <v>30270</v>
          </cell>
          <cell r="D103">
            <v>2.000793178663494</v>
          </cell>
        </row>
        <row r="104">
          <cell r="A104" t="str">
            <v>16V558</v>
          </cell>
          <cell r="B104" t="str">
            <v>FASHION 577 TV</v>
          </cell>
          <cell r="C104">
            <v>35252</v>
          </cell>
          <cell r="D104">
            <v>2.3300945204573997</v>
          </cell>
        </row>
        <row r="105">
          <cell r="A105" t="str">
            <v>16V559</v>
          </cell>
          <cell r="B105" t="str">
            <v>FASHION 578 DS</v>
          </cell>
          <cell r="C105">
            <v>26656</v>
          </cell>
          <cell r="D105">
            <v>1.7619142045078988</v>
          </cell>
        </row>
        <row r="106">
          <cell r="A106" t="str">
            <v>16V560</v>
          </cell>
          <cell r="B106" t="str">
            <v>FASHION 578 TV</v>
          </cell>
          <cell r="C106">
            <v>25675</v>
          </cell>
          <cell r="D106">
            <v>1.6970718487672682</v>
          </cell>
        </row>
        <row r="107">
          <cell r="A107" t="str">
            <v>16V555</v>
          </cell>
          <cell r="B107" t="str">
            <v>FASHION 576 FV</v>
          </cell>
          <cell r="C107">
            <v>32771</v>
          </cell>
          <cell r="D107">
            <v>2.1661048317800251</v>
          </cell>
        </row>
        <row r="108">
          <cell r="A108" t="str">
            <v>16V125</v>
          </cell>
          <cell r="B108" t="str">
            <v>MAXIMIZER 072 MDS 1</v>
          </cell>
          <cell r="C108">
            <v>43704</v>
          </cell>
          <cell r="D108">
            <v>2.8887566924449732</v>
          </cell>
        </row>
        <row r="109">
          <cell r="A109" t="str">
            <v>16V639</v>
          </cell>
          <cell r="B109" t="str">
            <v>MAXIMIZER 072 MVT 1</v>
          </cell>
          <cell r="C109">
            <v>43513</v>
          </cell>
          <cell r="D109">
            <v>2.8761319320510279</v>
          </cell>
        </row>
        <row r="110">
          <cell r="A110" t="str">
            <v>16V553</v>
          </cell>
          <cell r="B110" t="str">
            <v>MAXIMIZER 102 TV</v>
          </cell>
          <cell r="C110">
            <v>34889</v>
          </cell>
          <cell r="D110">
            <v>2.3061008658867075</v>
          </cell>
        </row>
        <row r="111">
          <cell r="A111" t="str">
            <v>16V551</v>
          </cell>
          <cell r="B111" t="str">
            <v>MAXIMIZER 101 DS</v>
          </cell>
          <cell r="C111">
            <v>41341</v>
          </cell>
          <cell r="D111">
            <v>2.7325665939586226</v>
          </cell>
        </row>
        <row r="112">
          <cell r="A112" t="str">
            <v>16V548</v>
          </cell>
          <cell r="B112" t="str">
            <v>MAXIMIZER 100 DS</v>
          </cell>
          <cell r="C112">
            <v>39075</v>
          </cell>
          <cell r="D112">
            <v>2.5827880230021814</v>
          </cell>
        </row>
        <row r="113">
          <cell r="A113" t="str">
            <v>16V562</v>
          </cell>
          <cell r="B113" t="str">
            <v>MAXIMIZER 103 FV</v>
          </cell>
          <cell r="C113">
            <v>39759</v>
          </cell>
          <cell r="D113">
            <v>2.6279992068213365</v>
          </cell>
        </row>
        <row r="114">
          <cell r="A114" t="str">
            <v>16V554</v>
          </cell>
          <cell r="B114" t="str">
            <v>MAXIMIZER 102 DS</v>
          </cell>
          <cell r="C114">
            <v>42653</v>
          </cell>
          <cell r="D114">
            <v>2.8192874611672947</v>
          </cell>
        </row>
        <row r="115">
          <cell r="A115" t="str">
            <v>16V561</v>
          </cell>
          <cell r="B115" t="str">
            <v>MAXIMIZER 103 DS</v>
          </cell>
          <cell r="C115">
            <v>47996</v>
          </cell>
          <cell r="D115">
            <v>3.1724502610879766</v>
          </cell>
        </row>
        <row r="116">
          <cell r="A116" t="str">
            <v>16V247</v>
          </cell>
          <cell r="B116" t="str">
            <v>MAXIMIZER 093 MVT</v>
          </cell>
          <cell r="C116">
            <v>49585</v>
          </cell>
          <cell r="D116">
            <v>3.2774803357789675</v>
          </cell>
        </row>
        <row r="117">
          <cell r="A117" t="str">
            <v>15641</v>
          </cell>
          <cell r="B117" t="str">
            <v>Swimwear</v>
          </cell>
          <cell r="C117">
            <v>32717.97</v>
          </cell>
        </row>
        <row r="118">
          <cell r="A118" t="str">
            <v>15816</v>
          </cell>
          <cell r="B118" t="str">
            <v>Swimwear</v>
          </cell>
          <cell r="C118">
            <v>87993.030999999988</v>
          </cell>
        </row>
        <row r="119">
          <cell r="A119" t="str">
            <v>15847</v>
          </cell>
          <cell r="B119" t="str">
            <v>Swimwear</v>
          </cell>
          <cell r="C119">
            <v>66661.182795698915</v>
          </cell>
        </row>
        <row r="120">
          <cell r="A120" t="str">
            <v>15862</v>
          </cell>
          <cell r="B120" t="str">
            <v>Swimwear</v>
          </cell>
          <cell r="C120">
            <v>67318.467272727285</v>
          </cell>
        </row>
        <row r="121">
          <cell r="A121" t="str">
            <v>15863</v>
          </cell>
          <cell r="B121" t="str">
            <v>Swimwear</v>
          </cell>
          <cell r="C121">
            <v>69398.838135593222</v>
          </cell>
        </row>
        <row r="122">
          <cell r="A122" t="str">
            <v>V16575</v>
          </cell>
          <cell r="B122" t="str">
            <v>Swimwear</v>
          </cell>
          <cell r="C122">
            <v>85198.325953729131</v>
          </cell>
        </row>
        <row r="123">
          <cell r="A123" t="str">
            <v>V12468</v>
          </cell>
          <cell r="B123" t="str">
            <v>Swimwear</v>
          </cell>
          <cell r="C123">
            <v>89628.14108958203</v>
          </cell>
        </row>
        <row r="124">
          <cell r="A124" t="str">
            <v>V12596</v>
          </cell>
          <cell r="B124" t="str">
            <v>Swimwear</v>
          </cell>
          <cell r="C124">
            <v>61323.4756681176</v>
          </cell>
        </row>
        <row r="125">
          <cell r="A125" t="str">
            <v>V12607</v>
          </cell>
          <cell r="B125" t="str">
            <v>Swimwear</v>
          </cell>
          <cell r="C125">
            <v>68696.335207280776</v>
          </cell>
        </row>
        <row r="126">
          <cell r="A126" t="str">
            <v>V16196</v>
          </cell>
          <cell r="B126" t="str">
            <v>Swimwear</v>
          </cell>
          <cell r="C126">
            <v>73138.631311475401</v>
          </cell>
        </row>
        <row r="127">
          <cell r="A127" t="str">
            <v>V16343</v>
          </cell>
          <cell r="B127" t="str">
            <v>Swimwear</v>
          </cell>
          <cell r="C127">
            <v>117646.34482034885</v>
          </cell>
        </row>
        <row r="128">
          <cell r="A128" t="str">
            <v>V16510</v>
          </cell>
          <cell r="B128" t="str">
            <v>Swimwear</v>
          </cell>
          <cell r="C128">
            <v>115683.82654903611</v>
          </cell>
        </row>
        <row r="129">
          <cell r="A129" t="str">
            <v>V16530</v>
          </cell>
          <cell r="B129" t="str">
            <v>Swimwear</v>
          </cell>
          <cell r="C129">
            <v>130456.99099992294</v>
          </cell>
        </row>
        <row r="130">
          <cell r="A130" t="str">
            <v>V16586</v>
          </cell>
          <cell r="B130" t="str">
            <v>Swimwear</v>
          </cell>
          <cell r="C130">
            <v>67661.398292961749</v>
          </cell>
        </row>
        <row r="131">
          <cell r="A131" t="str">
            <v>V16590</v>
          </cell>
          <cell r="B131" t="str">
            <v>Swimwear</v>
          </cell>
          <cell r="C131">
            <v>69329.189151946499</v>
          </cell>
        </row>
        <row r="132">
          <cell r="A132" t="str">
            <v>V17006</v>
          </cell>
          <cell r="B132" t="str">
            <v>Swimwear</v>
          </cell>
          <cell r="C132">
            <v>51331.838726853624</v>
          </cell>
        </row>
        <row r="133">
          <cell r="A133" t="str">
            <v>V18007</v>
          </cell>
          <cell r="B133" t="str">
            <v>Swimwear</v>
          </cell>
          <cell r="C133">
            <v>35588.961738983853</v>
          </cell>
        </row>
        <row r="134">
          <cell r="A134" t="str">
            <v>15884</v>
          </cell>
          <cell r="B134" t="str">
            <v>Swimwear</v>
          </cell>
          <cell r="C134">
            <v>87957.953124999985</v>
          </cell>
        </row>
        <row r="135">
          <cell r="A135" t="str">
            <v>74V1362</v>
          </cell>
          <cell r="B135" t="str">
            <v>FASHION 573 MINI</v>
          </cell>
          <cell r="C135">
            <v>14575</v>
          </cell>
          <cell r="D135">
            <v>0.96338158503536253</v>
          </cell>
        </row>
        <row r="136">
          <cell r="A136" t="str">
            <v>74V1363</v>
          </cell>
          <cell r="B136" t="str">
            <v>FASHION 574 MINI</v>
          </cell>
          <cell r="C136">
            <v>12449</v>
          </cell>
          <cell r="D136">
            <v>0.82285676515301742</v>
          </cell>
        </row>
        <row r="137">
          <cell r="A137" t="str">
            <v>74V1365</v>
          </cell>
          <cell r="B137" t="str">
            <v>FASHION 576 MINI</v>
          </cell>
          <cell r="C137">
            <v>20031</v>
          </cell>
          <cell r="D137">
            <v>1.3240134840372795</v>
          </cell>
        </row>
        <row r="138">
          <cell r="A138" t="str">
            <v>74V1366</v>
          </cell>
          <cell r="B138" t="str">
            <v>FASHION 577 MINI</v>
          </cell>
          <cell r="C138">
            <v>17168</v>
          </cell>
          <cell r="D138">
            <v>1.134774274572014</v>
          </cell>
        </row>
        <row r="139">
          <cell r="A139" t="str">
            <v>74V1367</v>
          </cell>
          <cell r="B139" t="str">
            <v>FASHION 578 MINI</v>
          </cell>
          <cell r="C139">
            <v>13506</v>
          </cell>
          <cell r="D139">
            <v>0.89272258576244301</v>
          </cell>
        </row>
        <row r="140">
          <cell r="A140" t="str">
            <v>74V1463</v>
          </cell>
          <cell r="B140" t="str">
            <v>FASHION 452 MINI</v>
          </cell>
          <cell r="C140">
            <v>7917</v>
          </cell>
          <cell r="D140">
            <v>0.52329962324013479</v>
          </cell>
        </row>
        <row r="141">
          <cell r="A141" t="str">
            <v>74V1464</v>
          </cell>
          <cell r="B141" t="str">
            <v>FASHION 452 T-BACK</v>
          </cell>
          <cell r="C141">
            <v>7180</v>
          </cell>
          <cell r="D141">
            <v>0.47458523365721461</v>
          </cell>
        </row>
        <row r="142">
          <cell r="A142" t="str">
            <v>74V1364</v>
          </cell>
          <cell r="B142" t="str">
            <v>FASHION 575 MINI</v>
          </cell>
          <cell r="C142">
            <v>10120</v>
          </cell>
          <cell r="D142">
            <v>0.66891400621323283</v>
          </cell>
        </row>
        <row r="143">
          <cell r="A143" t="str">
            <v>74V1368</v>
          </cell>
          <cell r="B143" t="str">
            <v>FASHION 579 MINI</v>
          </cell>
          <cell r="C143">
            <v>18348</v>
          </cell>
          <cell r="D143">
            <v>1.2127701764822527</v>
          </cell>
        </row>
        <row r="144">
          <cell r="A144" t="str">
            <v>74V1213</v>
          </cell>
          <cell r="B144" t="str">
            <v>FASHION 545 LOW WAIST T-BACK</v>
          </cell>
          <cell r="C144">
            <v>17686</v>
          </cell>
          <cell r="D144">
            <v>1.1690131535461696</v>
          </cell>
        </row>
        <row r="145">
          <cell r="A145" t="str">
            <v>74V1206</v>
          </cell>
          <cell r="B145" t="str">
            <v>FASHION 545 LOW WAIST T-BACK</v>
          </cell>
          <cell r="C145">
            <v>16273</v>
          </cell>
          <cell r="D145">
            <v>1.0756163659197568</v>
          </cell>
        </row>
        <row r="146">
          <cell r="A146" t="str">
            <v>74X234</v>
          </cell>
          <cell r="B146" t="str">
            <v>MINI LACE</v>
          </cell>
          <cell r="C146">
            <v>6819</v>
          </cell>
          <cell r="D146">
            <v>0.44799947441035409</v>
          </cell>
        </row>
        <row r="147">
          <cell r="A147" t="str">
            <v>74X234A</v>
          </cell>
          <cell r="B147" t="str">
            <v>MINI LACE</v>
          </cell>
          <cell r="C147">
            <v>6819</v>
          </cell>
          <cell r="D147">
            <v>0.44799947441035409</v>
          </cell>
        </row>
        <row r="148">
          <cell r="A148" t="str">
            <v>16V310</v>
          </cell>
          <cell r="B148" t="str">
            <v>MAXIMIZER 095 MVT</v>
          </cell>
          <cell r="C148">
            <v>48488</v>
          </cell>
          <cell r="D148">
            <v>3.2049705862912288</v>
          </cell>
        </row>
        <row r="149">
          <cell r="A149" t="str">
            <v>16V256</v>
          </cell>
          <cell r="B149" t="str">
            <v>MAXIMIZER 097 MDS</v>
          </cell>
          <cell r="C149">
            <v>42584</v>
          </cell>
          <cell r="D149">
            <v>2.8147266838522045</v>
          </cell>
        </row>
        <row r="150">
          <cell r="A150" t="str">
            <v>26V489</v>
          </cell>
          <cell r="B150" t="str">
            <v>FASHION 540 F</v>
          </cell>
          <cell r="C150">
            <v>72619.199999999997</v>
          </cell>
          <cell r="D150">
            <v>4.8</v>
          </cell>
        </row>
        <row r="151">
          <cell r="A151" t="str">
            <v>74V1203</v>
          </cell>
          <cell r="B151" t="str">
            <v>FASHION 581 TANGA</v>
          </cell>
          <cell r="C151">
            <v>7284</v>
          </cell>
          <cell r="D151">
            <v>0.48145944874082885</v>
          </cell>
        </row>
        <row r="152">
          <cell r="A152" t="str">
            <v>74V1162</v>
          </cell>
          <cell r="B152" t="str">
            <v>FASHION 581 T-BACK</v>
          </cell>
          <cell r="C152">
            <v>7538</v>
          </cell>
          <cell r="D152">
            <v>0.49824839711811753</v>
          </cell>
        </row>
        <row r="153">
          <cell r="A153" t="str">
            <v>74V1167</v>
          </cell>
          <cell r="B153" t="str">
            <v>FASHION 549 LOW WAIST MINI</v>
          </cell>
          <cell r="C153">
            <v>8973</v>
          </cell>
          <cell r="D153">
            <v>0.59309934562760258</v>
          </cell>
        </row>
        <row r="154">
          <cell r="A154" t="str">
            <v>74V1202</v>
          </cell>
          <cell r="B154" t="str">
            <v>FASHION 549 LOW WAIST T-BACK</v>
          </cell>
          <cell r="C154">
            <v>5608</v>
          </cell>
          <cell r="D154">
            <v>0.37067882873950692</v>
          </cell>
        </row>
        <row r="155">
          <cell r="A155" t="str">
            <v>74V1199</v>
          </cell>
          <cell r="B155" t="str">
            <v>FASHION 540 MINI</v>
          </cell>
          <cell r="C155">
            <v>37822.5</v>
          </cell>
          <cell r="D155">
            <v>2.5</v>
          </cell>
        </row>
        <row r="156">
          <cell r="A156" t="str">
            <v>16v099</v>
          </cell>
          <cell r="C156">
            <v>63927.922014388503</v>
          </cell>
          <cell r="D156">
            <v>4.1999817367051113</v>
          </cell>
        </row>
        <row r="157">
          <cell r="A157" t="str">
            <v>17V646</v>
          </cell>
          <cell r="C157">
            <v>36571.951612903227</v>
          </cell>
          <cell r="D157">
            <v>2.4027298871889644</v>
          </cell>
        </row>
        <row r="158">
          <cell r="A158" t="str">
            <v>17V647</v>
          </cell>
          <cell r="C158">
            <v>36209</v>
          </cell>
          <cell r="D158">
            <v>2.3788844359766115</v>
          </cell>
        </row>
        <row r="159">
          <cell r="A159" t="str">
            <v>19V971</v>
          </cell>
          <cell r="C159">
            <v>26752</v>
          </cell>
          <cell r="D159">
            <v>1.7575717758360161</v>
          </cell>
        </row>
        <row r="160">
          <cell r="A160" t="str">
            <v>24V144</v>
          </cell>
          <cell r="C160">
            <v>28763</v>
          </cell>
          <cell r="D160">
            <v>1.8896918730701004</v>
          </cell>
        </row>
        <row r="161">
          <cell r="A161" t="str">
            <v>74V991</v>
          </cell>
          <cell r="C161">
            <v>33283.800000000003</v>
          </cell>
          <cell r="D161">
            <v>2.1867025819591355</v>
          </cell>
        </row>
        <row r="162">
          <cell r="A162" t="str">
            <v>74V992</v>
          </cell>
          <cell r="C162">
            <v>27232.2</v>
          </cell>
          <cell r="D162">
            <v>1.7891202943302018</v>
          </cell>
        </row>
        <row r="163">
          <cell r="A163" t="str">
            <v>74V891</v>
          </cell>
          <cell r="C163">
            <v>9474.8516129032269</v>
          </cell>
          <cell r="D163">
            <v>0.62248548800362835</v>
          </cell>
        </row>
        <row r="164">
          <cell r="A164" t="str">
            <v>Old bargain bra</v>
          </cell>
          <cell r="C164">
            <v>35321.244190319798</v>
          </cell>
          <cell r="D164">
            <v>2.3205600282714536</v>
          </cell>
        </row>
        <row r="165">
          <cell r="A165" t="str">
            <v>new bargain bra</v>
          </cell>
          <cell r="C165">
            <v>40000</v>
          </cell>
          <cell r="D165">
            <v>2.6279482294198804</v>
          </cell>
        </row>
        <row r="166">
          <cell r="A166" t="str">
            <v>Old bargain brief</v>
          </cell>
          <cell r="C166">
            <v>8119.6543276305001</v>
          </cell>
          <cell r="D166">
            <v>0.53345078034495108</v>
          </cell>
        </row>
        <row r="167">
          <cell r="A167" t="str">
            <v>new bargain brief</v>
          </cell>
          <cell r="C167">
            <v>9000</v>
          </cell>
          <cell r="D167">
            <v>0.59128835161947313</v>
          </cell>
        </row>
        <row r="168">
          <cell r="A168" t="str">
            <v>Old bargain swimwear</v>
          </cell>
          <cell r="C168">
            <v>60000</v>
          </cell>
          <cell r="D168">
            <v>3.9419223441298206</v>
          </cell>
        </row>
        <row r="169">
          <cell r="A169" t="str">
            <v>new bargain swimwear</v>
          </cell>
          <cell r="C169">
            <v>50000</v>
          </cell>
          <cell r="D169">
            <v>3.2849352867748505</v>
          </cell>
        </row>
        <row r="170">
          <cell r="A170" t="str">
            <v>5 new styles</v>
          </cell>
          <cell r="C170">
            <v>13000</v>
          </cell>
          <cell r="D170">
            <v>0.8540831745614611</v>
          </cell>
        </row>
        <row r="171">
          <cell r="A171" t="str">
            <v>16V310</v>
          </cell>
          <cell r="B171" t="str">
            <v>MAXIMIZER 095 MVT</v>
          </cell>
          <cell r="C171">
            <v>48488</v>
          </cell>
          <cell r="D171">
            <v>3.1855988437027789</v>
          </cell>
        </row>
        <row r="172">
          <cell r="A172" t="str">
            <v>16V256</v>
          </cell>
          <cell r="B172" t="str">
            <v>MAXIMIZER 097 MDS</v>
          </cell>
          <cell r="C172">
            <v>42584</v>
          </cell>
          <cell r="D172">
            <v>2.7977136850404047</v>
          </cell>
        </row>
        <row r="173">
          <cell r="A173" t="str">
            <v>5 new styles (F/W concept)</v>
          </cell>
          <cell r="C173">
            <v>13000</v>
          </cell>
          <cell r="D173">
            <v>0.8540831745614611</v>
          </cell>
        </row>
        <row r="174">
          <cell r="A174" t="str">
            <v>4 new styles (Cometic alovera)</v>
          </cell>
          <cell r="C174">
            <v>15000</v>
          </cell>
          <cell r="D174">
            <v>0.98548058603245514</v>
          </cell>
        </row>
        <row r="175">
          <cell r="A175" t="str">
            <v>4 new styles (Cream pad)</v>
          </cell>
          <cell r="C175">
            <v>15000</v>
          </cell>
          <cell r="D175">
            <v>0.98548058603245514</v>
          </cell>
        </row>
        <row r="176">
          <cell r="A176" t="str">
            <v>4 new styles (Cometic seacell)</v>
          </cell>
          <cell r="C176">
            <v>15000</v>
          </cell>
          <cell r="D176">
            <v>0.98548058603245514</v>
          </cell>
        </row>
        <row r="177">
          <cell r="A177" t="str">
            <v>4 new styles Cosmatic (alovera)</v>
          </cell>
          <cell r="C177">
            <v>55000</v>
          </cell>
          <cell r="D177">
            <v>3.6134288154523357</v>
          </cell>
        </row>
        <row r="178">
          <cell r="A178" t="str">
            <v>4 new styles Cream pad</v>
          </cell>
          <cell r="C178">
            <v>55000</v>
          </cell>
          <cell r="D178">
            <v>3.6134288154523357</v>
          </cell>
        </row>
        <row r="179">
          <cell r="A179" t="str">
            <v>4 new styles Cosmatic (seacell)</v>
          </cell>
          <cell r="C179">
            <v>55000</v>
          </cell>
          <cell r="D179">
            <v>3.6134288154523357</v>
          </cell>
        </row>
        <row r="180">
          <cell r="A180" t="str">
            <v>5 new bra styles (F/W concept)</v>
          </cell>
          <cell r="C180">
            <v>37000</v>
          </cell>
          <cell r="D180">
            <v>2.4308521122133895</v>
          </cell>
        </row>
        <row r="181">
          <cell r="A181" t="str">
            <v>old swimwear</v>
          </cell>
          <cell r="D181">
            <v>5</v>
          </cell>
        </row>
        <row r="182">
          <cell r="A182" t="str">
            <v>new swimwear</v>
          </cell>
          <cell r="D182">
            <v>4</v>
          </cell>
        </row>
        <row r="183">
          <cell r="A183" t="str">
            <v>8 new styles (trendy)</v>
          </cell>
          <cell r="C183">
            <v>9437.02</v>
          </cell>
          <cell r="D183">
            <v>0.62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REQUEST- WPP"/>
      <sheetName val="PHIEU DE NGHI THANH TOAN"/>
      <sheetName val="DOCUMENT SENDING"/>
      <sheetName val="CONTRACTS 2004"/>
      <sheetName val="BRAND"/>
      <sheetName val="Rate-card-03"/>
      <sheetName val="Rate-Card-04"/>
      <sheetName val="Contract Form (3)"/>
      <sheetName val="Hop dong TTVH"/>
      <sheetName val="CASH REQUEST- CTT"/>
      <sheetName val="SUPPLIER"/>
      <sheetName val="TRANSLATE VND"/>
      <sheetName val="Rate_Card_04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6">
          <cell r="B6" t="str">
            <v>Listerine</v>
          </cell>
          <cell r="C6" t="str">
            <v>CTT</v>
          </cell>
          <cell r="D6" t="str">
            <v>CTT</v>
          </cell>
          <cell r="E6" t="str">
            <v>Phan Minh Uyen</v>
          </cell>
          <cell r="F6" t="str">
            <v>Other</v>
          </cell>
        </row>
        <row r="7">
          <cell r="B7" t="str">
            <v>Ford Coporate</v>
          </cell>
          <cell r="C7" t="str">
            <v>FORD</v>
          </cell>
          <cell r="D7" t="str">
            <v>FORD</v>
          </cell>
          <cell r="E7" t="str">
            <v>Huynh Thanh Dao</v>
          </cell>
          <cell r="F7" t="str">
            <v>FORD</v>
          </cell>
        </row>
        <row r="8">
          <cell r="B8" t="str">
            <v>Ford Transit</v>
          </cell>
          <cell r="C8" t="str">
            <v>FORD</v>
          </cell>
          <cell r="D8" t="str">
            <v>FORD</v>
          </cell>
          <cell r="E8" t="str">
            <v>Huynh Thanh Dao</v>
          </cell>
          <cell r="F8" t="str">
            <v>FORD</v>
          </cell>
        </row>
        <row r="9">
          <cell r="B9" t="str">
            <v>BP Consumer</v>
          </cell>
          <cell r="C9" t="str">
            <v>WPP</v>
          </cell>
          <cell r="D9" t="str">
            <v>CTT</v>
          </cell>
          <cell r="E9" t="str">
            <v>Huynh Thanh Dao</v>
          </cell>
          <cell r="F9" t="str">
            <v>Other</v>
          </cell>
        </row>
        <row r="10">
          <cell r="B10" t="str">
            <v>BP Venalus</v>
          </cell>
          <cell r="C10" t="str">
            <v>WPP</v>
          </cell>
          <cell r="D10" t="str">
            <v>CTT</v>
          </cell>
          <cell r="E10" t="str">
            <v>Huynh Thanh Dao</v>
          </cell>
          <cell r="F10" t="str">
            <v>Other</v>
          </cell>
        </row>
        <row r="11">
          <cell r="B11" t="str">
            <v>BP Vistra</v>
          </cell>
          <cell r="C11" t="str">
            <v>WPP</v>
          </cell>
          <cell r="D11" t="str">
            <v>CTT</v>
          </cell>
          <cell r="E11" t="str">
            <v>Huynh Thanh Dao</v>
          </cell>
          <cell r="F11" t="str">
            <v>Other</v>
          </cell>
        </row>
        <row r="12">
          <cell r="B12" t="str">
            <v>Castrol</v>
          </cell>
          <cell r="C12" t="str">
            <v>WPP</v>
          </cell>
          <cell r="D12" t="str">
            <v>CTT</v>
          </cell>
          <cell r="E12" t="str">
            <v>Huynh Thanh Dao</v>
          </cell>
          <cell r="F12" t="str">
            <v>Other</v>
          </cell>
        </row>
        <row r="13">
          <cell r="B13" t="str">
            <v>DHL</v>
          </cell>
          <cell r="C13" t="str">
            <v>WPP</v>
          </cell>
          <cell r="D13" t="str">
            <v>CTT</v>
          </cell>
          <cell r="E13" t="str">
            <v>Phan Minh Uyen</v>
          </cell>
          <cell r="F13" t="str">
            <v>Other</v>
          </cell>
        </row>
        <row r="14">
          <cell r="B14" t="str">
            <v>DL 123</v>
          </cell>
          <cell r="C14" t="str">
            <v>WPP</v>
          </cell>
          <cell r="D14" t="str">
            <v>CTT</v>
          </cell>
          <cell r="E14" t="str">
            <v>Huynh Thanh Dao</v>
          </cell>
          <cell r="F14" t="str">
            <v>DL</v>
          </cell>
        </row>
        <row r="15">
          <cell r="B15" t="str">
            <v>DL Friso</v>
          </cell>
          <cell r="C15" t="str">
            <v>WPP</v>
          </cell>
          <cell r="D15" t="str">
            <v>CTT</v>
          </cell>
          <cell r="E15" t="str">
            <v>Huynh Thanh Dao</v>
          </cell>
          <cell r="F15" t="str">
            <v>DL</v>
          </cell>
        </row>
        <row r="16">
          <cell r="B16" t="str">
            <v>DL Mainstream</v>
          </cell>
          <cell r="C16" t="str">
            <v>WPP</v>
          </cell>
          <cell r="D16" t="str">
            <v>CTT</v>
          </cell>
          <cell r="E16" t="str">
            <v>Huynh Thanh Dao</v>
          </cell>
          <cell r="F16" t="str">
            <v>DL</v>
          </cell>
        </row>
        <row r="17">
          <cell r="B17" t="str">
            <v>DL Power</v>
          </cell>
          <cell r="C17" t="str">
            <v>WPP</v>
          </cell>
          <cell r="D17" t="str">
            <v>CTT</v>
          </cell>
          <cell r="E17" t="str">
            <v>Huynh Thanh Dao</v>
          </cell>
          <cell r="F17" t="str">
            <v>DL</v>
          </cell>
        </row>
        <row r="18">
          <cell r="B18" t="str">
            <v>DL SCM</v>
          </cell>
          <cell r="C18" t="str">
            <v>WPP</v>
          </cell>
          <cell r="D18" t="str">
            <v>CTT</v>
          </cell>
          <cell r="E18" t="str">
            <v>Huynh Thanh Dao</v>
          </cell>
          <cell r="F18" t="str">
            <v>DL</v>
          </cell>
        </row>
        <row r="19">
          <cell r="B19" t="str">
            <v>Huggies</v>
          </cell>
          <cell r="C19" t="str">
            <v>WPP</v>
          </cell>
          <cell r="D19" t="str">
            <v>CTT</v>
          </cell>
          <cell r="E19" t="str">
            <v>Huynh Thanh Dao</v>
          </cell>
          <cell r="F19" t="str">
            <v>KC</v>
          </cell>
        </row>
        <row r="20">
          <cell r="B20" t="str">
            <v>IBM</v>
          </cell>
          <cell r="C20" t="str">
            <v>WPP</v>
          </cell>
          <cell r="D20" t="str">
            <v>CTT</v>
          </cell>
          <cell r="E20" t="str">
            <v>Phan Minh Uyen</v>
          </cell>
          <cell r="F20" t="str">
            <v>Other</v>
          </cell>
        </row>
        <row r="21">
          <cell r="B21" t="str">
            <v>Kleenex</v>
          </cell>
          <cell r="C21" t="str">
            <v>WPP</v>
          </cell>
          <cell r="D21" t="str">
            <v>CTT</v>
          </cell>
          <cell r="E21" t="str">
            <v>Huynh Thanh Dao</v>
          </cell>
          <cell r="F21" t="str">
            <v>KC</v>
          </cell>
        </row>
        <row r="22">
          <cell r="B22" t="str">
            <v>Kodak</v>
          </cell>
          <cell r="C22" t="str">
            <v>WPP</v>
          </cell>
          <cell r="D22" t="str">
            <v>CTT</v>
          </cell>
          <cell r="E22" t="str">
            <v>Phan Minh Uyen</v>
          </cell>
          <cell r="F22" t="str">
            <v>Other</v>
          </cell>
        </row>
        <row r="23">
          <cell r="B23" t="str">
            <v>Kotex</v>
          </cell>
          <cell r="C23" t="str">
            <v>WPP</v>
          </cell>
          <cell r="D23" t="str">
            <v>CTT</v>
          </cell>
          <cell r="E23" t="str">
            <v>Huynh Thanh Dao</v>
          </cell>
          <cell r="F23" t="str">
            <v>KC</v>
          </cell>
        </row>
        <row r="24">
          <cell r="B24" t="str">
            <v>Lavie</v>
          </cell>
          <cell r="C24" t="str">
            <v>WPP</v>
          </cell>
          <cell r="D24" t="str">
            <v>CTT</v>
          </cell>
          <cell r="E24" t="str">
            <v>Phan Minh Uyen</v>
          </cell>
          <cell r="F24" t="str">
            <v>Other</v>
          </cell>
        </row>
        <row r="25">
          <cell r="B25" t="str">
            <v>Number 1</v>
          </cell>
          <cell r="C25" t="str">
            <v>WPP</v>
          </cell>
          <cell r="D25" t="str">
            <v>CTT</v>
          </cell>
          <cell r="E25" t="str">
            <v>Phan Minh Uyen</v>
          </cell>
          <cell r="F25" t="str">
            <v>Other</v>
          </cell>
        </row>
        <row r="26">
          <cell r="B26" t="str">
            <v>Oral B</v>
          </cell>
          <cell r="C26" t="str">
            <v>WPP</v>
          </cell>
          <cell r="D26" t="str">
            <v>CTT</v>
          </cell>
          <cell r="E26" t="str">
            <v>Phan Minh Uyen</v>
          </cell>
          <cell r="F26" t="str">
            <v>Other</v>
          </cell>
        </row>
        <row r="27">
          <cell r="B27" t="str">
            <v>Vedan</v>
          </cell>
          <cell r="C27" t="str">
            <v>WPP</v>
          </cell>
          <cell r="D27" t="str">
            <v>CTT</v>
          </cell>
          <cell r="E27" t="str">
            <v>Phan Minh Uyen</v>
          </cell>
          <cell r="F27" t="str">
            <v>Other</v>
          </cell>
        </row>
        <row r="28">
          <cell r="B28" t="str">
            <v>Yomost</v>
          </cell>
          <cell r="C28" t="str">
            <v>WPP</v>
          </cell>
          <cell r="D28" t="str">
            <v>CTT</v>
          </cell>
          <cell r="E28" t="str">
            <v>Phan Minh Uyen</v>
          </cell>
          <cell r="F28" t="str">
            <v>DL</v>
          </cell>
        </row>
        <row r="29">
          <cell r="B29" t="str">
            <v>All</v>
          </cell>
          <cell r="C29" t="str">
            <v>WPP</v>
          </cell>
          <cell r="D29" t="str">
            <v>CTT</v>
          </cell>
          <cell r="F29" t="str">
            <v>Other</v>
          </cell>
        </row>
        <row r="30">
          <cell r="B30" t="str">
            <v>DL Vitality</v>
          </cell>
          <cell r="C30" t="str">
            <v>WPP</v>
          </cell>
          <cell r="D30" t="str">
            <v>CTT</v>
          </cell>
          <cell r="E30" t="str">
            <v>Huynh Thanh Dao</v>
          </cell>
          <cell r="F30" t="str">
            <v>DL</v>
          </cell>
        </row>
        <row r="31">
          <cell r="B31" t="str">
            <v>Berocca</v>
          </cell>
          <cell r="C31" t="str">
            <v>WPP</v>
          </cell>
          <cell r="D31" t="str">
            <v>CTT</v>
          </cell>
          <cell r="E31" t="str">
            <v>Huynh Thanh Dao</v>
          </cell>
          <cell r="F31" t="str">
            <v>Other</v>
          </cell>
        </row>
        <row r="32">
          <cell r="B32" t="str">
            <v>DL Coporate</v>
          </cell>
          <cell r="C32" t="str">
            <v>WPP</v>
          </cell>
          <cell r="D32" t="str">
            <v>CTT</v>
          </cell>
          <cell r="E32" t="str">
            <v>Huynh Thanh Dao</v>
          </cell>
          <cell r="F32" t="str">
            <v>DL</v>
          </cell>
        </row>
        <row r="33">
          <cell r="B33" t="str">
            <v>Hi Potential</v>
          </cell>
          <cell r="C33" t="str">
            <v>WPP</v>
          </cell>
          <cell r="D33" t="str">
            <v>CTT</v>
          </cell>
          <cell r="E33" t="str">
            <v>Huynh Thanh Dao</v>
          </cell>
          <cell r="F33" t="str">
            <v>OtherNN (-HNM)</v>
          </cell>
        </row>
        <row r="34">
          <cell r="B34" t="str">
            <v>Bepanthen Ointment</v>
          </cell>
          <cell r="C34" t="str">
            <v>WPP</v>
          </cell>
          <cell r="D34" t="str">
            <v>CTT</v>
          </cell>
          <cell r="E34" t="str">
            <v>Phan Minh Uyen</v>
          </cell>
          <cell r="F34" t="str">
            <v>OtherNN</v>
          </cell>
        </row>
        <row r="35">
          <cell r="B35" t="str">
            <v>Bepanthen Biotine</v>
          </cell>
          <cell r="C35" t="str">
            <v>WPP</v>
          </cell>
          <cell r="D35" t="str">
            <v>CTT</v>
          </cell>
          <cell r="E35" t="str">
            <v>Phan Minh Uyen</v>
          </cell>
          <cell r="F35" t="str">
            <v>OtherNN</v>
          </cell>
        </row>
        <row r="36">
          <cell r="B36" t="str">
            <v>Motorola</v>
          </cell>
          <cell r="C36" t="str">
            <v>WPP</v>
          </cell>
          <cell r="D36" t="str">
            <v>CTT</v>
          </cell>
          <cell r="E36" t="str">
            <v>Phan Minh Uyen</v>
          </cell>
        </row>
        <row r="37">
          <cell r="B37" t="str">
            <v>Appeton Weight Gain</v>
          </cell>
          <cell r="C37" t="str">
            <v>WPP</v>
          </cell>
          <cell r="D37" t="str">
            <v>CTT</v>
          </cell>
          <cell r="E37" t="str">
            <v>Phan Minh Uyen</v>
          </cell>
        </row>
        <row r="38">
          <cell r="B38" t="str">
            <v>Appeton Taurine</v>
          </cell>
          <cell r="C38" t="str">
            <v>WPP</v>
          </cell>
          <cell r="D38" t="str">
            <v>CTT</v>
          </cell>
          <cell r="E38" t="str">
            <v>Phan Minh Uyen</v>
          </cell>
        </row>
        <row r="39">
          <cell r="B39" t="str">
            <v>DL 456</v>
          </cell>
          <cell r="C39" t="str">
            <v>WPP</v>
          </cell>
          <cell r="D39" t="str">
            <v>CTT</v>
          </cell>
          <cell r="E39" t="str">
            <v>Huynh Thanh Dao</v>
          </cell>
          <cell r="F39" t="str">
            <v>DL</v>
          </cell>
        </row>
        <row r="40">
          <cell r="B40" t="str">
            <v>Ford Roadshow</v>
          </cell>
          <cell r="C40" t="str">
            <v>FORD</v>
          </cell>
          <cell r="D40" t="str">
            <v>FORD</v>
          </cell>
          <cell r="E40" t="str">
            <v>Huynh Thanh Dao</v>
          </cell>
          <cell r="F40" t="str">
            <v>FORD</v>
          </cell>
        </row>
        <row r="41">
          <cell r="B41" t="str">
            <v>Bia Ben Thanh</v>
          </cell>
          <cell r="C41" t="str">
            <v>WPP</v>
          </cell>
          <cell r="D41" t="str">
            <v>CTT</v>
          </cell>
          <cell r="E41" t="str">
            <v>Phan Minh Uyen</v>
          </cell>
        </row>
        <row r="42">
          <cell r="B42" t="str">
            <v>Dumex</v>
          </cell>
          <cell r="C42" t="str">
            <v>WPP</v>
          </cell>
          <cell r="D42" t="str">
            <v>CTT</v>
          </cell>
          <cell r="E42" t="str">
            <v>Phan Minh Uyen</v>
          </cell>
        </row>
        <row r="43">
          <cell r="B43" t="str">
            <v>DL 123456</v>
          </cell>
          <cell r="C43" t="str">
            <v>WPP</v>
          </cell>
          <cell r="D43" t="str">
            <v>CTT</v>
          </cell>
          <cell r="E43" t="str">
            <v>Huynh Thanh Dao</v>
          </cell>
        </row>
        <row r="44">
          <cell r="B44" t="str">
            <v>OK</v>
          </cell>
          <cell r="C44" t="str">
            <v>WPP</v>
          </cell>
          <cell r="D44" t="str">
            <v>CTT</v>
          </cell>
          <cell r="E44" t="str">
            <v>Phan Minh Uyen</v>
          </cell>
        </row>
        <row r="45">
          <cell r="B45" t="str">
            <v>Cal D Vita</v>
          </cell>
          <cell r="C45" t="str">
            <v>WPP</v>
          </cell>
          <cell r="D45" t="str">
            <v>CTT</v>
          </cell>
          <cell r="E45" t="str">
            <v>Phan Minh Uyen</v>
          </cell>
        </row>
        <row r="46">
          <cell r="D46">
            <v>0</v>
          </cell>
        </row>
        <row r="47">
          <cell r="D47">
            <v>0</v>
          </cell>
        </row>
        <row r="48">
          <cell r="D48">
            <v>0</v>
          </cell>
        </row>
        <row r="49">
          <cell r="D49">
            <v>0</v>
          </cell>
        </row>
        <row r="50">
          <cell r="D50">
            <v>0</v>
          </cell>
        </row>
        <row r="51">
          <cell r="D51">
            <v>0</v>
          </cell>
        </row>
        <row r="52">
          <cell r="D52">
            <v>0</v>
          </cell>
        </row>
      </sheetData>
      <sheetData sheetId="5" refreshError="1"/>
      <sheetData sheetId="6" refreshError="1">
        <row r="5">
          <cell r="F5" t="str">
            <v>FPFCInside</v>
          </cell>
          <cell r="G5" t="str">
            <v>FPFCFirst</v>
          </cell>
          <cell r="H5" t="str">
            <v>FPFCCover 2</v>
          </cell>
          <cell r="I5" t="str">
            <v>FPFCCover 3</v>
          </cell>
          <cell r="J5" t="str">
            <v>FPFCCover 4</v>
          </cell>
          <cell r="K5" t="str">
            <v>FPFCLast</v>
          </cell>
          <cell r="L5" t="str">
            <v>JPFCFirst</v>
          </cell>
          <cell r="M5" t="str">
            <v>JPFCInside</v>
          </cell>
          <cell r="N5" t="str">
            <v>VPFCInside</v>
          </cell>
          <cell r="O5" t="str">
            <v>HPFCFirst</v>
          </cell>
          <cell r="P5" t="str">
            <v>HPFCInside</v>
          </cell>
          <cell r="Q5" t="str">
            <v>VQPFCInside</v>
          </cell>
          <cell r="R5" t="str">
            <v>HQPFCInside</v>
          </cell>
          <cell r="S5" t="str">
            <v>DPFCInside</v>
          </cell>
          <cell r="T5" t="str">
            <v>FPBWInside</v>
          </cell>
          <cell r="U5" t="str">
            <v>2/3PFCInside</v>
          </cell>
          <cell r="V5" t="str">
            <v>2/3PFCCon</v>
          </cell>
        </row>
        <row r="6">
          <cell r="B6">
            <v>1</v>
          </cell>
          <cell r="F6" t="str">
            <v>Nguyeân trang trong</v>
          </cell>
          <cell r="G6" t="str">
            <v>Trang bìa 1</v>
          </cell>
          <cell r="H6" t="str">
            <v>Trang bìa 2</v>
          </cell>
          <cell r="I6" t="str">
            <v>Trang bìa 3</v>
          </cell>
          <cell r="J6" t="str">
            <v>Trang bìa 4</v>
          </cell>
          <cell r="K6" t="str">
            <v>Trang cuoái</v>
          </cell>
          <cell r="N6" t="str">
            <v>1/2 trang ñöùng</v>
          </cell>
          <cell r="O6" t="str">
            <v>1/2 bìa 1 ngang</v>
          </cell>
          <cell r="P6" t="str">
            <v>1/2 trang ngang</v>
          </cell>
          <cell r="Q6" t="str">
            <v>1/4 trang ñöùng</v>
          </cell>
          <cell r="R6" t="str">
            <v>1/4 trang ngang</v>
          </cell>
          <cell r="S6" t="str">
            <v>Trang trong ñoâi</v>
          </cell>
          <cell r="T6" t="str">
            <v>Nguyeân trang trong</v>
          </cell>
          <cell r="U6" t="str">
            <v>2/3 trang trong</v>
          </cell>
          <cell r="V6" t="str">
            <v>2/3 trang trong</v>
          </cell>
          <cell r="W6" t="str">
            <v>2/3 trang trong</v>
          </cell>
          <cell r="X6" t="str">
            <v>DL</v>
          </cell>
          <cell r="Z6" t="str">
            <v>KC</v>
          </cell>
          <cell r="AB6" t="str">
            <v>Berocca</v>
          </cell>
          <cell r="AD6" t="str">
            <v>Ford</v>
          </cell>
          <cell r="AF6" t="str">
            <v>Other</v>
          </cell>
          <cell r="AH6" t="str">
            <v>LTC</v>
          </cell>
          <cell r="AJ6" t="str">
            <v>Tel</v>
          </cell>
          <cell r="AK6" t="str">
            <v>Fax</v>
          </cell>
          <cell r="AL6" t="str">
            <v>Add</v>
          </cell>
          <cell r="AM6" t="str">
            <v>Name</v>
          </cell>
          <cell r="AN6" t="str">
            <v>Mobile</v>
          </cell>
          <cell r="AO6" t="str">
            <v>Type</v>
          </cell>
          <cell r="AP6" t="str">
            <v>Tax Code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5</v>
          </cell>
          <cell r="F7">
            <v>6</v>
          </cell>
          <cell r="G7">
            <v>7</v>
          </cell>
          <cell r="H7">
            <v>8</v>
          </cell>
          <cell r="I7">
            <v>9</v>
          </cell>
          <cell r="J7">
            <v>10</v>
          </cell>
          <cell r="K7">
            <v>11</v>
          </cell>
          <cell r="L7">
            <v>12</v>
          </cell>
          <cell r="M7">
            <v>13</v>
          </cell>
          <cell r="N7">
            <v>14</v>
          </cell>
          <cell r="O7">
            <v>15</v>
          </cell>
          <cell r="P7">
            <v>16</v>
          </cell>
          <cell r="Q7">
            <v>17</v>
          </cell>
          <cell r="R7">
            <v>18</v>
          </cell>
          <cell r="S7">
            <v>19</v>
          </cell>
          <cell r="T7">
            <v>20</v>
          </cell>
          <cell r="U7">
            <v>21</v>
          </cell>
          <cell r="V7">
            <v>22</v>
          </cell>
          <cell r="W7">
            <v>23</v>
          </cell>
          <cell r="X7">
            <v>24</v>
          </cell>
          <cell r="Y7">
            <v>25</v>
          </cell>
          <cell r="Z7">
            <v>26</v>
          </cell>
          <cell r="AA7">
            <v>27</v>
          </cell>
          <cell r="AB7">
            <v>28</v>
          </cell>
          <cell r="AC7">
            <v>29</v>
          </cell>
          <cell r="AD7">
            <v>30</v>
          </cell>
          <cell r="AE7">
            <v>31</v>
          </cell>
          <cell r="AF7">
            <v>32</v>
          </cell>
          <cell r="AG7">
            <v>33</v>
          </cell>
          <cell r="AH7">
            <v>34</v>
          </cell>
          <cell r="AI7">
            <v>35</v>
          </cell>
          <cell r="AJ7">
            <v>36</v>
          </cell>
          <cell r="AK7">
            <v>37</v>
          </cell>
          <cell r="AL7">
            <v>38</v>
          </cell>
          <cell r="AM7">
            <v>39</v>
          </cell>
          <cell r="AN7">
            <v>40</v>
          </cell>
          <cell r="AO7">
            <v>41</v>
          </cell>
          <cell r="AP7">
            <v>42</v>
          </cell>
        </row>
        <row r="8">
          <cell r="A8" t="str">
            <v>THTC</v>
          </cell>
          <cell r="B8">
            <v>3</v>
          </cell>
          <cell r="C8" t="str">
            <v>Taïp chí Tin Hoïc Taøi Chính</v>
          </cell>
          <cell r="D8" t="str">
            <v>Ban QLÖD Tin Hoïc- Boä Taøi Chính</v>
          </cell>
          <cell r="E8" t="str">
            <v>TIN HOC TAI CHINH</v>
          </cell>
          <cell r="F8">
            <v>1100</v>
          </cell>
          <cell r="H8">
            <v>13200.000000000002</v>
          </cell>
          <cell r="I8">
            <v>13200.000000000002</v>
          </cell>
          <cell r="J8">
            <v>16500</v>
          </cell>
          <cell r="T8">
            <v>8800</v>
          </cell>
          <cell r="AO8" t="str">
            <v>MO</v>
          </cell>
        </row>
        <row r="9">
          <cell r="A9" t="str">
            <v>KQD</v>
          </cell>
          <cell r="B9">
            <v>4</v>
          </cell>
          <cell r="C9" t="str">
            <v>Baùo Khaên Quaøng Ñoû</v>
          </cell>
          <cell r="D9" t="str">
            <v>Baùo Khaên Quaøng Ñoû</v>
          </cell>
          <cell r="E9" t="str">
            <v>KHAN QUANG DO</v>
          </cell>
          <cell r="F9">
            <v>7150.0000000000009</v>
          </cell>
          <cell r="X9">
            <v>0.05</v>
          </cell>
          <cell r="Z9">
            <v>0.05</v>
          </cell>
          <cell r="AB9">
            <v>0.05</v>
          </cell>
          <cell r="AD9">
            <v>0.05</v>
          </cell>
          <cell r="AF9">
            <v>0.05</v>
          </cell>
          <cell r="AJ9" t="str">
            <v>822 7369</v>
          </cell>
          <cell r="AK9" t="str">
            <v>822 5437</v>
          </cell>
          <cell r="AL9" t="str">
            <v>12 Pham Ngoc Thach, Q.3, Tp.HCM</v>
          </cell>
          <cell r="AM9" t="str">
            <v>anh Duy</v>
          </cell>
          <cell r="AN9" t="str">
            <v>0903 980879</v>
          </cell>
          <cell r="AO9" t="str">
            <v>MO</v>
          </cell>
          <cell r="AP9" t="str">
            <v>030 146 5150- 1</v>
          </cell>
        </row>
        <row r="10">
          <cell r="A10" t="str">
            <v>MT</v>
          </cell>
          <cell r="B10">
            <v>5</v>
          </cell>
          <cell r="C10" t="str">
            <v>Baùo Möïc Tím</v>
          </cell>
          <cell r="D10" t="str">
            <v>Baùo Khaên Quaøng Ñoû</v>
          </cell>
          <cell r="E10" t="str">
            <v>KQD- MUC TIM</v>
          </cell>
          <cell r="F10">
            <v>11550.000000000002</v>
          </cell>
          <cell r="I10">
            <v>12650.000000000002</v>
          </cell>
          <cell r="J10">
            <v>15950.000000000002</v>
          </cell>
          <cell r="P10">
            <v>6352.5000000000009</v>
          </cell>
          <cell r="T10">
            <v>4950</v>
          </cell>
          <cell r="X10">
            <v>0.05</v>
          </cell>
          <cell r="Z10">
            <v>0.05</v>
          </cell>
          <cell r="AB10">
            <v>0.05</v>
          </cell>
          <cell r="AD10">
            <v>0.05</v>
          </cell>
          <cell r="AF10">
            <v>0.05</v>
          </cell>
          <cell r="AJ10" t="str">
            <v>822 7369</v>
          </cell>
          <cell r="AK10" t="str">
            <v>822 5437</v>
          </cell>
          <cell r="AL10" t="str">
            <v>12 Pham Ngoc Thach, Q.3, Tp.HCM</v>
          </cell>
          <cell r="AM10" t="str">
            <v>anh Duy</v>
          </cell>
          <cell r="AN10" t="str">
            <v>0903 980879</v>
          </cell>
          <cell r="AO10" t="str">
            <v>MO</v>
          </cell>
          <cell r="AP10" t="str">
            <v>030 146 5150- 1</v>
          </cell>
        </row>
        <row r="11">
          <cell r="A11" t="str">
            <v>NDG</v>
          </cell>
          <cell r="B11">
            <v>6</v>
          </cell>
          <cell r="C11" t="str">
            <v>Baùo Nhi Ñoàng</v>
          </cell>
          <cell r="D11" t="str">
            <v>Baùo Khaên Quaøng Ñoû</v>
          </cell>
          <cell r="E11" t="str">
            <v>KQD- NHI DONG</v>
          </cell>
          <cell r="X11">
            <v>0.05</v>
          </cell>
          <cell r="Z11">
            <v>0.05</v>
          </cell>
          <cell r="AB11">
            <v>0.05</v>
          </cell>
          <cell r="AD11">
            <v>0.05</v>
          </cell>
          <cell r="AF11">
            <v>0.05</v>
          </cell>
          <cell r="AJ11" t="str">
            <v>822 7369</v>
          </cell>
          <cell r="AK11" t="str">
            <v>822 5437</v>
          </cell>
          <cell r="AL11" t="str">
            <v>12 Pham Ngoc Thach, Q.3, Tp.HCM</v>
          </cell>
          <cell r="AM11" t="str">
            <v>anh Duy</v>
          </cell>
          <cell r="AN11" t="str">
            <v>0903 980879</v>
          </cell>
          <cell r="AO11" t="str">
            <v>MO</v>
          </cell>
          <cell r="AP11" t="str">
            <v>030 146 5150- 1</v>
          </cell>
        </row>
        <row r="12">
          <cell r="A12" t="str">
            <v>PNTPNN</v>
          </cell>
          <cell r="B12">
            <v>7</v>
          </cell>
          <cell r="C12" t="str">
            <v>Baùo Phuï Nöõ Tp. HCM</v>
          </cell>
          <cell r="D12" t="str">
            <v>Baùo Phuï Nöõ Tp. HCM</v>
          </cell>
          <cell r="E12" t="str">
            <v>PHU NU TP</v>
          </cell>
          <cell r="F12">
            <v>17600</v>
          </cell>
          <cell r="G12">
            <v>21120</v>
          </cell>
          <cell r="J12">
            <v>18700</v>
          </cell>
          <cell r="M12">
            <v>10560</v>
          </cell>
          <cell r="P12">
            <v>8800</v>
          </cell>
          <cell r="R12">
            <v>5060</v>
          </cell>
          <cell r="T12">
            <v>12100</v>
          </cell>
          <cell r="X12">
            <v>0.15</v>
          </cell>
          <cell r="Z12">
            <v>0.15</v>
          </cell>
          <cell r="AB12">
            <v>0.15</v>
          </cell>
          <cell r="AD12">
            <v>0.15</v>
          </cell>
          <cell r="AF12">
            <v>0.15</v>
          </cell>
          <cell r="AJ12" t="str">
            <v>846 8715</v>
          </cell>
          <cell r="AK12" t="str">
            <v>921 6723</v>
          </cell>
          <cell r="AL12" t="str">
            <v>188 Ly Chinh Thang, q3, HCM</v>
          </cell>
          <cell r="AM12" t="str">
            <v>chò Ngoïc Lan</v>
          </cell>
          <cell r="AN12" t="str">
            <v>0903 773206</v>
          </cell>
          <cell r="AO12" t="str">
            <v>MO</v>
          </cell>
          <cell r="AP12" t="str">
            <v>030 146 3890- 1</v>
          </cell>
        </row>
        <row r="13">
          <cell r="A13" t="str">
            <v>PNTP</v>
          </cell>
          <cell r="B13">
            <v>8</v>
          </cell>
          <cell r="C13" t="str">
            <v>Baùo Phuï Nöõ Tp. HCM</v>
          </cell>
          <cell r="D13" t="str">
            <v>Baùo Phuï Nöõ Tp. HCM</v>
          </cell>
          <cell r="E13" t="str">
            <v>PHU NU TP</v>
          </cell>
          <cell r="F13">
            <v>14300</v>
          </cell>
          <cell r="J13">
            <v>15400</v>
          </cell>
          <cell r="M13">
            <v>8580</v>
          </cell>
          <cell r="P13">
            <v>7150</v>
          </cell>
          <cell r="R13">
            <v>3960</v>
          </cell>
          <cell r="T13">
            <v>9900</v>
          </cell>
          <cell r="X13">
            <v>0.15</v>
          </cell>
          <cell r="Z13">
            <v>0.15</v>
          </cell>
          <cell r="AB13">
            <v>0.15</v>
          </cell>
          <cell r="AD13">
            <v>0.15</v>
          </cell>
          <cell r="AF13">
            <v>0.15</v>
          </cell>
          <cell r="AJ13" t="str">
            <v>846 8715</v>
          </cell>
          <cell r="AK13" t="str">
            <v>921 6723</v>
          </cell>
          <cell r="AL13" t="str">
            <v>188 Ly Chinh Thang, q3, HCM</v>
          </cell>
          <cell r="AM13" t="str">
            <v>chò Ngoïc Lan</v>
          </cell>
          <cell r="AN13" t="str">
            <v>0903 773206</v>
          </cell>
          <cell r="AO13" t="str">
            <v>MO</v>
          </cell>
          <cell r="AP13" t="str">
            <v>030 146 3890- 1</v>
          </cell>
        </row>
        <row r="14">
          <cell r="A14" t="str">
            <v>PNTPW</v>
          </cell>
          <cell r="B14">
            <v>9</v>
          </cell>
          <cell r="C14" t="str">
            <v>Baùo Phuï Nöõ Chuû Nhaät</v>
          </cell>
          <cell r="D14" t="str">
            <v>Baùo Phuï Nöõ Tp. HCM</v>
          </cell>
          <cell r="E14" t="str">
            <v>PHU NU TP</v>
          </cell>
          <cell r="F14">
            <v>9900</v>
          </cell>
          <cell r="H14">
            <v>12100</v>
          </cell>
          <cell r="I14">
            <v>12100</v>
          </cell>
          <cell r="J14">
            <v>13750</v>
          </cell>
          <cell r="P14">
            <v>4950</v>
          </cell>
          <cell r="X14">
            <v>0.15</v>
          </cell>
          <cell r="Z14">
            <v>0.15</v>
          </cell>
          <cell r="AB14">
            <v>0.15</v>
          </cell>
          <cell r="AD14">
            <v>0.15</v>
          </cell>
          <cell r="AF14">
            <v>0.15</v>
          </cell>
          <cell r="AJ14" t="str">
            <v>846 8715</v>
          </cell>
          <cell r="AK14" t="str">
            <v>921 6723</v>
          </cell>
          <cell r="AL14" t="str">
            <v>188 Ly Chinh Thang, q3, HCM</v>
          </cell>
          <cell r="AM14" t="str">
            <v>chò Ngoïc Lan</v>
          </cell>
          <cell r="AN14" t="str">
            <v>0903 773206</v>
          </cell>
          <cell r="AO14" t="str">
            <v>MO</v>
          </cell>
          <cell r="AP14" t="str">
            <v>030 146 3890- 1</v>
          </cell>
        </row>
        <row r="15">
          <cell r="A15" t="str">
            <v>HPGD</v>
          </cell>
          <cell r="B15">
            <v>10</v>
          </cell>
          <cell r="C15" t="str">
            <v>Haïnh Phuùc Gia Ñình</v>
          </cell>
          <cell r="D15" t="str">
            <v>Baùo Phuï Nöõ VN</v>
          </cell>
          <cell r="E15" t="str">
            <v>PHU NU VN- HANH PHUC GIA DINH</v>
          </cell>
          <cell r="F15">
            <v>8000</v>
          </cell>
          <cell r="H15">
            <v>7500</v>
          </cell>
          <cell r="I15">
            <v>7500</v>
          </cell>
          <cell r="J15">
            <v>10000</v>
          </cell>
          <cell r="K15">
            <v>8000</v>
          </cell>
          <cell r="X15">
            <v>0.2</v>
          </cell>
          <cell r="Z15">
            <v>0.2</v>
          </cell>
          <cell r="AB15">
            <v>0.2</v>
          </cell>
          <cell r="AD15">
            <v>0.2</v>
          </cell>
          <cell r="AF15">
            <v>0.2</v>
          </cell>
          <cell r="AH15">
            <v>0.2</v>
          </cell>
          <cell r="AM15" t="str">
            <v>chò Hoàng Anh</v>
          </cell>
          <cell r="AO15" t="str">
            <v>MO</v>
          </cell>
        </row>
        <row r="16">
          <cell r="A16" t="str">
            <v>PNVN</v>
          </cell>
          <cell r="B16">
            <v>11</v>
          </cell>
          <cell r="C16" t="str">
            <v>Baùo Phuï Nöõ VN</v>
          </cell>
          <cell r="D16" t="str">
            <v>Baùo Phuï Nöõ VN</v>
          </cell>
          <cell r="E16" t="str">
            <v>PHU NU VN</v>
          </cell>
          <cell r="F16">
            <v>14000</v>
          </cell>
          <cell r="J16">
            <v>16000</v>
          </cell>
          <cell r="S16">
            <v>20000</v>
          </cell>
          <cell r="X16">
            <v>0.2</v>
          </cell>
          <cell r="Z16">
            <v>0.2</v>
          </cell>
          <cell r="AB16">
            <v>0.2</v>
          </cell>
          <cell r="AD16">
            <v>0.2</v>
          </cell>
          <cell r="AF16">
            <v>0.2</v>
          </cell>
          <cell r="AH16">
            <v>0.2</v>
          </cell>
          <cell r="AJ16" t="str">
            <v>04 9717479</v>
          </cell>
          <cell r="AK16" t="str">
            <v>04 8213202</v>
          </cell>
          <cell r="AL16" t="str">
            <v>47 Hang Chuoi, H Noi</v>
          </cell>
          <cell r="AM16" t="str">
            <v>chò Hoàng Anh</v>
          </cell>
          <cell r="AN16" t="str">
            <v>0903 468222</v>
          </cell>
          <cell r="AO16" t="str">
            <v>MO</v>
          </cell>
        </row>
        <row r="17">
          <cell r="A17" t="str">
            <v>PNVNW</v>
          </cell>
          <cell r="B17">
            <v>12</v>
          </cell>
          <cell r="C17" t="str">
            <v>Baùo Phuï Nöõ VN cuoái tuaàn</v>
          </cell>
          <cell r="D17" t="str">
            <v>Baùo Phuï Nöõ VN</v>
          </cell>
          <cell r="E17" t="str">
            <v>PHU NU VN</v>
          </cell>
          <cell r="F17">
            <v>10000</v>
          </cell>
          <cell r="H17">
            <v>11000</v>
          </cell>
          <cell r="I17">
            <v>11000</v>
          </cell>
          <cell r="J17">
            <v>12000</v>
          </cell>
          <cell r="S17">
            <v>20000</v>
          </cell>
          <cell r="X17">
            <v>0.2</v>
          </cell>
          <cell r="Z17">
            <v>0.2</v>
          </cell>
          <cell r="AB17">
            <v>0.2</v>
          </cell>
          <cell r="AD17">
            <v>0.2</v>
          </cell>
          <cell r="AF17">
            <v>0.2</v>
          </cell>
          <cell r="AH17">
            <v>0.2</v>
          </cell>
          <cell r="AJ17" t="str">
            <v>04 9717479</v>
          </cell>
          <cell r="AK17" t="str">
            <v>04 8213202</v>
          </cell>
          <cell r="AL17" t="str">
            <v>47 Hang Chuoi, H Noi</v>
          </cell>
          <cell r="AM17" t="str">
            <v>chò Hoàng Anh</v>
          </cell>
          <cell r="AN17" t="str">
            <v>0903 468222</v>
          </cell>
          <cell r="AO17" t="str">
            <v>MO</v>
          </cell>
        </row>
        <row r="18">
          <cell r="A18" t="str">
            <v>TGPN</v>
          </cell>
          <cell r="B18">
            <v>13</v>
          </cell>
          <cell r="C18" t="str">
            <v>Taïp chí Theá Giôùi Phuï Nöõ</v>
          </cell>
          <cell r="D18" t="str">
            <v>Baùo Phuï Nöõ VN</v>
          </cell>
          <cell r="E18" t="str">
            <v>PHU NU VN- THE GIOI PHU NU</v>
          </cell>
          <cell r="F18">
            <v>42900</v>
          </cell>
          <cell r="H18">
            <v>60500.000000000007</v>
          </cell>
          <cell r="I18">
            <v>51700.000000000007</v>
          </cell>
          <cell r="J18">
            <v>69300</v>
          </cell>
          <cell r="L18">
            <v>29040</v>
          </cell>
          <cell r="M18">
            <v>27500.000000000004</v>
          </cell>
          <cell r="N18">
            <v>27500</v>
          </cell>
          <cell r="P18">
            <v>27500</v>
          </cell>
          <cell r="R18">
            <v>15400.000000000002</v>
          </cell>
          <cell r="S18">
            <v>82500</v>
          </cell>
          <cell r="U18">
            <v>11900</v>
          </cell>
          <cell r="V18">
            <v>31900</v>
          </cell>
          <cell r="X18">
            <v>0.3</v>
          </cell>
          <cell r="Y18">
            <v>0.15</v>
          </cell>
          <cell r="Z18">
            <v>0.3</v>
          </cell>
          <cell r="AA18">
            <v>0.15</v>
          </cell>
          <cell r="AB18">
            <v>0.2</v>
          </cell>
          <cell r="AC18">
            <v>0.15</v>
          </cell>
          <cell r="AD18">
            <v>0.2</v>
          </cell>
          <cell r="AE18">
            <v>0.15</v>
          </cell>
          <cell r="AF18">
            <v>0.2</v>
          </cell>
          <cell r="AG18">
            <v>0.15</v>
          </cell>
          <cell r="AH18">
            <v>0.3</v>
          </cell>
          <cell r="AI18">
            <v>0.15</v>
          </cell>
          <cell r="AJ18" t="str">
            <v>930 2117</v>
          </cell>
          <cell r="AK18" t="str">
            <v>930 2116</v>
          </cell>
          <cell r="AL18" t="str">
            <v>38 Vo Van Tan, Q.3, Tp.HCM</v>
          </cell>
          <cell r="AM18" t="str">
            <v>chò Hoàng Anh</v>
          </cell>
          <cell r="AN18" t="str">
            <v>0903 605152</v>
          </cell>
          <cell r="AO18" t="str">
            <v>MO</v>
          </cell>
        </row>
        <row r="19">
          <cell r="A19" t="str">
            <v>HHT1</v>
          </cell>
          <cell r="B19">
            <v>14</v>
          </cell>
          <cell r="C19" t="str">
            <v>Hoa Hoïc Troø 1</v>
          </cell>
          <cell r="D19" t="str">
            <v>Baùo Sinh Vieân VN</v>
          </cell>
          <cell r="E19" t="str">
            <v>HOA HOC TRO 1</v>
          </cell>
          <cell r="F19">
            <v>15400</v>
          </cell>
          <cell r="H19">
            <v>16500</v>
          </cell>
          <cell r="I19">
            <v>16500</v>
          </cell>
          <cell r="P19">
            <v>7700.0000000000009</v>
          </cell>
          <cell r="R19">
            <v>4400</v>
          </cell>
          <cell r="X19">
            <v>0.1</v>
          </cell>
          <cell r="Z19">
            <v>0.1</v>
          </cell>
          <cell r="AB19">
            <v>0.1</v>
          </cell>
          <cell r="AD19">
            <v>0.1</v>
          </cell>
          <cell r="AF19">
            <v>0.1</v>
          </cell>
          <cell r="AJ19" t="str">
            <v>04 976 1148</v>
          </cell>
          <cell r="AK19" t="str">
            <v>04 978 1477</v>
          </cell>
          <cell r="AL19" t="str">
            <v>5 Hoa Ma- HN</v>
          </cell>
          <cell r="AM19" t="str">
            <v>chò Hoàng Ñaêng</v>
          </cell>
          <cell r="AN19" t="str">
            <v>0913 224279</v>
          </cell>
          <cell r="AO19" t="str">
            <v>MO</v>
          </cell>
          <cell r="AP19" t="str">
            <v>0100799643-1</v>
          </cell>
        </row>
        <row r="20">
          <cell r="A20" t="str">
            <v>HHT2</v>
          </cell>
          <cell r="B20">
            <v>15</v>
          </cell>
          <cell r="C20" t="str">
            <v>Hoa Hoïc Troø 2</v>
          </cell>
          <cell r="D20" t="str">
            <v>Baùo Sinh Vieân VN</v>
          </cell>
          <cell r="E20" t="str">
            <v>HOA HOC TRO 2</v>
          </cell>
          <cell r="F20">
            <v>19800</v>
          </cell>
          <cell r="H20">
            <v>24200.000000000004</v>
          </cell>
          <cell r="I20">
            <v>24200.000000000004</v>
          </cell>
          <cell r="J20">
            <v>30800.000000000004</v>
          </cell>
          <cell r="P20">
            <v>11000</v>
          </cell>
          <cell r="R20">
            <v>5500</v>
          </cell>
          <cell r="X20">
            <v>0.1</v>
          </cell>
          <cell r="Z20">
            <v>0.1</v>
          </cell>
          <cell r="AB20">
            <v>0.1</v>
          </cell>
          <cell r="AD20">
            <v>0.1</v>
          </cell>
          <cell r="AF20">
            <v>0.1</v>
          </cell>
          <cell r="AJ20" t="str">
            <v>04 976 1148</v>
          </cell>
          <cell r="AK20" t="str">
            <v>04 978 1477</v>
          </cell>
          <cell r="AL20" t="str">
            <v>5 Hoa Ma- HN</v>
          </cell>
          <cell r="AM20" t="str">
            <v>chò Hoàng Ñaêng</v>
          </cell>
          <cell r="AN20" t="str">
            <v>0913 224279</v>
          </cell>
          <cell r="AO20" t="str">
            <v>MO</v>
          </cell>
          <cell r="AP20" t="str">
            <v>0100799643-1</v>
          </cell>
        </row>
        <row r="21">
          <cell r="A21" t="str">
            <v>SV</v>
          </cell>
          <cell r="B21">
            <v>16</v>
          </cell>
          <cell r="C21" t="str">
            <v>Baùo Sinh Vieân VN</v>
          </cell>
          <cell r="D21" t="str">
            <v>Baùo Sinh Vieân VN</v>
          </cell>
          <cell r="E21" t="str">
            <v>SINH VIEN VN</v>
          </cell>
          <cell r="F21">
            <v>5500</v>
          </cell>
          <cell r="H21">
            <v>6600.0000000000009</v>
          </cell>
          <cell r="I21">
            <v>6600.0000000000009</v>
          </cell>
          <cell r="J21">
            <v>7700.0000000000009</v>
          </cell>
          <cell r="AJ21" t="str">
            <v>04 976 1148</v>
          </cell>
          <cell r="AK21" t="str">
            <v>04 978 1477</v>
          </cell>
          <cell r="AL21" t="str">
            <v>5 Hoa Ma- HN</v>
          </cell>
          <cell r="AM21" t="str">
            <v>chò Hoàng Ñaêng</v>
          </cell>
          <cell r="AN21" t="str">
            <v>0913 224279</v>
          </cell>
          <cell r="AO21" t="str">
            <v>MO</v>
          </cell>
          <cell r="AP21" t="str">
            <v>0100799643-1</v>
          </cell>
        </row>
        <row r="22">
          <cell r="A22" t="str">
            <v>TT-S</v>
          </cell>
          <cell r="B22">
            <v>17</v>
          </cell>
          <cell r="C22" t="str">
            <v>Baùo Tuoåi Treû</v>
          </cell>
          <cell r="D22" t="str">
            <v>Cty Quaûng caùo Saøi Goøn</v>
          </cell>
          <cell r="E22" t="str">
            <v>QCSG- TUOI TRE</v>
          </cell>
          <cell r="F22">
            <v>40000</v>
          </cell>
          <cell r="G22">
            <v>44000</v>
          </cell>
          <cell r="J22">
            <v>42000</v>
          </cell>
          <cell r="P22">
            <v>21000</v>
          </cell>
          <cell r="R22">
            <v>11000</v>
          </cell>
          <cell r="S22">
            <v>56000</v>
          </cell>
          <cell r="T22">
            <v>28000</v>
          </cell>
          <cell r="X22">
            <v>0.05</v>
          </cell>
          <cell r="Z22">
            <v>0.05</v>
          </cell>
          <cell r="AB22">
            <v>0.05</v>
          </cell>
          <cell r="AD22">
            <v>0.05</v>
          </cell>
          <cell r="AF22">
            <v>0.05</v>
          </cell>
          <cell r="AH22">
            <v>0.05</v>
          </cell>
          <cell r="AJ22" t="str">
            <v>837 0750</v>
          </cell>
          <cell r="AK22" t="str">
            <v>837 0752</v>
          </cell>
          <cell r="AL22" t="str">
            <v>385 Traàn Höng Ñaïo, Q.1, Tp.HCM</v>
          </cell>
          <cell r="AM22" t="str">
            <v>chò Hieàn</v>
          </cell>
          <cell r="AO22" t="str">
            <v>S</v>
          </cell>
        </row>
        <row r="23">
          <cell r="A23" t="str">
            <v>TTW-S</v>
          </cell>
          <cell r="B23">
            <v>18</v>
          </cell>
          <cell r="C23" t="str">
            <v>Baùo Tuoåi Treû CN</v>
          </cell>
          <cell r="D23" t="str">
            <v>Cty Quaûng caùo Saøi Goøn</v>
          </cell>
          <cell r="E23" t="str">
            <v>QCSG- TUOI TRE CN</v>
          </cell>
          <cell r="F23">
            <v>12000</v>
          </cell>
          <cell r="G23">
            <v>44000</v>
          </cell>
          <cell r="J23">
            <v>42000</v>
          </cell>
          <cell r="P23">
            <v>21000</v>
          </cell>
          <cell r="R23">
            <v>11000</v>
          </cell>
          <cell r="S23">
            <v>56000</v>
          </cell>
          <cell r="T23">
            <v>28000</v>
          </cell>
          <cell r="X23">
            <v>0.1</v>
          </cell>
          <cell r="Z23">
            <v>0.1</v>
          </cell>
          <cell r="AB23">
            <v>0.1</v>
          </cell>
          <cell r="AD23">
            <v>0.1</v>
          </cell>
          <cell r="AF23">
            <v>0.1</v>
          </cell>
          <cell r="AH23">
            <v>0.1</v>
          </cell>
          <cell r="AJ23" t="str">
            <v>837 0750</v>
          </cell>
          <cell r="AK23" t="str">
            <v>837 0752</v>
          </cell>
          <cell r="AL23" t="str">
            <v>385 Traàn Höng Ñaïo, Q.1, Tp.HCM</v>
          </cell>
          <cell r="AM23" t="str">
            <v>chò Hieàn</v>
          </cell>
          <cell r="AO23" t="str">
            <v>S</v>
          </cell>
        </row>
        <row r="24">
          <cell r="A24" t="str">
            <v>TT</v>
          </cell>
          <cell r="B24">
            <v>19</v>
          </cell>
          <cell r="C24" t="str">
            <v>Baùo Tuoåi Treû</v>
          </cell>
          <cell r="D24" t="str">
            <v>Baùo Tuoåi Treû</v>
          </cell>
          <cell r="E24" t="str">
            <v>TUOI TRE</v>
          </cell>
          <cell r="F24">
            <v>40000</v>
          </cell>
          <cell r="P24">
            <v>21000</v>
          </cell>
          <cell r="Q24">
            <v>11000</v>
          </cell>
          <cell r="R24">
            <v>11000</v>
          </cell>
          <cell r="T24">
            <v>28000</v>
          </cell>
          <cell r="X24">
            <v>5.5E-2</v>
          </cell>
          <cell r="Z24">
            <v>5.5E-2</v>
          </cell>
          <cell r="AB24">
            <v>5.5E-2</v>
          </cell>
          <cell r="AD24">
            <v>5.5E-2</v>
          </cell>
          <cell r="AF24">
            <v>5.5E-2</v>
          </cell>
          <cell r="AH24">
            <v>5.5E-2</v>
          </cell>
          <cell r="AJ24" t="str">
            <v>846 9731</v>
          </cell>
          <cell r="AK24" t="str">
            <v>846 6400</v>
          </cell>
          <cell r="AL24" t="str">
            <v>161 Ly Chinh Thang, Q.3, HCM</v>
          </cell>
          <cell r="AM24" t="str">
            <v>anh Ñöùc</v>
          </cell>
          <cell r="AN24" t="str">
            <v>0903 988300</v>
          </cell>
          <cell r="AO24" t="str">
            <v>MO</v>
          </cell>
        </row>
        <row r="25">
          <cell r="A25" t="str">
            <v>TTW</v>
          </cell>
          <cell r="B25">
            <v>20</v>
          </cell>
          <cell r="C25" t="str">
            <v>Baùo Tuoåi Treû CN</v>
          </cell>
          <cell r="D25" t="str">
            <v>Baùo Tuoåi Treû</v>
          </cell>
          <cell r="E25" t="str">
            <v>TUOI TRE CN</v>
          </cell>
          <cell r="F25">
            <v>12000</v>
          </cell>
          <cell r="H25">
            <v>15000</v>
          </cell>
          <cell r="I25">
            <v>15000</v>
          </cell>
          <cell r="J25">
            <v>18000</v>
          </cell>
          <cell r="N25">
            <v>6500</v>
          </cell>
          <cell r="P25">
            <v>6500</v>
          </cell>
          <cell r="R25">
            <v>3500</v>
          </cell>
          <cell r="T25">
            <v>8500</v>
          </cell>
          <cell r="X25">
            <v>7.0000000000000007E-2</v>
          </cell>
          <cell r="Z25">
            <v>7.0000000000000007E-2</v>
          </cell>
          <cell r="AB25">
            <v>7.0000000000000007E-2</v>
          </cell>
          <cell r="AD25">
            <v>7.0000000000000007E-2</v>
          </cell>
          <cell r="AF25">
            <v>7.0000000000000007E-2</v>
          </cell>
          <cell r="AH25">
            <v>7.0000000000000007E-2</v>
          </cell>
          <cell r="AJ25" t="str">
            <v>846 9731</v>
          </cell>
          <cell r="AK25" t="str">
            <v>846 6400</v>
          </cell>
          <cell r="AL25" t="str">
            <v>161 Ly Chinh Thang, Q.3, HCM</v>
          </cell>
          <cell r="AM25" t="str">
            <v>anh Ñöùc</v>
          </cell>
          <cell r="AN25" t="str">
            <v>0903 988300</v>
          </cell>
          <cell r="AO25" t="str">
            <v>MO</v>
          </cell>
        </row>
        <row r="26">
          <cell r="A26" t="str">
            <v>CNMS</v>
          </cell>
          <cell r="B26">
            <v>21</v>
          </cell>
          <cell r="C26" t="str">
            <v>taïp chí Caåm Nang Mua Saém</v>
          </cell>
          <cell r="D26" t="str">
            <v>Chi nhaùnh Cty TNHH Tö Vaán vaø Ñaàu Tö P.H.I</v>
          </cell>
          <cell r="E26" t="str">
            <v>PHI- CAM NANG MUA SAM</v>
          </cell>
          <cell r="F26">
            <v>11000</v>
          </cell>
          <cell r="H26">
            <v>43400</v>
          </cell>
          <cell r="I26">
            <v>43400</v>
          </cell>
          <cell r="J26">
            <v>54400</v>
          </cell>
          <cell r="P26">
            <v>6600</v>
          </cell>
          <cell r="R26">
            <v>3300</v>
          </cell>
          <cell r="S26">
            <v>19500</v>
          </cell>
          <cell r="AJ26" t="str">
            <v>9318150/51/55/57</v>
          </cell>
          <cell r="AK26">
            <v>9318449</v>
          </cell>
          <cell r="AL26" t="str">
            <v>418 Dien Bien Phu- HCM</v>
          </cell>
          <cell r="AM26" t="str">
            <v>chò Höông</v>
          </cell>
          <cell r="AN26" t="str">
            <v>0908 474047</v>
          </cell>
          <cell r="AO26" t="str">
            <v>MO</v>
          </cell>
          <cell r="AP26" t="str">
            <v>010 1166 516- 001</v>
          </cell>
        </row>
        <row r="27">
          <cell r="A27" t="str">
            <v>TTTD</v>
          </cell>
          <cell r="B27">
            <v>22</v>
          </cell>
          <cell r="C27" t="str">
            <v>Taïp chí Thò Tröôøng &amp; Tieâu Duøng</v>
          </cell>
          <cell r="D27" t="str">
            <v>Cty coå phaàn quaûng caùo Thôøi Ñaïi</v>
          </cell>
          <cell r="E27" t="str">
            <v>THOI DAI- THI TRUONG TIEU DUNG</v>
          </cell>
          <cell r="F27">
            <v>15400.000000000002</v>
          </cell>
          <cell r="H27">
            <v>33000</v>
          </cell>
          <cell r="I27">
            <v>27500.000000000004</v>
          </cell>
          <cell r="J27">
            <v>38500</v>
          </cell>
          <cell r="M27">
            <v>8250</v>
          </cell>
          <cell r="P27">
            <v>7920.0000000000009</v>
          </cell>
          <cell r="R27">
            <v>3960.0000000000005</v>
          </cell>
          <cell r="S27">
            <v>25300.000000000004</v>
          </cell>
          <cell r="X27">
            <v>0.3</v>
          </cell>
          <cell r="Z27">
            <v>0.3</v>
          </cell>
          <cell r="AB27">
            <v>0.3</v>
          </cell>
          <cell r="AD27">
            <v>0.3</v>
          </cell>
          <cell r="AF27">
            <v>0.3</v>
          </cell>
          <cell r="AJ27" t="str">
            <v>04 9332686</v>
          </cell>
          <cell r="AK27" t="str">
            <v>04 942 2063</v>
          </cell>
          <cell r="AL27" t="str">
            <v>73 Traàn Quoác Toaûn- HaøNoäi</v>
          </cell>
          <cell r="AM27" t="str">
            <v>Chò Thu Giang</v>
          </cell>
          <cell r="AN27" t="str">
            <v>0903 461009</v>
          </cell>
          <cell r="AO27" t="str">
            <v>MO</v>
          </cell>
          <cell r="AP27" t="str">
            <v>114-227</v>
          </cell>
        </row>
        <row r="28">
          <cell r="A28" t="str">
            <v>PL</v>
          </cell>
          <cell r="B28">
            <v>23</v>
          </cell>
          <cell r="C28" t="str">
            <v>Baùo Phaùp Luaät</v>
          </cell>
          <cell r="D28" t="str">
            <v>Cty coå phaàn Truyeàn Thoâng</v>
          </cell>
          <cell r="E28" t="str">
            <v>TRUYEN THONG- PHAP LUAT</v>
          </cell>
          <cell r="F28">
            <v>18700</v>
          </cell>
          <cell r="M28">
            <v>11880</v>
          </cell>
          <cell r="P28">
            <v>9900</v>
          </cell>
          <cell r="R28">
            <v>5500</v>
          </cell>
          <cell r="X28">
            <v>0.15</v>
          </cell>
          <cell r="Z28">
            <v>0.15</v>
          </cell>
          <cell r="AB28">
            <v>0.15</v>
          </cell>
          <cell r="AD28">
            <v>0.15</v>
          </cell>
          <cell r="AF28">
            <v>0.15</v>
          </cell>
          <cell r="AJ28" t="str">
            <v>827 2783</v>
          </cell>
          <cell r="AL28" t="str">
            <v>71-73-75 HBT, Q.1, 3rd floor</v>
          </cell>
          <cell r="AM28" t="str">
            <v>chò Thuyû</v>
          </cell>
          <cell r="AO28" t="str">
            <v>MO</v>
          </cell>
        </row>
        <row r="29">
          <cell r="A29" t="str">
            <v>MASK</v>
          </cell>
          <cell r="B29">
            <v>24</v>
          </cell>
          <cell r="C29" t="str">
            <v>taïp chí Maøn Aûnh Saân Khaáu</v>
          </cell>
          <cell r="D29" t="str">
            <v>Cty quaûng caùo K&amp;T</v>
          </cell>
          <cell r="E29" t="str">
            <v>K&amp;T- MASK</v>
          </cell>
          <cell r="F29">
            <v>6600.0000000000009</v>
          </cell>
          <cell r="H29">
            <v>8800</v>
          </cell>
          <cell r="I29">
            <v>8800</v>
          </cell>
          <cell r="J29">
            <v>15400.000000000002</v>
          </cell>
          <cell r="M29">
            <v>3850.0000000000005</v>
          </cell>
          <cell r="P29">
            <v>3850.0000000000005</v>
          </cell>
          <cell r="R29">
            <v>2200</v>
          </cell>
          <cell r="S29">
            <v>11880.000000000002</v>
          </cell>
          <cell r="AJ29" t="str">
            <v>923 0557</v>
          </cell>
          <cell r="AL29" t="str">
            <v>7 Le Thi Hong Gam, q.1, Tp. HCM</v>
          </cell>
          <cell r="AM29" t="str">
            <v>anh Vinh</v>
          </cell>
          <cell r="AN29" t="str">
            <v>0913 715420</v>
          </cell>
          <cell r="AO29" t="str">
            <v>MO</v>
          </cell>
          <cell r="AP29" t="str">
            <v>030 242 2329</v>
          </cell>
        </row>
        <row r="30">
          <cell r="A30" t="str">
            <v>TGNS</v>
          </cell>
          <cell r="B30">
            <v>25</v>
          </cell>
          <cell r="C30" t="str">
            <v>Taïp chí Theá Giôùi Ngheä Syõ</v>
          </cell>
          <cell r="D30" t="str">
            <v>Cty quaûng caùo K&amp;T</v>
          </cell>
          <cell r="E30" t="str">
            <v>K&amp;T- THE GIOI NGHE SY</v>
          </cell>
          <cell r="F30">
            <v>8800</v>
          </cell>
          <cell r="H30">
            <v>15400.000000000002</v>
          </cell>
          <cell r="I30">
            <v>15400.000000000002</v>
          </cell>
          <cell r="J30">
            <v>22000</v>
          </cell>
          <cell r="M30">
            <v>6050.0000000000009</v>
          </cell>
          <cell r="P30">
            <v>5500</v>
          </cell>
          <cell r="R30">
            <v>2750</v>
          </cell>
          <cell r="S30">
            <v>15840.000000000002</v>
          </cell>
          <cell r="X30">
            <v>0.2</v>
          </cell>
          <cell r="Z30">
            <v>0.2</v>
          </cell>
          <cell r="AB30">
            <v>0.2</v>
          </cell>
          <cell r="AD30">
            <v>0.2</v>
          </cell>
          <cell r="AF30">
            <v>0.2</v>
          </cell>
          <cell r="AJ30" t="str">
            <v>923 0557</v>
          </cell>
          <cell r="AL30" t="str">
            <v>7 Le Thi Hong Gam, q.1, Tp. HCM</v>
          </cell>
          <cell r="AM30" t="str">
            <v>anh Vinh</v>
          </cell>
          <cell r="AN30" t="str">
            <v>0913 715420</v>
          </cell>
          <cell r="AO30" t="str">
            <v>MO</v>
          </cell>
        </row>
        <row r="31">
          <cell r="A31" t="str">
            <v>MP</v>
          </cell>
          <cell r="B31">
            <v>26</v>
          </cell>
          <cell r="C31" t="str">
            <v>Taïp chí Myõ Phaåm</v>
          </cell>
          <cell r="D31" t="str">
            <v>Cty Tieàn Phong</v>
          </cell>
          <cell r="E31" t="str">
            <v>TIEN PHONG- MY PHAM</v>
          </cell>
          <cell r="F31">
            <v>8000</v>
          </cell>
          <cell r="H31">
            <v>10000</v>
          </cell>
          <cell r="I31">
            <v>10000</v>
          </cell>
          <cell r="J31">
            <v>12000</v>
          </cell>
          <cell r="M31">
            <v>4000</v>
          </cell>
          <cell r="R31">
            <v>2000</v>
          </cell>
          <cell r="S31">
            <v>15000</v>
          </cell>
          <cell r="AH31">
            <v>0.2</v>
          </cell>
          <cell r="AJ31" t="str">
            <v>848 1068</v>
          </cell>
          <cell r="AK31" t="str">
            <v>846 9495</v>
          </cell>
          <cell r="AL31" t="str">
            <v>384/54 NKKN, Q.3, Tp. HCM</v>
          </cell>
          <cell r="AM31" t="str">
            <v>Chò Xim</v>
          </cell>
          <cell r="AO31" t="str">
            <v>MO</v>
          </cell>
        </row>
        <row r="32">
          <cell r="A32" t="str">
            <v>NDVN</v>
          </cell>
          <cell r="B32">
            <v>27</v>
          </cell>
          <cell r="C32" t="str">
            <v>Taïp chí Ngöôøi Ñeïp VN</v>
          </cell>
          <cell r="D32" t="str">
            <v>Cty Tieàn Phong</v>
          </cell>
          <cell r="E32" t="str">
            <v>TIEN PHONG- NGUOI DEP VN</v>
          </cell>
          <cell r="F32">
            <v>12000</v>
          </cell>
          <cell r="G32">
            <v>13000</v>
          </cell>
          <cell r="H32">
            <v>14000</v>
          </cell>
          <cell r="I32">
            <v>14000</v>
          </cell>
          <cell r="J32">
            <v>16000</v>
          </cell>
          <cell r="M32">
            <v>6600</v>
          </cell>
          <cell r="N32">
            <v>6600</v>
          </cell>
          <cell r="P32">
            <v>6000</v>
          </cell>
          <cell r="R32">
            <v>3000</v>
          </cell>
          <cell r="S32">
            <v>24000</v>
          </cell>
          <cell r="T32">
            <v>12000</v>
          </cell>
          <cell r="U32">
            <v>8800</v>
          </cell>
          <cell r="V32">
            <v>8800</v>
          </cell>
          <cell r="AH32">
            <v>0.2</v>
          </cell>
          <cell r="AJ32" t="str">
            <v>848 1068</v>
          </cell>
          <cell r="AK32" t="str">
            <v>846 9495</v>
          </cell>
          <cell r="AL32" t="str">
            <v>384/54 NKKN, Q.3, Tp. HCM</v>
          </cell>
          <cell r="AM32" t="str">
            <v>Chò Xim</v>
          </cell>
          <cell r="AO32" t="str">
            <v>MO</v>
          </cell>
        </row>
        <row r="33">
          <cell r="A33" t="str">
            <v>TP</v>
          </cell>
          <cell r="B33">
            <v>28</v>
          </cell>
          <cell r="C33" t="str">
            <v>Baùo Tieàn Phong ngaøy</v>
          </cell>
          <cell r="D33" t="str">
            <v>Cty Tieàn Phong</v>
          </cell>
          <cell r="E33" t="str">
            <v>TIEN PHONG NGAY</v>
          </cell>
          <cell r="F33">
            <v>20000</v>
          </cell>
          <cell r="G33">
            <v>20000</v>
          </cell>
          <cell r="I33">
            <v>20000</v>
          </cell>
          <cell r="P33">
            <v>10000</v>
          </cell>
          <cell r="R33">
            <v>5000</v>
          </cell>
          <cell r="T33">
            <v>12000</v>
          </cell>
          <cell r="AH33">
            <v>0.2</v>
          </cell>
          <cell r="AJ33" t="str">
            <v>848 1068</v>
          </cell>
          <cell r="AK33" t="str">
            <v>846 9495</v>
          </cell>
          <cell r="AL33" t="str">
            <v>384/54 NKKN, Q.3, Tp. HCM</v>
          </cell>
          <cell r="AM33" t="str">
            <v>Chò Xim</v>
          </cell>
          <cell r="AO33" t="str">
            <v>MO</v>
          </cell>
        </row>
        <row r="34">
          <cell r="A34" t="str">
            <v>TPM</v>
          </cell>
          <cell r="B34">
            <v>29</v>
          </cell>
          <cell r="C34" t="str">
            <v>Taïp chí Tieàn Phong thaùng</v>
          </cell>
          <cell r="D34" t="str">
            <v>Cty Tieàn Phong</v>
          </cell>
          <cell r="E34" t="str">
            <v>TIEN PHONG CUOI THANG</v>
          </cell>
          <cell r="F34">
            <v>4500</v>
          </cell>
          <cell r="H34">
            <v>6000</v>
          </cell>
          <cell r="I34">
            <v>6000</v>
          </cell>
          <cell r="J34">
            <v>7000</v>
          </cell>
          <cell r="P34">
            <v>2300</v>
          </cell>
          <cell r="R34">
            <v>1100</v>
          </cell>
          <cell r="T34">
            <v>2000</v>
          </cell>
          <cell r="AH34">
            <v>0.2</v>
          </cell>
          <cell r="AJ34" t="str">
            <v>848 1068</v>
          </cell>
          <cell r="AK34" t="str">
            <v>846 9495</v>
          </cell>
          <cell r="AL34" t="str">
            <v>384/54 NKKN, Q.3, Tp. HCM</v>
          </cell>
          <cell r="AM34" t="str">
            <v>Chò Xim</v>
          </cell>
          <cell r="AO34" t="str">
            <v>MO</v>
          </cell>
        </row>
        <row r="35">
          <cell r="A35" t="str">
            <v>ND</v>
          </cell>
          <cell r="B35">
            <v>30</v>
          </cell>
          <cell r="C35" t="str">
            <v>Taïp chí Kieán Truùc Nhaø Ñeïp</v>
          </cell>
          <cell r="D35" t="str">
            <v>Cty TNHH DV Quaûng Caùo Nguyeãn Vaên Vinh</v>
          </cell>
          <cell r="E35" t="str">
            <v>NNV- NHA DEP</v>
          </cell>
          <cell r="F35">
            <v>16500</v>
          </cell>
          <cell r="H35">
            <v>22000</v>
          </cell>
          <cell r="I35">
            <v>19800</v>
          </cell>
          <cell r="J35">
            <v>24200.000000000004</v>
          </cell>
          <cell r="M35">
            <v>9900</v>
          </cell>
          <cell r="P35">
            <v>9900</v>
          </cell>
          <cell r="R35">
            <v>4125</v>
          </cell>
          <cell r="S35">
            <v>33000</v>
          </cell>
          <cell r="X35">
            <v>0.15</v>
          </cell>
          <cell r="Z35">
            <v>0.15</v>
          </cell>
          <cell r="AB35">
            <v>0.15</v>
          </cell>
          <cell r="AD35">
            <v>0.15</v>
          </cell>
          <cell r="AF35">
            <v>0.15</v>
          </cell>
          <cell r="AJ35" t="str">
            <v>823 8198</v>
          </cell>
          <cell r="AM35" t="str">
            <v>chò Hien (Ext: 105)</v>
          </cell>
          <cell r="AO35" t="str">
            <v>MO</v>
          </cell>
        </row>
        <row r="36">
          <cell r="A36" t="str">
            <v>TCGD</v>
          </cell>
          <cell r="B36">
            <v>31</v>
          </cell>
          <cell r="C36" t="str">
            <v>Taïp chí Gia Ñình</v>
          </cell>
          <cell r="D36" t="str">
            <v>Cty TNHH Huy Trung</v>
          </cell>
          <cell r="E36" t="str">
            <v>HUY TRUNG- TAP CHI GIA DINH</v>
          </cell>
          <cell r="F36">
            <v>9900</v>
          </cell>
          <cell r="H36">
            <v>17600</v>
          </cell>
          <cell r="I36">
            <v>15400.000000000002</v>
          </cell>
          <cell r="J36">
            <v>22000</v>
          </cell>
          <cell r="M36">
            <v>5500</v>
          </cell>
          <cell r="P36">
            <v>5500</v>
          </cell>
          <cell r="R36">
            <v>3300.0000000000005</v>
          </cell>
          <cell r="X36">
            <v>0.4</v>
          </cell>
          <cell r="Z36">
            <v>0.4</v>
          </cell>
          <cell r="AB36">
            <v>0.4</v>
          </cell>
          <cell r="AD36">
            <v>0.4</v>
          </cell>
          <cell r="AF36">
            <v>0.4</v>
          </cell>
          <cell r="AJ36" t="str">
            <v>989 2353</v>
          </cell>
          <cell r="AL36" t="str">
            <v>105/753 Nguyeãn Kieäm, P.3, Goø Vaáp, Tp. HCM</v>
          </cell>
          <cell r="AM36" t="str">
            <v>anh Huy</v>
          </cell>
          <cell r="AN36" t="str">
            <v>0908 339370</v>
          </cell>
          <cell r="AO36" t="str">
            <v>MO</v>
          </cell>
          <cell r="AP36" t="str">
            <v>030 288 1442</v>
          </cell>
        </row>
        <row r="37">
          <cell r="A37" t="str">
            <v>SD</v>
          </cell>
          <cell r="B37">
            <v>32</v>
          </cell>
          <cell r="C37" t="str">
            <v>taïp chí Saønh Ñieäu</v>
          </cell>
          <cell r="D37" t="str">
            <v>Cty TNHH Quaûng caùo ADPUB</v>
          </cell>
          <cell r="E37" t="str">
            <v>ADPUB- SANH DIEU</v>
          </cell>
          <cell r="F37">
            <v>24200.000000000004</v>
          </cell>
          <cell r="H37">
            <v>38500</v>
          </cell>
          <cell r="I37">
            <v>33000</v>
          </cell>
          <cell r="J37">
            <v>44000</v>
          </cell>
          <cell r="P37">
            <v>17600</v>
          </cell>
          <cell r="R37">
            <v>11000</v>
          </cell>
          <cell r="S37">
            <v>49500.000000000007</v>
          </cell>
          <cell r="X37">
            <v>0.5</v>
          </cell>
          <cell r="Z37">
            <v>0.5</v>
          </cell>
          <cell r="AB37">
            <v>0.5</v>
          </cell>
          <cell r="AD37">
            <v>0.5</v>
          </cell>
          <cell r="AF37">
            <v>0.5</v>
          </cell>
          <cell r="AO37" t="str">
            <v>MO</v>
          </cell>
        </row>
        <row r="38">
          <cell r="A38" t="str">
            <v>MTH</v>
          </cell>
          <cell r="B38">
            <v>33</v>
          </cell>
          <cell r="C38" t="str">
            <v>Taïp chí Myõ Thuaät</v>
          </cell>
          <cell r="D38" t="str">
            <v>Cty TNHH SX-TM-DV Kyû Nguyeân</v>
          </cell>
          <cell r="E38" t="str">
            <v>KY NGUYEN- MY THUAT</v>
          </cell>
          <cell r="F38">
            <v>2750</v>
          </cell>
          <cell r="H38">
            <v>4400</v>
          </cell>
          <cell r="I38">
            <v>3960.0000000000005</v>
          </cell>
          <cell r="J38">
            <v>4950</v>
          </cell>
          <cell r="P38">
            <v>1650.0000000000002</v>
          </cell>
          <cell r="R38">
            <v>1100</v>
          </cell>
          <cell r="X38">
            <v>0.15</v>
          </cell>
          <cell r="Y38">
            <v>0.15</v>
          </cell>
          <cell r="Z38">
            <v>0.15</v>
          </cell>
          <cell r="AA38">
            <v>0.15</v>
          </cell>
          <cell r="AB38">
            <v>0.15</v>
          </cell>
          <cell r="AC38">
            <v>0.15</v>
          </cell>
          <cell r="AD38">
            <v>0.15</v>
          </cell>
          <cell r="AE38">
            <v>0.15</v>
          </cell>
          <cell r="AF38">
            <v>0.15</v>
          </cell>
          <cell r="AG38">
            <v>0.15</v>
          </cell>
          <cell r="AJ38" t="str">
            <v>821 1181</v>
          </cell>
          <cell r="AK38" t="str">
            <v>821 1175</v>
          </cell>
          <cell r="AL38" t="str">
            <v>124/8A  Cong Hoa, P.4, Q.Tan Binh</v>
          </cell>
          <cell r="AM38" t="str">
            <v>chò Duyeân</v>
          </cell>
          <cell r="AO38" t="str">
            <v>MO</v>
          </cell>
        </row>
        <row r="39">
          <cell r="A39" t="str">
            <v>DEP</v>
          </cell>
          <cell r="B39">
            <v>34</v>
          </cell>
          <cell r="C39" t="str">
            <v>taïp chí Ñeïp</v>
          </cell>
          <cell r="D39" t="str">
            <v>Cty coå phaàn Truyeàn Thoâng Leâ</v>
          </cell>
          <cell r="E39" t="str">
            <v>LE- DEP</v>
          </cell>
          <cell r="F39">
            <v>25300.000000000004</v>
          </cell>
          <cell r="H39">
            <v>36300</v>
          </cell>
          <cell r="I39">
            <v>34100</v>
          </cell>
          <cell r="J39">
            <v>42900</v>
          </cell>
          <cell r="M39">
            <v>15400.000000000002</v>
          </cell>
          <cell r="P39">
            <v>15400.000000000002</v>
          </cell>
          <cell r="R39">
            <v>7920.0000000000009</v>
          </cell>
          <cell r="S39">
            <v>42900</v>
          </cell>
          <cell r="X39">
            <v>0.1</v>
          </cell>
          <cell r="Y39">
            <v>0.35</v>
          </cell>
          <cell r="Z39">
            <v>0.1</v>
          </cell>
          <cell r="AA39">
            <v>0.35</v>
          </cell>
          <cell r="AB39">
            <v>0.1</v>
          </cell>
          <cell r="AC39">
            <v>0.35</v>
          </cell>
          <cell r="AD39">
            <v>0.1</v>
          </cell>
          <cell r="AE39">
            <v>0.35</v>
          </cell>
          <cell r="AF39">
            <v>0.1</v>
          </cell>
          <cell r="AG39">
            <v>0.35</v>
          </cell>
          <cell r="AJ39" t="str">
            <v>820 7761</v>
          </cell>
          <cell r="AK39" t="str">
            <v>820 7762</v>
          </cell>
          <cell r="AL39" t="str">
            <v>Laàu 4, Toaø nhaø Green Star, 70 Phaïm Ngoïc Thaïch, Q.3, Tp.HCM</v>
          </cell>
          <cell r="AM39" t="str">
            <v>chò Phöôïng</v>
          </cell>
          <cell r="AO39" t="str">
            <v>MO</v>
          </cell>
        </row>
        <row r="40">
          <cell r="A40" t="str">
            <v>BSGD</v>
          </cell>
          <cell r="B40">
            <v>35</v>
          </cell>
          <cell r="C40" t="str">
            <v>taïp chí Baùc Syõ Gia Ñình</v>
          </cell>
          <cell r="D40" t="str">
            <v>Cty TNHH Thieâát Keá Hoaøn Haûo</v>
          </cell>
          <cell r="E40" t="str">
            <v>HOAN HAO- BAC SI GIA DINH</v>
          </cell>
          <cell r="F40">
            <v>825.00000000000011</v>
          </cell>
          <cell r="H40">
            <v>1199</v>
          </cell>
          <cell r="I40">
            <v>1199</v>
          </cell>
          <cell r="J40">
            <v>1375</v>
          </cell>
          <cell r="P40">
            <v>495.00000000000006</v>
          </cell>
          <cell r="R40">
            <v>275</v>
          </cell>
          <cell r="T40">
            <v>440.00000000000006</v>
          </cell>
          <cell r="AJ40" t="str">
            <v>833 4826</v>
          </cell>
          <cell r="AK40" t="str">
            <v>925 4752</v>
          </cell>
          <cell r="AL40" t="str">
            <v>131A/2 Nguyeãn Thò Minh Khai, Q.1, Tp.HCM</v>
          </cell>
          <cell r="AM40" t="str">
            <v>chò Tam</v>
          </cell>
          <cell r="AN40" t="str">
            <v>0908 171837</v>
          </cell>
          <cell r="AO40" t="str">
            <v>MO</v>
          </cell>
        </row>
        <row r="41">
          <cell r="A41" t="str">
            <v>TTGD</v>
          </cell>
          <cell r="B41">
            <v>36</v>
          </cell>
          <cell r="C41" t="str">
            <v>taïp chí Tieáp Thò &amp; Gia Ñình</v>
          </cell>
          <cell r="D41" t="str">
            <v>Cty TNHH Hoa Maët Trôøi</v>
          </cell>
          <cell r="E41" t="str">
            <v>HOA MAT TROI- TIEP THI GIA DINH</v>
          </cell>
          <cell r="F41">
            <v>47300.000000000007</v>
          </cell>
          <cell r="G41">
            <v>56760</v>
          </cell>
          <cell r="H41">
            <v>59125.000000000007</v>
          </cell>
          <cell r="I41">
            <v>51975.000000000007</v>
          </cell>
          <cell r="J41">
            <v>70950</v>
          </cell>
          <cell r="M41">
            <v>26125.000000000004</v>
          </cell>
          <cell r="P41">
            <v>26125.000000000004</v>
          </cell>
          <cell r="R41">
            <v>14300.000000000002</v>
          </cell>
          <cell r="S41">
            <v>85250</v>
          </cell>
          <cell r="U41">
            <v>14142</v>
          </cell>
          <cell r="V41">
            <v>33000</v>
          </cell>
          <cell r="W41">
            <v>33000</v>
          </cell>
          <cell r="X41">
            <v>0.45</v>
          </cell>
          <cell r="Y41">
            <v>0.15</v>
          </cell>
          <cell r="Z41">
            <v>0.45</v>
          </cell>
          <cell r="AA41">
            <v>0.15</v>
          </cell>
          <cell r="AB41">
            <v>0.35</v>
          </cell>
          <cell r="AC41">
            <v>0.15</v>
          </cell>
          <cell r="AD41">
            <v>0.35</v>
          </cell>
          <cell r="AE41">
            <v>0.15</v>
          </cell>
          <cell r="AF41">
            <v>0.35</v>
          </cell>
          <cell r="AG41">
            <v>0.15</v>
          </cell>
          <cell r="AH41">
            <v>0.46</v>
          </cell>
          <cell r="AI41">
            <v>0.15</v>
          </cell>
          <cell r="AJ41" t="str">
            <v>823 2420</v>
          </cell>
          <cell r="AK41" t="str">
            <v>822 3053</v>
          </cell>
          <cell r="AL41" t="str">
            <v>259 Hai Ba Trung, Q.3, Tp.HCM</v>
          </cell>
          <cell r="AM41" t="str">
            <v>anh Baèng (KT)</v>
          </cell>
          <cell r="AN41">
            <v>8232420</v>
          </cell>
          <cell r="AO41" t="str">
            <v>MO</v>
          </cell>
          <cell r="AP41" t="str">
            <v>030 188 0358</v>
          </cell>
        </row>
        <row r="42">
          <cell r="A42" t="str">
            <v>TTNN</v>
          </cell>
          <cell r="B42">
            <v>37</v>
          </cell>
          <cell r="C42" t="str">
            <v>Baùo Theå Thao Ngaøy Nay</v>
          </cell>
          <cell r="D42" t="str">
            <v>Cty TNHH Hoa Maët Trôøi</v>
          </cell>
          <cell r="E42" t="str">
            <v>HOA MAT TROI- THE THAO NGAY NAY</v>
          </cell>
          <cell r="F42">
            <v>17050</v>
          </cell>
          <cell r="M42">
            <v>11550.000000000002</v>
          </cell>
          <cell r="P42">
            <v>9900</v>
          </cell>
          <cell r="R42">
            <v>5500</v>
          </cell>
          <cell r="X42">
            <v>0.15</v>
          </cell>
          <cell r="Y42">
            <v>0.15</v>
          </cell>
          <cell r="Z42">
            <v>0.15</v>
          </cell>
          <cell r="AA42">
            <v>0.15</v>
          </cell>
          <cell r="AB42">
            <v>0.15</v>
          </cell>
          <cell r="AC42">
            <v>0.15</v>
          </cell>
          <cell r="AD42">
            <v>0.15</v>
          </cell>
          <cell r="AE42">
            <v>0.15</v>
          </cell>
          <cell r="AF42">
            <v>0.15</v>
          </cell>
          <cell r="AG42">
            <v>0.15</v>
          </cell>
          <cell r="AJ42" t="str">
            <v>823 2420</v>
          </cell>
          <cell r="AK42" t="str">
            <v>822 3053</v>
          </cell>
          <cell r="AL42" t="str">
            <v>259 Hai Ba Trung, Q.3, Tp.HCM</v>
          </cell>
          <cell r="AM42" t="str">
            <v>anh Truùc</v>
          </cell>
          <cell r="AN42">
            <v>8232420</v>
          </cell>
          <cell r="AO42" t="str">
            <v>MO</v>
          </cell>
          <cell r="AP42" t="str">
            <v>030 188 0358</v>
          </cell>
        </row>
        <row r="43">
          <cell r="A43" t="str">
            <v>AB</v>
          </cell>
          <cell r="B43">
            <v>38</v>
          </cell>
          <cell r="C43" t="str">
            <v>Baùo Phuï Nöõ Aáp Baéc</v>
          </cell>
          <cell r="D43" t="str">
            <v>Cty TNHH Thöông Maïi &amp; Dòch Vuï Quaûng Caùo Soâng Höông</v>
          </cell>
          <cell r="E43" t="str">
            <v>SONG HUONG- AP BAC</v>
          </cell>
          <cell r="F43">
            <v>7700.0000000000009</v>
          </cell>
          <cell r="P43">
            <v>4070.0000000000005</v>
          </cell>
          <cell r="AJ43">
            <v>8223040</v>
          </cell>
          <cell r="AK43" t="str">
            <v>823 2296</v>
          </cell>
          <cell r="AL43" t="str">
            <v>94 Nguyeãn Thò Minh Khai, P.6, Q.3, Tp.HCM</v>
          </cell>
          <cell r="AM43" t="str">
            <v>chuù Ñöùc</v>
          </cell>
          <cell r="AN43" t="str">
            <v>0903 724442</v>
          </cell>
          <cell r="AO43" t="str">
            <v>MO</v>
          </cell>
          <cell r="AP43" t="str">
            <v>030 232 5639</v>
          </cell>
        </row>
        <row r="44">
          <cell r="A44" t="str">
            <v>NQT</v>
          </cell>
          <cell r="B44">
            <v>39</v>
          </cell>
          <cell r="C44" t="str">
            <v>Taïp chí Nhaø Quaûn Trò</v>
          </cell>
          <cell r="D44" t="str">
            <v>Cty Toaøn Vieät Truyeàn Thoâng</v>
          </cell>
          <cell r="E44" t="str">
            <v>TOAN VIET TRUYEN THONG- NHA QUAN TRI</v>
          </cell>
          <cell r="F44">
            <v>24750</v>
          </cell>
          <cell r="H44">
            <v>24750</v>
          </cell>
          <cell r="I44">
            <v>24750</v>
          </cell>
          <cell r="J44">
            <v>24750</v>
          </cell>
          <cell r="M44">
            <v>13750</v>
          </cell>
          <cell r="P44">
            <v>12375</v>
          </cell>
          <cell r="R44">
            <v>7000</v>
          </cell>
          <cell r="T44">
            <v>13750</v>
          </cell>
          <cell r="X44">
            <v>0.4</v>
          </cell>
          <cell r="Y44">
            <v>0.15</v>
          </cell>
          <cell r="Z44">
            <v>0.4</v>
          </cell>
          <cell r="AA44">
            <v>0.15</v>
          </cell>
          <cell r="AB44">
            <v>0.4</v>
          </cell>
          <cell r="AC44">
            <v>0.15</v>
          </cell>
          <cell r="AD44">
            <v>0.4</v>
          </cell>
          <cell r="AE44">
            <v>0.15</v>
          </cell>
          <cell r="AF44">
            <v>0.4</v>
          </cell>
          <cell r="AG44">
            <v>0.15</v>
          </cell>
          <cell r="AJ44" t="str">
            <v>04 9718963</v>
          </cell>
          <cell r="AK44" t="str">
            <v>04 971 8964</v>
          </cell>
          <cell r="AL44" t="str">
            <v>7 Nguyeãn Huy Töï, Hoaøn Kieám, HN</v>
          </cell>
          <cell r="AM44" t="str">
            <v>chò Hueä</v>
          </cell>
          <cell r="AO44" t="str">
            <v>MO</v>
          </cell>
        </row>
        <row r="45">
          <cell r="A45" t="str">
            <v>PCA</v>
          </cell>
          <cell r="B45">
            <v>40</v>
          </cell>
          <cell r="C45" t="str">
            <v>Taïp chí Theá Giôùi Vi Tính A</v>
          </cell>
          <cell r="D45" t="str">
            <v>Taïp chí Theá Giôùi Vi Tính- PC World VN</v>
          </cell>
          <cell r="E45" t="str">
            <v>THE GIOI VI TINH A</v>
          </cell>
          <cell r="F45">
            <v>21560</v>
          </cell>
          <cell r="H45">
            <v>30690.000000000004</v>
          </cell>
          <cell r="I45">
            <v>25190.000000000004</v>
          </cell>
          <cell r="J45">
            <v>39600</v>
          </cell>
          <cell r="P45">
            <v>11880.000000000002</v>
          </cell>
          <cell r="T45">
            <v>10780</v>
          </cell>
          <cell r="X45">
            <v>0.1</v>
          </cell>
          <cell r="Y45">
            <v>0.15</v>
          </cell>
          <cell r="Z45">
            <v>0.1</v>
          </cell>
          <cell r="AA45">
            <v>0.15</v>
          </cell>
          <cell r="AB45">
            <v>0.1</v>
          </cell>
          <cell r="AC45">
            <v>0.15</v>
          </cell>
          <cell r="AD45">
            <v>0.1</v>
          </cell>
          <cell r="AE45">
            <v>0.15</v>
          </cell>
          <cell r="AF45">
            <v>0.1</v>
          </cell>
          <cell r="AG45">
            <v>0.15</v>
          </cell>
          <cell r="AJ45" t="str">
            <v>829 4352</v>
          </cell>
          <cell r="AK45" t="str">
            <v>822 0742</v>
          </cell>
          <cell r="AL45" t="str">
            <v>79 Truong Dinh, Q.1, HCM</v>
          </cell>
          <cell r="AM45" t="str">
            <v>chò Dieãm Trang</v>
          </cell>
          <cell r="AO45" t="str">
            <v>MO</v>
          </cell>
        </row>
        <row r="46">
          <cell r="A46" t="str">
            <v>PCB</v>
          </cell>
          <cell r="B46">
            <v>41</v>
          </cell>
          <cell r="C46" t="str">
            <v>Taïp chí Theá Giôùi Vi Tính B</v>
          </cell>
          <cell r="D46" t="str">
            <v>Taïp chí Theá Giôùi Vi Tính- PC World VN</v>
          </cell>
          <cell r="E46" t="str">
            <v>THE GIOI VI TINH B</v>
          </cell>
          <cell r="F46">
            <v>7040.0000000000009</v>
          </cell>
          <cell r="H46">
            <v>9900</v>
          </cell>
          <cell r="I46">
            <v>8250</v>
          </cell>
          <cell r="J46">
            <v>13200.000000000002</v>
          </cell>
          <cell r="P46">
            <v>3960.0000000000005</v>
          </cell>
          <cell r="X46">
            <v>0.1</v>
          </cell>
          <cell r="Y46">
            <v>0.15</v>
          </cell>
          <cell r="Z46">
            <v>0.1</v>
          </cell>
          <cell r="AA46">
            <v>0.15</v>
          </cell>
          <cell r="AB46">
            <v>0.1</v>
          </cell>
          <cell r="AC46">
            <v>0.15</v>
          </cell>
          <cell r="AD46">
            <v>0.1</v>
          </cell>
          <cell r="AE46">
            <v>0.15</v>
          </cell>
          <cell r="AF46">
            <v>0.1</v>
          </cell>
          <cell r="AG46">
            <v>0.15</v>
          </cell>
          <cell r="AJ46" t="str">
            <v>829 4352</v>
          </cell>
          <cell r="AK46" t="str">
            <v>822 0742</v>
          </cell>
          <cell r="AL46" t="str">
            <v>79 Truong Dinh, Q.1, HCM</v>
          </cell>
          <cell r="AM46" t="str">
            <v>chò Dieãm Trang</v>
          </cell>
          <cell r="AO46" t="str">
            <v>MO</v>
          </cell>
        </row>
        <row r="47">
          <cell r="A47" t="str">
            <v>CNTD</v>
          </cell>
          <cell r="B47">
            <v>42</v>
          </cell>
          <cell r="C47" t="str">
            <v>taïp chí Caåm Nang Tieâu Duøng</v>
          </cell>
          <cell r="D47" t="str">
            <v>Thôøi baùo Kinh teá Saigon</v>
          </cell>
          <cell r="E47" t="str">
            <v>CAM NANG TIEU DUNG</v>
          </cell>
          <cell r="F47">
            <v>8000</v>
          </cell>
          <cell r="H47">
            <v>14000</v>
          </cell>
          <cell r="I47">
            <v>12000</v>
          </cell>
          <cell r="J47">
            <v>16000</v>
          </cell>
          <cell r="M47">
            <v>4800</v>
          </cell>
          <cell r="P47">
            <v>4000</v>
          </cell>
          <cell r="R47">
            <v>2000</v>
          </cell>
          <cell r="X47">
            <v>0.15</v>
          </cell>
          <cell r="Z47">
            <v>0.15</v>
          </cell>
          <cell r="AB47">
            <v>0.15</v>
          </cell>
          <cell r="AD47">
            <v>0.15</v>
          </cell>
          <cell r="AF47">
            <v>0.15</v>
          </cell>
          <cell r="AJ47" t="str">
            <v>8245336- 8245337</v>
          </cell>
          <cell r="AK47" t="str">
            <v>824 5339</v>
          </cell>
          <cell r="AL47" t="str">
            <v>10 Truong Dinh, Q.3, HCM</v>
          </cell>
          <cell r="AM47" t="str">
            <v>chò Hoøa</v>
          </cell>
          <cell r="AO47" t="str">
            <v>MO</v>
          </cell>
        </row>
        <row r="48">
          <cell r="A48" t="str">
            <v>TBKTSGNN</v>
          </cell>
          <cell r="B48">
            <v>43</v>
          </cell>
          <cell r="C48" t="str">
            <v>TBKTSG</v>
          </cell>
          <cell r="D48" t="str">
            <v>Thôøi baùo Kinh teá Saigon</v>
          </cell>
          <cell r="E48" t="str">
            <v>TBKTSG</v>
          </cell>
          <cell r="F48">
            <v>18600</v>
          </cell>
          <cell r="H48">
            <v>1600</v>
          </cell>
          <cell r="I48">
            <v>1400</v>
          </cell>
          <cell r="J48">
            <v>1800</v>
          </cell>
          <cell r="P48">
            <v>700</v>
          </cell>
          <cell r="R48">
            <v>450</v>
          </cell>
          <cell r="X48">
            <v>0.15</v>
          </cell>
          <cell r="Z48">
            <v>0.15</v>
          </cell>
          <cell r="AB48">
            <v>0.15</v>
          </cell>
          <cell r="AD48">
            <v>0.15</v>
          </cell>
          <cell r="AF48">
            <v>0.15</v>
          </cell>
          <cell r="AJ48" t="str">
            <v>829 5936</v>
          </cell>
          <cell r="AK48" t="str">
            <v>829 5742</v>
          </cell>
          <cell r="AL48" t="str">
            <v>35 NKKN, Q.3, HCM</v>
          </cell>
          <cell r="AM48" t="str">
            <v>chò Trang, Höông(K.Toaùn)</v>
          </cell>
          <cell r="AO48" t="str">
            <v>MO</v>
          </cell>
          <cell r="AP48" t="str">
            <v>030 145 6357</v>
          </cell>
        </row>
        <row r="49">
          <cell r="A49" t="str">
            <v>TBKTSG</v>
          </cell>
          <cell r="B49">
            <v>44</v>
          </cell>
          <cell r="C49" t="str">
            <v>TBKTSG</v>
          </cell>
          <cell r="D49" t="str">
            <v>Thôøi baùo Kinh teá Saigon</v>
          </cell>
          <cell r="E49" t="str">
            <v>TBKTSG</v>
          </cell>
          <cell r="F49">
            <v>12000</v>
          </cell>
          <cell r="H49">
            <v>1600</v>
          </cell>
          <cell r="I49">
            <v>1400</v>
          </cell>
          <cell r="J49">
            <v>1800</v>
          </cell>
          <cell r="P49">
            <v>700</v>
          </cell>
          <cell r="R49">
            <v>450</v>
          </cell>
          <cell r="X49">
            <v>0.15</v>
          </cell>
          <cell r="Z49">
            <v>0.15</v>
          </cell>
          <cell r="AB49">
            <v>0.15</v>
          </cell>
          <cell r="AD49">
            <v>0.15</v>
          </cell>
          <cell r="AF49">
            <v>0.15</v>
          </cell>
          <cell r="AJ49" t="str">
            <v>829 5936</v>
          </cell>
          <cell r="AK49" t="str">
            <v>829 5742</v>
          </cell>
          <cell r="AL49" t="str">
            <v>35 NKKN, Q.3, HCM</v>
          </cell>
          <cell r="AM49" t="str">
            <v>chò Trang, Höông(K.Toaùn)</v>
          </cell>
          <cell r="AO49" t="str">
            <v>MO</v>
          </cell>
          <cell r="AP49" t="str">
            <v>030 145 6357</v>
          </cell>
        </row>
        <row r="50">
          <cell r="A50" t="str">
            <v>SGT</v>
          </cell>
          <cell r="B50">
            <v>45</v>
          </cell>
          <cell r="C50" t="str">
            <v>Sai Gon Times Daily</v>
          </cell>
          <cell r="D50" t="str">
            <v>Thôøi baùo Kinh teá Saigon</v>
          </cell>
          <cell r="E50" t="str">
            <v>SAIGON TIMES</v>
          </cell>
          <cell r="F50">
            <v>2200</v>
          </cell>
          <cell r="P50">
            <v>1100</v>
          </cell>
          <cell r="R50">
            <v>600</v>
          </cell>
          <cell r="T50">
            <v>1200</v>
          </cell>
          <cell r="X50">
            <v>0.15</v>
          </cell>
          <cell r="Z50">
            <v>0.15</v>
          </cell>
          <cell r="AB50">
            <v>0.15</v>
          </cell>
          <cell r="AD50">
            <v>0.15</v>
          </cell>
          <cell r="AF50">
            <v>0.15</v>
          </cell>
          <cell r="AJ50" t="str">
            <v>829 5936</v>
          </cell>
          <cell r="AK50" t="str">
            <v>829 5742</v>
          </cell>
          <cell r="AL50" t="str">
            <v>35 NKKN, Q.3, HCM</v>
          </cell>
          <cell r="AM50" t="str">
            <v>chò Trang, Höông(K.Toaùn)</v>
          </cell>
          <cell r="AO50" t="str">
            <v>MO</v>
          </cell>
        </row>
        <row r="51">
          <cell r="A51" t="str">
            <v>SGTT</v>
          </cell>
          <cell r="B51">
            <v>46</v>
          </cell>
          <cell r="C51" t="str">
            <v>Baùo Saøi Goøn Tieáp Thò</v>
          </cell>
          <cell r="D51" t="str">
            <v>Thôøi baùo Kinh teá Saigon</v>
          </cell>
          <cell r="E51" t="str">
            <v>SAI GON TIEP THI</v>
          </cell>
          <cell r="F51">
            <v>23000</v>
          </cell>
          <cell r="J51">
            <v>26000</v>
          </cell>
          <cell r="M51">
            <v>18000</v>
          </cell>
          <cell r="P51">
            <v>12000</v>
          </cell>
          <cell r="R51">
            <v>7000</v>
          </cell>
          <cell r="T51">
            <v>16000</v>
          </cell>
          <cell r="X51">
            <v>0.15</v>
          </cell>
          <cell r="Z51">
            <v>0.15</v>
          </cell>
          <cell r="AB51">
            <v>0.15</v>
          </cell>
          <cell r="AD51">
            <v>0.15</v>
          </cell>
          <cell r="AF51">
            <v>0.15</v>
          </cell>
          <cell r="AJ51" t="str">
            <v>8245336- 8245337</v>
          </cell>
          <cell r="AK51" t="str">
            <v>824 5339</v>
          </cell>
          <cell r="AL51" t="str">
            <v>10 Truong Dinh, Q.3, HCM</v>
          </cell>
          <cell r="AM51" t="str">
            <v>chò Hoøa</v>
          </cell>
          <cell r="AO51" t="str">
            <v>MO</v>
          </cell>
        </row>
        <row r="52">
          <cell r="A52" t="str">
            <v>SGTW</v>
          </cell>
          <cell r="B52">
            <v>47</v>
          </cell>
          <cell r="C52" t="str">
            <v>Sai Gon Times Weekly</v>
          </cell>
          <cell r="D52" t="str">
            <v>Thôøi baùo Kinh teá Saigon</v>
          </cell>
          <cell r="E52" t="str">
            <v>SAIGON TIMES</v>
          </cell>
          <cell r="F52">
            <v>1000</v>
          </cell>
          <cell r="H52">
            <v>1300</v>
          </cell>
          <cell r="I52">
            <v>1200</v>
          </cell>
          <cell r="J52">
            <v>1500</v>
          </cell>
          <cell r="P52">
            <v>600</v>
          </cell>
          <cell r="T52">
            <v>800</v>
          </cell>
          <cell r="AJ52" t="str">
            <v>829 5936</v>
          </cell>
          <cell r="AK52" t="str">
            <v>829 5742</v>
          </cell>
          <cell r="AL52" t="str">
            <v>35 NKKN, Q.3, HCM</v>
          </cell>
          <cell r="AM52" t="str">
            <v>chò Trang, Höông(K.Toaùn)</v>
          </cell>
          <cell r="AO52" t="str">
            <v>MO</v>
          </cell>
        </row>
        <row r="53">
          <cell r="A53" t="str">
            <v>TBKTVN</v>
          </cell>
          <cell r="B53">
            <v>48</v>
          </cell>
          <cell r="C53" t="str">
            <v>TBKTVN</v>
          </cell>
          <cell r="D53" t="str">
            <v>Thôøi baùo Kinh Teá VN</v>
          </cell>
          <cell r="E53" t="str">
            <v>TBKTVN</v>
          </cell>
          <cell r="F53">
            <v>50490</v>
          </cell>
          <cell r="J53">
            <v>58905</v>
          </cell>
          <cell r="M53">
            <v>35343</v>
          </cell>
          <cell r="P53">
            <v>30294</v>
          </cell>
          <cell r="R53">
            <v>18176.400000000001</v>
          </cell>
          <cell r="T53">
            <v>38709</v>
          </cell>
          <cell r="X53">
            <v>0.4</v>
          </cell>
          <cell r="Y53">
            <v>0.15</v>
          </cell>
          <cell r="Z53">
            <v>0.4</v>
          </cell>
          <cell r="AA53">
            <v>0.15</v>
          </cell>
          <cell r="AB53">
            <v>0.5</v>
          </cell>
          <cell r="AC53">
            <v>0.15</v>
          </cell>
          <cell r="AD53">
            <v>0.5</v>
          </cell>
          <cell r="AE53">
            <v>0.15</v>
          </cell>
          <cell r="AF53">
            <v>0.4</v>
          </cell>
          <cell r="AG53">
            <v>0.15</v>
          </cell>
          <cell r="AJ53" t="str">
            <v>04 7552060</v>
          </cell>
          <cell r="AK53" t="str">
            <v>04 7552046</v>
          </cell>
          <cell r="AL53" t="str">
            <v>96 Hoaøng Quoác Vieät- Caàu Giaáy- HN</v>
          </cell>
          <cell r="AM53" t="str">
            <v>chò Höông (Ext 131)</v>
          </cell>
          <cell r="AN53" t="str">
            <v>0903 225653</v>
          </cell>
          <cell r="AO53" t="str">
            <v>MO</v>
          </cell>
        </row>
        <row r="54">
          <cell r="A54" t="str">
            <v>TVTD</v>
          </cell>
          <cell r="B54">
            <v>49</v>
          </cell>
          <cell r="C54" t="str">
            <v>taïp chí Tö Vaán Tieâu Duøng</v>
          </cell>
          <cell r="D54" t="str">
            <v>Thôøi baùo Kinh Teá VN</v>
          </cell>
          <cell r="E54" t="str">
            <v>TBKTVN- TU VAN TIEU DUNG</v>
          </cell>
          <cell r="F54">
            <v>1760.0000000000002</v>
          </cell>
          <cell r="H54">
            <v>2200</v>
          </cell>
          <cell r="I54">
            <v>1980.0000000000002</v>
          </cell>
          <cell r="J54">
            <v>2420</v>
          </cell>
          <cell r="P54">
            <v>990.00000000000011</v>
          </cell>
          <cell r="R54">
            <v>660</v>
          </cell>
          <cell r="T54">
            <v>1100</v>
          </cell>
          <cell r="AJ54" t="str">
            <v>04 7552060</v>
          </cell>
          <cell r="AK54" t="str">
            <v>04 7552046</v>
          </cell>
          <cell r="AL54" t="str">
            <v>96 Hoaøng Quoác Vieät- Caàu Giaáy- HN</v>
          </cell>
          <cell r="AM54" t="str">
            <v>chò Höông (Ext 131)</v>
          </cell>
          <cell r="AN54" t="str">
            <v>0903 225653</v>
          </cell>
          <cell r="AO54" t="str">
            <v>MO</v>
          </cell>
        </row>
        <row r="55">
          <cell r="A55" t="str">
            <v>TTVH</v>
          </cell>
          <cell r="B55">
            <v>50</v>
          </cell>
          <cell r="C55" t="str">
            <v>Baùo Theå Thao Vaên Hoaù</v>
          </cell>
          <cell r="D55" t="str">
            <v>Vaên phoøng ñaïi dieän thoâng taán xaõ VN taïi TP.HCM</v>
          </cell>
          <cell r="E55" t="str">
            <v>THE THAO VH</v>
          </cell>
          <cell r="F55">
            <v>10000</v>
          </cell>
          <cell r="J55">
            <v>12000</v>
          </cell>
          <cell r="P55">
            <v>5000</v>
          </cell>
          <cell r="R55">
            <v>2500</v>
          </cell>
          <cell r="T55">
            <v>6000</v>
          </cell>
          <cell r="X55">
            <v>0.2</v>
          </cell>
          <cell r="Z55">
            <v>0.2</v>
          </cell>
          <cell r="AB55">
            <v>0.2</v>
          </cell>
          <cell r="AD55">
            <v>0.2</v>
          </cell>
          <cell r="AF55">
            <v>0.2</v>
          </cell>
          <cell r="AJ55" t="str">
            <v>930 5922</v>
          </cell>
          <cell r="AK55" t="str">
            <v>930 3332</v>
          </cell>
          <cell r="AL55" t="str">
            <v>120 Nguyeãn Thò Minh Khai, Q.3, HCM</v>
          </cell>
          <cell r="AM55" t="str">
            <v>chuù Tò</v>
          </cell>
          <cell r="AN55" t="str">
            <v>0913 601129</v>
          </cell>
          <cell r="AO55" t="str">
            <v>MO</v>
          </cell>
          <cell r="AP55" t="str">
            <v>030 148 3671</v>
          </cell>
        </row>
        <row r="56">
          <cell r="A56" t="str">
            <v>SKDS</v>
          </cell>
          <cell r="B56">
            <v>51</v>
          </cell>
          <cell r="C56" t="str">
            <v>taïp chí Söùc khoeû vaø Ñôøi soáng</v>
          </cell>
          <cell r="D56" t="str">
            <v>Vaên phoøng ñaïi dieän tuaàn baùo Söùc khoûe vaø Ñôøi soáng</v>
          </cell>
          <cell r="E56" t="str">
            <v>SUC KHOE &amp; DOI SONG</v>
          </cell>
          <cell r="F56">
            <v>8500</v>
          </cell>
          <cell r="H56">
            <v>9000</v>
          </cell>
          <cell r="I56">
            <v>8500</v>
          </cell>
          <cell r="J56">
            <v>14000</v>
          </cell>
          <cell r="P56">
            <v>4500</v>
          </cell>
          <cell r="X56">
            <v>0.15</v>
          </cell>
          <cell r="Z56">
            <v>0.15</v>
          </cell>
          <cell r="AB56">
            <v>0.15</v>
          </cell>
          <cell r="AD56">
            <v>0.15</v>
          </cell>
          <cell r="AF56">
            <v>0.15</v>
          </cell>
          <cell r="AJ56" t="str">
            <v>822 9942</v>
          </cell>
          <cell r="AM56" t="str">
            <v>chò Nhaät Thanh</v>
          </cell>
          <cell r="AN56" t="str">
            <v>0903 312245</v>
          </cell>
          <cell r="AO56" t="str">
            <v>MO</v>
          </cell>
        </row>
        <row r="57">
          <cell r="A57" t="str">
            <v>ANTD</v>
          </cell>
          <cell r="B57">
            <v>52</v>
          </cell>
          <cell r="C57" t="str">
            <v>Baùo An Ninh Thuû Ñoâ</v>
          </cell>
          <cell r="D57" t="str">
            <v>Baùo An Ninh Thuû Ñoâ</v>
          </cell>
          <cell r="E57" t="str">
            <v>AN NINH THU DO</v>
          </cell>
          <cell r="F57">
            <v>15300</v>
          </cell>
          <cell r="M57">
            <v>8500</v>
          </cell>
          <cell r="P57">
            <v>7500</v>
          </cell>
          <cell r="R57">
            <v>4000</v>
          </cell>
          <cell r="T57">
            <v>10300</v>
          </cell>
          <cell r="X57">
            <v>0.25</v>
          </cell>
          <cell r="Z57">
            <v>0.25</v>
          </cell>
          <cell r="AB57">
            <v>0.25</v>
          </cell>
          <cell r="AD57">
            <v>0.25</v>
          </cell>
          <cell r="AF57">
            <v>0.25</v>
          </cell>
          <cell r="AJ57" t="str">
            <v>04 9426355</v>
          </cell>
          <cell r="AK57" t="str">
            <v>04 9426354</v>
          </cell>
          <cell r="AL57" t="str">
            <v>82 Lyù Thöôøng Kieät, Hoaøn Kieám, HN</v>
          </cell>
          <cell r="AM57" t="str">
            <v>anh Huøng</v>
          </cell>
          <cell r="AN57" t="str">
            <v>0913 228733</v>
          </cell>
          <cell r="AO57" t="str">
            <v>MO</v>
          </cell>
          <cell r="AP57" t="str">
            <v>01-001-09748</v>
          </cell>
        </row>
        <row r="58">
          <cell r="A58" t="str">
            <v>ANTG</v>
          </cell>
          <cell r="B58">
            <v>53</v>
          </cell>
          <cell r="C58" t="str">
            <v>Baùo An Ninh Theá Giôùi</v>
          </cell>
          <cell r="D58" t="str">
            <v>Baùo Coâng An Nhaân Daân</v>
          </cell>
          <cell r="E58" t="str">
            <v>AN NINH THE GIOI</v>
          </cell>
          <cell r="F58">
            <v>19500</v>
          </cell>
          <cell r="R58">
            <v>4875</v>
          </cell>
          <cell r="T58">
            <v>12500</v>
          </cell>
          <cell r="X58">
            <v>0.1</v>
          </cell>
          <cell r="Z58">
            <v>0.1</v>
          </cell>
          <cell r="AB58">
            <v>0.1</v>
          </cell>
          <cell r="AD58">
            <v>0.1</v>
          </cell>
          <cell r="AF58">
            <v>0.1</v>
          </cell>
          <cell r="AJ58" t="str">
            <v>8 373 602/ 04 8220035</v>
          </cell>
          <cell r="AK58" t="str">
            <v>8 373 603/ 06 943641</v>
          </cell>
          <cell r="AL58" t="str">
            <v>373D Nguyeãn Traõi- Q.1- Tp.HCM/ 100 Yeát Kieâu- Haø Noäi</v>
          </cell>
          <cell r="AM58" t="str">
            <v>anh Cöông</v>
          </cell>
          <cell r="AN58" t="str">
            <v>0903 703126</v>
          </cell>
          <cell r="AO58" t="str">
            <v>MO</v>
          </cell>
          <cell r="AP58" t="str">
            <v>01 0011 09691</v>
          </cell>
        </row>
        <row r="59">
          <cell r="A59" t="str">
            <v>CADN</v>
          </cell>
          <cell r="B59">
            <v>54</v>
          </cell>
          <cell r="C59" t="str">
            <v>Baùo Coâng an Tp. Ñaø Naüng</v>
          </cell>
          <cell r="D59" t="str">
            <v>Baùo Coâng an Tp. Ñaø Naüng</v>
          </cell>
          <cell r="E59" t="str">
            <v>CONG AN TPDN</v>
          </cell>
          <cell r="F59">
            <v>15000</v>
          </cell>
          <cell r="M59">
            <v>8000</v>
          </cell>
          <cell r="P59">
            <v>8000</v>
          </cell>
          <cell r="R59">
            <v>4500</v>
          </cell>
          <cell r="T59">
            <v>6000</v>
          </cell>
          <cell r="AJ59" t="str">
            <v>0511 822626</v>
          </cell>
          <cell r="AK59" t="str">
            <v>0511 822795</v>
          </cell>
          <cell r="AL59" t="str">
            <v>62 Phan Chaâu Trinh- Daø Naüng</v>
          </cell>
          <cell r="AM59" t="str">
            <v>anh Phuùc</v>
          </cell>
          <cell r="AN59" t="str">
            <v>0903 924405</v>
          </cell>
          <cell r="AO59" t="str">
            <v>MO</v>
          </cell>
        </row>
        <row r="60">
          <cell r="A60" t="str">
            <v>CADN-M</v>
          </cell>
          <cell r="B60">
            <v>55</v>
          </cell>
          <cell r="C60" t="str">
            <v>Baùo Coâng an Tp. Ñaø Naüng (Nguyeät san)</v>
          </cell>
          <cell r="D60" t="str">
            <v>Baùo Coâng an Tp. Ñaø Naüng</v>
          </cell>
          <cell r="E60" t="str">
            <v>CONG AN TPDN</v>
          </cell>
          <cell r="F60">
            <v>5000</v>
          </cell>
          <cell r="M60">
            <v>3000</v>
          </cell>
          <cell r="P60">
            <v>3000</v>
          </cell>
          <cell r="T60">
            <v>3500</v>
          </cell>
          <cell r="AJ60" t="str">
            <v>0511 822626</v>
          </cell>
          <cell r="AK60" t="str">
            <v>0511 822795</v>
          </cell>
          <cell r="AL60" t="str">
            <v>62 Phan Chaâu Trinh- Daø Naüng</v>
          </cell>
          <cell r="AM60" t="str">
            <v>anh Phuùc</v>
          </cell>
          <cell r="AN60" t="str">
            <v>0903 924405</v>
          </cell>
          <cell r="AO60" t="str">
            <v>MO</v>
          </cell>
        </row>
        <row r="61">
          <cell r="A61" t="str">
            <v>CNGD</v>
          </cell>
          <cell r="B61">
            <v>56</v>
          </cell>
          <cell r="C61" t="str">
            <v>Caåm Nang Gia Ñình</v>
          </cell>
          <cell r="E61" t="str">
            <v>CAM NANG GIA DINH</v>
          </cell>
          <cell r="F61">
            <v>5500</v>
          </cell>
          <cell r="H61">
            <v>7700.0000000000009</v>
          </cell>
          <cell r="I61">
            <v>6600.0000000000009</v>
          </cell>
          <cell r="J61">
            <v>13200.000000000002</v>
          </cell>
          <cell r="P61">
            <v>2970.0000000000005</v>
          </cell>
          <cell r="R61">
            <v>2200</v>
          </cell>
          <cell r="AJ61" t="str">
            <v>8393 249</v>
          </cell>
          <cell r="AK61" t="str">
            <v>8393 249</v>
          </cell>
          <cell r="AL61" t="str">
            <v>412 Vo Van Tan- HCM</v>
          </cell>
          <cell r="AM61" t="str">
            <v>anh Minh</v>
          </cell>
          <cell r="AN61" t="str">
            <v>0903 743025</v>
          </cell>
          <cell r="AO61" t="str">
            <v>MO</v>
          </cell>
        </row>
        <row r="62">
          <cell r="A62" t="str">
            <v>CT</v>
          </cell>
          <cell r="B62">
            <v>57</v>
          </cell>
          <cell r="C62" t="str">
            <v>Baùo Caàn Thô</v>
          </cell>
          <cell r="D62" t="str">
            <v>Baùo Caàn Thô</v>
          </cell>
          <cell r="E62" t="str">
            <v>CAN THO</v>
          </cell>
          <cell r="F62">
            <v>27500</v>
          </cell>
          <cell r="M62">
            <v>17160</v>
          </cell>
          <cell r="P62">
            <v>14300</v>
          </cell>
          <cell r="R62">
            <v>7150</v>
          </cell>
          <cell r="T62">
            <v>20900</v>
          </cell>
          <cell r="AJ62" t="str">
            <v>071 830 098</v>
          </cell>
          <cell r="AK62" t="str">
            <v>071 830 561</v>
          </cell>
          <cell r="AL62" t="str">
            <v>62 Lyù Töï Troïng- Tp. Caàn Thô</v>
          </cell>
          <cell r="AM62" t="str">
            <v>chò Ñaøo</v>
          </cell>
          <cell r="AO62" t="str">
            <v>MO</v>
          </cell>
        </row>
        <row r="63">
          <cell r="A63" t="str">
            <v>DAKT</v>
          </cell>
          <cell r="B63">
            <v>58</v>
          </cell>
          <cell r="C63" t="str">
            <v>Taïp chí Ñieän Aûnh Kòch Tröôøng</v>
          </cell>
          <cell r="E63" t="str">
            <v>DIEN ANH KICH TRUONG</v>
          </cell>
          <cell r="F63">
            <v>8000</v>
          </cell>
          <cell r="H63">
            <v>10000</v>
          </cell>
          <cell r="I63">
            <v>10000</v>
          </cell>
          <cell r="J63">
            <v>12000</v>
          </cell>
          <cell r="P63">
            <v>4300</v>
          </cell>
          <cell r="R63">
            <v>2600</v>
          </cell>
          <cell r="X63">
            <v>0.4</v>
          </cell>
          <cell r="Z63">
            <v>0.4</v>
          </cell>
          <cell r="AB63">
            <v>0.4</v>
          </cell>
          <cell r="AD63">
            <v>0.4</v>
          </cell>
          <cell r="AF63">
            <v>0.4</v>
          </cell>
          <cell r="AJ63" t="str">
            <v>995 0713</v>
          </cell>
          <cell r="AK63" t="str">
            <v>825 0750</v>
          </cell>
          <cell r="AL63" t="str">
            <v>59F Tran Quoc Toan, q3, HCM</v>
          </cell>
          <cell r="AM63" t="str">
            <v>Chò Nhaïn</v>
          </cell>
          <cell r="AN63" t="str">
            <v>0903 668496</v>
          </cell>
          <cell r="AO63" t="str">
            <v>MO</v>
          </cell>
        </row>
        <row r="64">
          <cell r="A64" t="str">
            <v>DAKTVN</v>
          </cell>
          <cell r="B64">
            <v>59</v>
          </cell>
          <cell r="C64" t="str">
            <v>Taïp chí Ñieän Aûnh Kòch Tröôøng VN</v>
          </cell>
          <cell r="E64" t="str">
            <v>DIEN ANH KICH TRUONG VN</v>
          </cell>
          <cell r="F64">
            <v>15000</v>
          </cell>
          <cell r="H64">
            <v>20000</v>
          </cell>
          <cell r="I64">
            <v>18000</v>
          </cell>
          <cell r="J64">
            <v>25000</v>
          </cell>
          <cell r="M64">
            <v>8000</v>
          </cell>
          <cell r="P64">
            <v>8000</v>
          </cell>
          <cell r="R64">
            <v>4000</v>
          </cell>
          <cell r="S64">
            <v>30000</v>
          </cell>
          <cell r="X64">
            <v>0.15</v>
          </cell>
          <cell r="Z64">
            <v>0.15</v>
          </cell>
          <cell r="AB64">
            <v>0.15</v>
          </cell>
          <cell r="AD64">
            <v>0.15</v>
          </cell>
          <cell r="AF64">
            <v>0.15</v>
          </cell>
          <cell r="AO64" t="str">
            <v>MO</v>
          </cell>
        </row>
        <row r="65">
          <cell r="A65" t="str">
            <v>DATP</v>
          </cell>
          <cell r="B65">
            <v>60</v>
          </cell>
          <cell r="C65" t="str">
            <v>Taïp chí Ñieän Aûnh Tp. HCM</v>
          </cell>
          <cell r="E65" t="str">
            <v>DIEN ANH TP</v>
          </cell>
          <cell r="F65">
            <v>15000</v>
          </cell>
          <cell r="H65">
            <v>20000</v>
          </cell>
          <cell r="I65">
            <v>20000</v>
          </cell>
          <cell r="J65">
            <v>29000</v>
          </cell>
          <cell r="P65">
            <v>8000</v>
          </cell>
          <cell r="X65">
            <v>0.3</v>
          </cell>
          <cell r="Z65">
            <v>0.3</v>
          </cell>
          <cell r="AB65">
            <v>0.3</v>
          </cell>
          <cell r="AD65">
            <v>0.3</v>
          </cell>
          <cell r="AF65">
            <v>0.3</v>
          </cell>
          <cell r="AJ65" t="str">
            <v>932 1259</v>
          </cell>
          <cell r="AK65" t="str">
            <v>932 1249</v>
          </cell>
          <cell r="AM65" t="str">
            <v>anh Cöù</v>
          </cell>
          <cell r="AN65" t="str">
            <v>0903 616321</v>
          </cell>
          <cell r="AO65" t="str">
            <v>MO</v>
          </cell>
        </row>
        <row r="66">
          <cell r="A66" t="str">
            <v>DDSK</v>
          </cell>
          <cell r="B66">
            <v>61</v>
          </cell>
          <cell r="C66" t="str">
            <v>Dinh Döôõng &amp; Söùc Khoeû</v>
          </cell>
          <cell r="D66" t="str">
            <v>Cty TNHH Saùch Vieät</v>
          </cell>
          <cell r="E66" t="str">
            <v>SACH VIET- DINH DUONG &amp; SUC KHOE</v>
          </cell>
          <cell r="F66">
            <v>6600.0000000000009</v>
          </cell>
          <cell r="H66">
            <v>13200.000000000002</v>
          </cell>
          <cell r="I66">
            <v>13200.000000000002</v>
          </cell>
          <cell r="J66">
            <v>16500</v>
          </cell>
          <cell r="M66">
            <v>4400</v>
          </cell>
          <cell r="P66">
            <v>4400</v>
          </cell>
          <cell r="R66">
            <v>2750</v>
          </cell>
          <cell r="S66">
            <v>12100.000000000002</v>
          </cell>
          <cell r="AM66" t="str">
            <v>anh Phuù</v>
          </cell>
          <cell r="AN66" t="str">
            <v>0903 713836</v>
          </cell>
          <cell r="AO66" t="str">
            <v>MO</v>
          </cell>
        </row>
        <row r="67">
          <cell r="A67" t="str">
            <v>TSK-S</v>
          </cell>
          <cell r="B67">
            <v>62</v>
          </cell>
          <cell r="C67" t="str">
            <v>Tia Saùng Khoeû</v>
          </cell>
          <cell r="D67" t="str">
            <v>Cty TNHH Saùch Vieät</v>
          </cell>
          <cell r="E67" t="str">
            <v>SACH VIET- TIA SANG KHOE</v>
          </cell>
          <cell r="F67">
            <v>6600.0000000000009</v>
          </cell>
          <cell r="G67">
            <v>10000</v>
          </cell>
          <cell r="H67">
            <v>13200.000000000002</v>
          </cell>
          <cell r="I67">
            <v>6000</v>
          </cell>
          <cell r="J67">
            <v>16500</v>
          </cell>
          <cell r="M67">
            <v>4400</v>
          </cell>
          <cell r="P67">
            <v>4400</v>
          </cell>
          <cell r="R67">
            <v>2750</v>
          </cell>
          <cell r="S67">
            <v>12100.000000000002</v>
          </cell>
          <cell r="X67">
            <v>0.15</v>
          </cell>
          <cell r="Z67">
            <v>0.15</v>
          </cell>
          <cell r="AB67">
            <v>0.15</v>
          </cell>
          <cell r="AD67">
            <v>0.15</v>
          </cell>
          <cell r="AF67">
            <v>0.15</v>
          </cell>
          <cell r="AH67">
            <v>0.15</v>
          </cell>
          <cell r="AJ67" t="str">
            <v>845 0598</v>
          </cell>
          <cell r="AL67" t="str">
            <v>185 Nguyeãn Ñình Chính, Phuù Nhuaän</v>
          </cell>
          <cell r="AM67" t="str">
            <v>anh Phuù</v>
          </cell>
          <cell r="AN67" t="str">
            <v>0903 713836</v>
          </cell>
          <cell r="AO67" t="str">
            <v>MO</v>
          </cell>
          <cell r="AP67" t="str">
            <v>030 239 7312</v>
          </cell>
        </row>
        <row r="68">
          <cell r="A68" t="str">
            <v>DDDN</v>
          </cell>
          <cell r="B68">
            <v>63</v>
          </cell>
          <cell r="C68" t="str">
            <v>Dieãn Ñaøn Doanh Nghieäp</v>
          </cell>
          <cell r="E68" t="str">
            <v>DIEN DAN DOANH NGHIEP</v>
          </cell>
          <cell r="F68">
            <v>10000</v>
          </cell>
          <cell r="J68">
            <v>12000</v>
          </cell>
          <cell r="M68">
            <v>6000</v>
          </cell>
          <cell r="N68">
            <v>6000</v>
          </cell>
          <cell r="P68">
            <v>5000</v>
          </cell>
          <cell r="R68">
            <v>3000</v>
          </cell>
          <cell r="T68">
            <v>6000</v>
          </cell>
          <cell r="AJ68">
            <v>9321702</v>
          </cell>
          <cell r="AK68">
            <v>9321704</v>
          </cell>
          <cell r="AL68" t="str">
            <v>171 Voõ Thò Saùu, P.7, Q.3, Tp. HCM</v>
          </cell>
          <cell r="AM68" t="str">
            <v>chò Phan</v>
          </cell>
          <cell r="AN68" t="str">
            <v>0903 973146</v>
          </cell>
          <cell r="AO68" t="str">
            <v>MO</v>
          </cell>
          <cell r="AP68" t="str">
            <v>01 001 483911</v>
          </cell>
        </row>
        <row r="69">
          <cell r="A69" t="str">
            <v>DM</v>
          </cell>
          <cell r="B69">
            <v>64</v>
          </cell>
          <cell r="C69" t="str">
            <v>Baùo aûnh Ñaát Muõi</v>
          </cell>
          <cell r="D69" t="str">
            <v>Baùo aûnh Ñaát Muõi</v>
          </cell>
          <cell r="E69" t="str">
            <v>DAT MUI</v>
          </cell>
          <cell r="F69">
            <v>17500</v>
          </cell>
          <cell r="H69">
            <v>22000</v>
          </cell>
          <cell r="I69">
            <v>22000</v>
          </cell>
          <cell r="J69">
            <v>26000</v>
          </cell>
          <cell r="M69">
            <v>10000</v>
          </cell>
          <cell r="P69">
            <v>10000</v>
          </cell>
          <cell r="X69">
            <v>0.2</v>
          </cell>
          <cell r="Z69">
            <v>0.2</v>
          </cell>
          <cell r="AB69">
            <v>0.2</v>
          </cell>
          <cell r="AD69">
            <v>0.2</v>
          </cell>
          <cell r="AF69">
            <v>0.2</v>
          </cell>
          <cell r="AJ69" t="str">
            <v>857 8163</v>
          </cell>
          <cell r="AK69" t="str">
            <v>853 8500</v>
          </cell>
          <cell r="AL69" t="str">
            <v>161 Nguyeãn Tri Phöông, p.8, q.5, HCM</v>
          </cell>
          <cell r="AM69" t="str">
            <v>chò Anh Thö</v>
          </cell>
          <cell r="AN69" t="str">
            <v>0903 713688</v>
          </cell>
          <cell r="AO69" t="str">
            <v>MO</v>
          </cell>
        </row>
        <row r="70">
          <cell r="A70" t="str">
            <v>DT</v>
          </cell>
          <cell r="B70">
            <v>65</v>
          </cell>
          <cell r="C70" t="str">
            <v>Baùo Ñaàu Tö</v>
          </cell>
          <cell r="D70" t="str">
            <v>Baùo Ñaàu Tö</v>
          </cell>
          <cell r="E70" t="str">
            <v>DAU TU</v>
          </cell>
          <cell r="F70">
            <v>19800</v>
          </cell>
          <cell r="M70">
            <v>11550.000000000002</v>
          </cell>
          <cell r="P70">
            <v>11550.000000000002</v>
          </cell>
          <cell r="R70">
            <v>6050.0000000000009</v>
          </cell>
          <cell r="T70">
            <v>15400.000000000002</v>
          </cell>
          <cell r="AJ70" t="str">
            <v>823 8325</v>
          </cell>
          <cell r="AK70" t="str">
            <v>823 8323</v>
          </cell>
          <cell r="AL70" t="str">
            <v>2A-7A Ton Duc Thang, lau 12, Q.1</v>
          </cell>
          <cell r="AM70" t="str">
            <v>chò Huyeàn</v>
          </cell>
          <cell r="AO70" t="str">
            <v>MO</v>
          </cell>
        </row>
        <row r="71">
          <cell r="A71" t="str">
            <v>GDTE</v>
          </cell>
          <cell r="B71">
            <v>66</v>
          </cell>
          <cell r="C71" t="str">
            <v>Gia Ñình &amp; Treû Em</v>
          </cell>
          <cell r="D71" t="str">
            <v>Taïp chí Gia Ñình &amp; Treû Em</v>
          </cell>
          <cell r="E71" t="str">
            <v>GIA DINH &amp; TRE EM</v>
          </cell>
          <cell r="X71">
            <v>0.15</v>
          </cell>
          <cell r="Z71">
            <v>0.15</v>
          </cell>
          <cell r="AB71">
            <v>0.15</v>
          </cell>
          <cell r="AD71">
            <v>0.15</v>
          </cell>
          <cell r="AF71">
            <v>0.15</v>
          </cell>
          <cell r="AJ71" t="str">
            <v>04 8463263</v>
          </cell>
          <cell r="AL71" t="str">
            <v>12 Ngoâ Taát Toá, Ñoáng Ña, HN</v>
          </cell>
          <cell r="AM71" t="str">
            <v>chò Sao Chi</v>
          </cell>
          <cell r="AO71" t="str">
            <v>MO</v>
          </cell>
        </row>
        <row r="72">
          <cell r="A72" t="str">
            <v>HER</v>
          </cell>
          <cell r="B72">
            <v>67</v>
          </cell>
          <cell r="C72" t="str">
            <v>Heritage</v>
          </cell>
          <cell r="E72" t="str">
            <v>HERITAGE</v>
          </cell>
          <cell r="F72">
            <v>5060</v>
          </cell>
          <cell r="H72">
            <v>7700.0000000000009</v>
          </cell>
          <cell r="I72">
            <v>7700.0000000000009</v>
          </cell>
          <cell r="J72">
            <v>9460</v>
          </cell>
          <cell r="P72">
            <v>3036.0000000000005</v>
          </cell>
          <cell r="R72">
            <v>1694.0000000000002</v>
          </cell>
          <cell r="X72">
            <v>0.15</v>
          </cell>
          <cell r="Z72">
            <v>0.15</v>
          </cell>
          <cell r="AB72">
            <v>0.15</v>
          </cell>
          <cell r="AD72">
            <v>0.15</v>
          </cell>
          <cell r="AF72">
            <v>0.15</v>
          </cell>
          <cell r="AJ72" t="str">
            <v>811 8706 (Ext: 309)</v>
          </cell>
          <cell r="AK72" t="str">
            <v>811 7408</v>
          </cell>
          <cell r="AL72" t="str">
            <v>1/1 Hoang Viet- HCM</v>
          </cell>
          <cell r="AM72" t="str">
            <v>chò Mai Phöông</v>
          </cell>
          <cell r="AN72" t="str">
            <v>0903 813040</v>
          </cell>
          <cell r="AO72" t="str">
            <v>MO</v>
          </cell>
        </row>
        <row r="73">
          <cell r="A73" t="str">
            <v>HERF</v>
          </cell>
          <cell r="B73">
            <v>68</v>
          </cell>
          <cell r="C73" t="str">
            <v>Heritage Fashion</v>
          </cell>
          <cell r="E73" t="str">
            <v>HERITAGE FASHION</v>
          </cell>
          <cell r="F73">
            <v>4953.3</v>
          </cell>
          <cell r="H73">
            <v>8192.8000000000011</v>
          </cell>
          <cell r="I73">
            <v>7538.3</v>
          </cell>
          <cell r="J73">
            <v>9308.2000000000007</v>
          </cell>
          <cell r="P73">
            <v>2972.2000000000003</v>
          </cell>
          <cell r="R73">
            <v>1658.8000000000002</v>
          </cell>
          <cell r="S73">
            <v>8615.2000000000007</v>
          </cell>
          <cell r="X73">
            <v>0.1</v>
          </cell>
          <cell r="Y73">
            <v>0.05</v>
          </cell>
          <cell r="Z73">
            <v>0.1</v>
          </cell>
          <cell r="AA73">
            <v>0.05</v>
          </cell>
          <cell r="AB73">
            <v>0.1</v>
          </cell>
          <cell r="AC73">
            <v>0.05</v>
          </cell>
          <cell r="AD73">
            <v>0.1</v>
          </cell>
          <cell r="AE73">
            <v>0.05</v>
          </cell>
          <cell r="AF73">
            <v>0.1</v>
          </cell>
          <cell r="AG73">
            <v>0.05</v>
          </cell>
          <cell r="AL73" t="str">
            <v>146AB Pasteur, Q.1, Tp. HCM (2nd floor)</v>
          </cell>
          <cell r="AM73" t="str">
            <v>chò Minh Trang</v>
          </cell>
          <cell r="AO73" t="str">
            <v>MO</v>
          </cell>
        </row>
        <row r="74">
          <cell r="A74" t="str">
            <v>HNMNN</v>
          </cell>
          <cell r="B74">
            <v>69</v>
          </cell>
          <cell r="C74" t="str">
            <v>Hanoi Môùi</v>
          </cell>
          <cell r="D74" t="str">
            <v>Baùo Haø Noäi Môùi</v>
          </cell>
          <cell r="E74" t="str">
            <v>HANOI MOI</v>
          </cell>
          <cell r="M74">
            <v>24000</v>
          </cell>
          <cell r="P74">
            <v>13000</v>
          </cell>
          <cell r="Q74">
            <v>6500</v>
          </cell>
          <cell r="R74">
            <v>8000</v>
          </cell>
          <cell r="T74">
            <v>20000</v>
          </cell>
          <cell r="X74">
            <v>0.03</v>
          </cell>
          <cell r="Z74">
            <v>0.03</v>
          </cell>
          <cell r="AB74">
            <v>0.03</v>
          </cell>
          <cell r="AD74">
            <v>0.03</v>
          </cell>
          <cell r="AF74">
            <v>0.03</v>
          </cell>
          <cell r="AJ74" t="str">
            <v>04 828 7335</v>
          </cell>
          <cell r="AK74" t="str">
            <v>04 828 7327</v>
          </cell>
          <cell r="AL74" t="str">
            <v>44 Leâ Thaùi Toå- HN</v>
          </cell>
          <cell r="AM74" t="str">
            <v>chò Lan Höông</v>
          </cell>
          <cell r="AO74" t="str">
            <v>MO</v>
          </cell>
          <cell r="AP74" t="str">
            <v>010 011 0486- 1</v>
          </cell>
        </row>
        <row r="75">
          <cell r="A75" t="str">
            <v>HNM</v>
          </cell>
          <cell r="B75">
            <v>70</v>
          </cell>
          <cell r="C75" t="str">
            <v>Hanoi Môùi</v>
          </cell>
          <cell r="D75" t="str">
            <v>Baùo Haø Noäi Môùi</v>
          </cell>
          <cell r="E75" t="str">
            <v>HANOI MOI</v>
          </cell>
          <cell r="F75">
            <v>24000</v>
          </cell>
          <cell r="M75">
            <v>16000</v>
          </cell>
          <cell r="P75">
            <v>13000</v>
          </cell>
          <cell r="Q75">
            <v>6500</v>
          </cell>
          <cell r="R75">
            <v>8000</v>
          </cell>
          <cell r="T75">
            <v>20000</v>
          </cell>
          <cell r="X75">
            <v>0.03</v>
          </cell>
          <cell r="Z75">
            <v>0.03</v>
          </cell>
          <cell r="AB75">
            <v>0.03</v>
          </cell>
          <cell r="AD75">
            <v>0.03</v>
          </cell>
          <cell r="AF75">
            <v>0.03</v>
          </cell>
          <cell r="AJ75" t="str">
            <v>04 828 7335 (ext: 121)</v>
          </cell>
          <cell r="AK75" t="str">
            <v>04 828 7327</v>
          </cell>
          <cell r="AL75" t="str">
            <v>44 Leâ Thaùi Toå- HN</v>
          </cell>
          <cell r="AM75" t="str">
            <v>chò Lan Höông</v>
          </cell>
          <cell r="AO75" t="str">
            <v>MO</v>
          </cell>
          <cell r="AP75" t="str">
            <v>010 011 0486- 1</v>
          </cell>
        </row>
        <row r="76">
          <cell r="A76" t="str">
            <v>HTV</v>
          </cell>
          <cell r="B76">
            <v>71</v>
          </cell>
          <cell r="C76" t="str">
            <v>Baûn Tin HTV</v>
          </cell>
          <cell r="E76" t="str">
            <v>BAN TIN HTV</v>
          </cell>
          <cell r="F76">
            <v>8800</v>
          </cell>
          <cell r="H76">
            <v>11000</v>
          </cell>
          <cell r="I76">
            <v>11000</v>
          </cell>
          <cell r="J76">
            <v>13200.000000000002</v>
          </cell>
          <cell r="P76">
            <v>5500</v>
          </cell>
          <cell r="R76">
            <v>3300.0000000000005</v>
          </cell>
          <cell r="AO76" t="str">
            <v>MO</v>
          </cell>
        </row>
        <row r="77">
          <cell r="A77" t="str">
            <v>KTGD</v>
          </cell>
          <cell r="B77">
            <v>72</v>
          </cell>
          <cell r="C77" t="str">
            <v>KT Gia Ñình</v>
          </cell>
          <cell r="E77" t="str">
            <v>KT GIA DINH</v>
          </cell>
          <cell r="F77">
            <v>13200.000000000002</v>
          </cell>
          <cell r="H77">
            <v>16500</v>
          </cell>
          <cell r="I77">
            <v>16500</v>
          </cell>
          <cell r="J77">
            <v>19800</v>
          </cell>
          <cell r="M77">
            <v>7700.0000000000009</v>
          </cell>
          <cell r="P77">
            <v>6600.0000000000009</v>
          </cell>
          <cell r="R77">
            <v>3850.0000000000005</v>
          </cell>
          <cell r="S77">
            <v>25850.000000000004</v>
          </cell>
          <cell r="AO77" t="str">
            <v>MO</v>
          </cell>
        </row>
        <row r="78">
          <cell r="A78" t="str">
            <v>KTNN</v>
          </cell>
          <cell r="B78">
            <v>73</v>
          </cell>
          <cell r="C78" t="str">
            <v>Taïp chí Kieán Thöùc Ngaøy Nay</v>
          </cell>
          <cell r="D78" t="str">
            <v>Taïp chí Kieán Thöùc Ngaøy Nay</v>
          </cell>
          <cell r="E78" t="str">
            <v>KIEN THUC NGAY NAY</v>
          </cell>
          <cell r="F78">
            <v>8000</v>
          </cell>
          <cell r="H78">
            <v>12000</v>
          </cell>
          <cell r="I78">
            <v>10000</v>
          </cell>
          <cell r="X78">
            <v>0.15</v>
          </cell>
          <cell r="Z78">
            <v>0.15</v>
          </cell>
          <cell r="AB78">
            <v>0.15</v>
          </cell>
          <cell r="AD78">
            <v>0.15</v>
          </cell>
          <cell r="AF78">
            <v>0.15</v>
          </cell>
          <cell r="AJ78" t="str">
            <v>836 8361</v>
          </cell>
          <cell r="AK78" t="str">
            <v>836 8005</v>
          </cell>
          <cell r="AL78" t="str">
            <v>68 Tran Hung Dao, Q.1, Tp.HCM</v>
          </cell>
          <cell r="AM78" t="str">
            <v>anh Khanh</v>
          </cell>
          <cell r="AO78" t="str">
            <v>MO</v>
          </cell>
        </row>
        <row r="79">
          <cell r="A79" t="str">
            <v>LD</v>
          </cell>
          <cell r="B79">
            <v>74</v>
          </cell>
          <cell r="C79" t="str">
            <v>Baùo Lao Ñoäng</v>
          </cell>
          <cell r="D79" t="str">
            <v>Baùo Lao Ñoäng</v>
          </cell>
          <cell r="E79" t="str">
            <v>LAO DONG</v>
          </cell>
          <cell r="F79">
            <v>23100</v>
          </cell>
          <cell r="J79">
            <v>26400</v>
          </cell>
          <cell r="M79">
            <v>13860</v>
          </cell>
          <cell r="P79">
            <v>11550</v>
          </cell>
          <cell r="R79">
            <v>5775</v>
          </cell>
          <cell r="T79">
            <v>17600</v>
          </cell>
          <cell r="X79">
            <v>0.1</v>
          </cell>
          <cell r="Z79">
            <v>0.1</v>
          </cell>
          <cell r="AB79">
            <v>0.1</v>
          </cell>
          <cell r="AD79">
            <v>0.1</v>
          </cell>
          <cell r="AF79">
            <v>0.1</v>
          </cell>
          <cell r="AJ79" t="str">
            <v>04 8252 442</v>
          </cell>
          <cell r="AK79" t="str">
            <v>04 8 288 658</v>
          </cell>
          <cell r="AL79" t="str">
            <v>51 Hang Bo, HN</v>
          </cell>
          <cell r="AM79" t="str">
            <v>chò Quyønh Mai</v>
          </cell>
          <cell r="AN79" t="str">
            <v>0903 445060</v>
          </cell>
          <cell r="AO79" t="str">
            <v>MO</v>
          </cell>
        </row>
        <row r="80">
          <cell r="A80" t="str">
            <v>LDRP</v>
          </cell>
          <cell r="B80">
            <v>75</v>
          </cell>
          <cell r="C80" t="str">
            <v>Baùo Lao Ñoäng</v>
          </cell>
          <cell r="D80" t="str">
            <v>Baùo Lao Ñoäng</v>
          </cell>
          <cell r="E80" t="str">
            <v>LAO DONG</v>
          </cell>
          <cell r="F80">
            <v>27720</v>
          </cell>
          <cell r="J80">
            <v>31680</v>
          </cell>
          <cell r="M80">
            <v>16632</v>
          </cell>
          <cell r="P80">
            <v>13860</v>
          </cell>
          <cell r="R80">
            <v>6930</v>
          </cell>
          <cell r="T80">
            <v>21120</v>
          </cell>
          <cell r="X80">
            <v>0.1</v>
          </cell>
          <cell r="Z80">
            <v>0.1</v>
          </cell>
          <cell r="AB80">
            <v>0.1</v>
          </cell>
          <cell r="AD80">
            <v>0.1</v>
          </cell>
          <cell r="AF80">
            <v>0.1</v>
          </cell>
          <cell r="AJ80" t="str">
            <v>04 8252 442</v>
          </cell>
          <cell r="AK80" t="str">
            <v>04 8 288 658</v>
          </cell>
          <cell r="AL80" t="str">
            <v>51 Hang Bo, HN</v>
          </cell>
          <cell r="AM80" t="str">
            <v>chò Quyønh Mai</v>
          </cell>
          <cell r="AN80" t="str">
            <v>0903 445060</v>
          </cell>
          <cell r="AO80" t="str">
            <v>MO</v>
          </cell>
        </row>
        <row r="81">
          <cell r="A81" t="str">
            <v>MODE</v>
          </cell>
          <cell r="B81">
            <v>76</v>
          </cell>
          <cell r="C81" t="str">
            <v>Mot VN</v>
          </cell>
          <cell r="E81" t="str">
            <v>MOT VN</v>
          </cell>
          <cell r="F81">
            <v>8000</v>
          </cell>
          <cell r="H81">
            <v>10000</v>
          </cell>
          <cell r="I81">
            <v>9000</v>
          </cell>
          <cell r="J81">
            <v>12000</v>
          </cell>
          <cell r="P81">
            <v>4000</v>
          </cell>
          <cell r="X81">
            <v>0.15</v>
          </cell>
          <cell r="Z81">
            <v>0.15</v>
          </cell>
          <cell r="AB81">
            <v>0.15</v>
          </cell>
          <cell r="AD81">
            <v>0.15</v>
          </cell>
          <cell r="AF81">
            <v>0.15</v>
          </cell>
          <cell r="AO81" t="str">
            <v>MO</v>
          </cell>
        </row>
        <row r="82">
          <cell r="A82" t="str">
            <v>NC</v>
          </cell>
          <cell r="B82">
            <v>77</v>
          </cell>
          <cell r="C82" t="str">
            <v>Nhòp Caàu</v>
          </cell>
          <cell r="E82" t="str">
            <v>NHIP CAU</v>
          </cell>
          <cell r="F82">
            <v>17600</v>
          </cell>
          <cell r="H82">
            <v>19800</v>
          </cell>
          <cell r="I82">
            <v>19800</v>
          </cell>
          <cell r="J82">
            <v>30800.000000000004</v>
          </cell>
          <cell r="P82">
            <v>8800</v>
          </cell>
          <cell r="R82">
            <v>4400</v>
          </cell>
          <cell r="AO82" t="str">
            <v>MO</v>
          </cell>
        </row>
        <row r="83">
          <cell r="A83" t="str">
            <v>NHN</v>
          </cell>
          <cell r="B83">
            <v>78</v>
          </cell>
          <cell r="C83" t="str">
            <v>Ngöôøi HN cuoái tuaàn</v>
          </cell>
          <cell r="E83" t="str">
            <v>NGUOI HA NOI</v>
          </cell>
          <cell r="F83">
            <v>11000</v>
          </cell>
          <cell r="P83">
            <v>6600.0000000000009</v>
          </cell>
          <cell r="R83">
            <v>3300.0000000000005</v>
          </cell>
          <cell r="S83">
            <v>17600</v>
          </cell>
          <cell r="AO83" t="str">
            <v>MO</v>
          </cell>
        </row>
        <row r="84">
          <cell r="A84" t="str">
            <v>NLD</v>
          </cell>
          <cell r="B84">
            <v>79</v>
          </cell>
          <cell r="C84" t="str">
            <v>Baùo Ngöôøi Lao Ñoäng</v>
          </cell>
          <cell r="D84" t="str">
            <v>Baùo Ngöôøi Lao Ñoäng</v>
          </cell>
          <cell r="E84" t="str">
            <v>NGUOI LAO DONG</v>
          </cell>
          <cell r="F84">
            <v>14000</v>
          </cell>
          <cell r="M84">
            <v>8400</v>
          </cell>
          <cell r="P84">
            <v>7000</v>
          </cell>
          <cell r="R84">
            <v>3500</v>
          </cell>
          <cell r="T84">
            <v>9000</v>
          </cell>
          <cell r="X84">
            <v>0.15</v>
          </cell>
          <cell r="Z84">
            <v>0.15</v>
          </cell>
          <cell r="AB84">
            <v>0.15</v>
          </cell>
          <cell r="AD84">
            <v>0.15</v>
          </cell>
          <cell r="AF84">
            <v>0.15</v>
          </cell>
          <cell r="AJ84" t="str">
            <v>9306706- 9303574</v>
          </cell>
          <cell r="AK84" t="str">
            <v>830 4707</v>
          </cell>
          <cell r="AL84" t="str">
            <v>123-127 Vo Van Tan, Q.3, HCM</v>
          </cell>
          <cell r="AM84" t="str">
            <v>chò Dung</v>
          </cell>
          <cell r="AN84" t="str">
            <v>0903 777734</v>
          </cell>
          <cell r="AO84" t="str">
            <v>MO</v>
          </cell>
        </row>
        <row r="85">
          <cell r="A85" t="str">
            <v>PCV</v>
          </cell>
          <cell r="B85">
            <v>80</v>
          </cell>
          <cell r="C85" t="str">
            <v>Phong Cach Viet</v>
          </cell>
          <cell r="F85">
            <v>26400.000000000004</v>
          </cell>
          <cell r="H85">
            <v>38500</v>
          </cell>
          <cell r="I85">
            <v>38500</v>
          </cell>
          <cell r="J85">
            <v>38500</v>
          </cell>
          <cell r="AO85" t="str">
            <v>MO</v>
          </cell>
        </row>
        <row r="86">
          <cell r="A86" t="str">
            <v>PNTD</v>
          </cell>
          <cell r="B86">
            <v>81</v>
          </cell>
          <cell r="C86" t="str">
            <v>Baùo Phuï Nöõ Thuû Ñoâ</v>
          </cell>
          <cell r="E86" t="str">
            <v>PHU NU THU DO</v>
          </cell>
          <cell r="F86">
            <v>8800</v>
          </cell>
          <cell r="G86">
            <v>8800</v>
          </cell>
          <cell r="J86">
            <v>11000</v>
          </cell>
          <cell r="M86">
            <v>5500</v>
          </cell>
          <cell r="P86">
            <v>4400</v>
          </cell>
          <cell r="X86">
            <v>0.35</v>
          </cell>
          <cell r="Z86">
            <v>0.35</v>
          </cell>
          <cell r="AB86">
            <v>0.35</v>
          </cell>
          <cell r="AD86">
            <v>0.35</v>
          </cell>
          <cell r="AF86">
            <v>0.35</v>
          </cell>
          <cell r="AJ86" t="str">
            <v>04 9421865</v>
          </cell>
          <cell r="AK86" t="str">
            <v>04 8223898</v>
          </cell>
          <cell r="AL86" t="str">
            <v>72 Quan Su, Hnoi</v>
          </cell>
          <cell r="AM86" t="str">
            <v>chò Vaân Anh</v>
          </cell>
          <cell r="AN86" t="str">
            <v>0913 389177</v>
          </cell>
          <cell r="AO86" t="str">
            <v>MO</v>
          </cell>
          <cell r="AP86" t="str">
            <v>010 078 272- 1</v>
          </cell>
        </row>
        <row r="87">
          <cell r="A87" t="str">
            <v>SGDN</v>
          </cell>
          <cell r="B87">
            <v>82</v>
          </cell>
          <cell r="C87" t="str">
            <v>Sai Gon Doanh Nhan Cuoi Tuan</v>
          </cell>
          <cell r="E87" t="str">
            <v>SG DOANH NHAN CUOI TUAN</v>
          </cell>
          <cell r="F87">
            <v>18000</v>
          </cell>
          <cell r="H87">
            <v>20000</v>
          </cell>
          <cell r="I87">
            <v>20000</v>
          </cell>
          <cell r="J87">
            <v>22000</v>
          </cell>
          <cell r="M87">
            <v>12000</v>
          </cell>
          <cell r="P87">
            <v>10000</v>
          </cell>
          <cell r="R87">
            <v>5500</v>
          </cell>
          <cell r="S87">
            <v>35000</v>
          </cell>
          <cell r="X87">
            <v>0.4</v>
          </cell>
          <cell r="Z87">
            <v>0.4</v>
          </cell>
          <cell r="AB87">
            <v>0.4</v>
          </cell>
          <cell r="AD87">
            <v>0.4</v>
          </cell>
          <cell r="AF87">
            <v>0.4</v>
          </cell>
          <cell r="AO87" t="str">
            <v>MO</v>
          </cell>
        </row>
        <row r="88">
          <cell r="A88" t="str">
            <v>SGGP</v>
          </cell>
          <cell r="B88">
            <v>83</v>
          </cell>
          <cell r="C88" t="str">
            <v>Baùo Saøi Goøn Giaûi Phoùng</v>
          </cell>
          <cell r="D88" t="str">
            <v>Baùo Saøi Goøn Giaûi Phoùng</v>
          </cell>
          <cell r="E88" t="str">
            <v>SAI GON GIAI PHONG</v>
          </cell>
          <cell r="F88">
            <v>33000</v>
          </cell>
          <cell r="M88">
            <v>16500</v>
          </cell>
          <cell r="P88">
            <v>16500</v>
          </cell>
          <cell r="R88">
            <v>8500</v>
          </cell>
          <cell r="T88">
            <v>22000</v>
          </cell>
          <cell r="X88">
            <v>7.0000000000000007E-2</v>
          </cell>
          <cell r="Z88">
            <v>7.0000000000000007E-2</v>
          </cell>
          <cell r="AB88">
            <v>7.0000000000000007E-2</v>
          </cell>
          <cell r="AD88">
            <v>7.0000000000000007E-2</v>
          </cell>
          <cell r="AF88">
            <v>7.0000000000000007E-2</v>
          </cell>
          <cell r="AJ88" t="str">
            <v>833 4185</v>
          </cell>
          <cell r="AK88" t="str">
            <v>834 1062</v>
          </cell>
          <cell r="AL88" t="str">
            <v>432 NTMK, Q.3, HCM</v>
          </cell>
          <cell r="AM88" t="str">
            <v>anh Nam (K.Toaùn)</v>
          </cell>
          <cell r="AO88" t="str">
            <v>MO</v>
          </cell>
        </row>
        <row r="89">
          <cell r="A89" t="str">
            <v>STNT</v>
          </cell>
          <cell r="B89">
            <v>84</v>
          </cell>
          <cell r="C89" t="str">
            <v>Soå Tay Noäi Trôï</v>
          </cell>
          <cell r="E89" t="str">
            <v>SO TAY NOI TRO</v>
          </cell>
          <cell r="F89">
            <v>4400</v>
          </cell>
          <cell r="H89">
            <v>6600.0000000000009</v>
          </cell>
          <cell r="I89">
            <v>5500</v>
          </cell>
          <cell r="J89">
            <v>8800</v>
          </cell>
          <cell r="P89">
            <v>2200</v>
          </cell>
          <cell r="R89">
            <v>1650.0000000000002</v>
          </cell>
          <cell r="AO89" t="str">
            <v>MO</v>
          </cell>
        </row>
        <row r="90">
          <cell r="A90" t="str">
            <v>TGDA</v>
          </cell>
          <cell r="B90">
            <v>85</v>
          </cell>
          <cell r="C90" t="str">
            <v>Taïp chí Theá Giôùi Ñieän Aûnh</v>
          </cell>
          <cell r="D90" t="str">
            <v>Taïp chí Theá Giôùi Ñieän Aûnh</v>
          </cell>
          <cell r="E90" t="str">
            <v>THE GIOI DIEN ANH</v>
          </cell>
          <cell r="F90">
            <v>15000</v>
          </cell>
          <cell r="H90">
            <v>17500</v>
          </cell>
          <cell r="I90">
            <v>17500</v>
          </cell>
          <cell r="J90">
            <v>20500</v>
          </cell>
          <cell r="P90">
            <v>8000</v>
          </cell>
          <cell r="R90">
            <v>45000</v>
          </cell>
          <cell r="X90">
            <v>0.2</v>
          </cell>
          <cell r="Z90">
            <v>0.2</v>
          </cell>
          <cell r="AB90">
            <v>0.2</v>
          </cell>
          <cell r="AD90">
            <v>0.2</v>
          </cell>
          <cell r="AF90">
            <v>0.2</v>
          </cell>
          <cell r="AJ90" t="str">
            <v>857 8163</v>
          </cell>
          <cell r="AK90" t="str">
            <v>853 8500</v>
          </cell>
          <cell r="AL90" t="str">
            <v>161 Nguyeãn Tri Phöông, p.8, q.5, HCM</v>
          </cell>
          <cell r="AM90" t="str">
            <v>chò Anh Thö</v>
          </cell>
          <cell r="AN90" t="str">
            <v>0903 713688</v>
          </cell>
          <cell r="AO90" t="str">
            <v>MO</v>
          </cell>
        </row>
        <row r="91">
          <cell r="A91" t="str">
            <v>THDS</v>
          </cell>
          <cell r="B91">
            <v>86</v>
          </cell>
          <cell r="C91" t="str">
            <v>Taïp chí Tin hoïc &amp; Ñôøi soáng</v>
          </cell>
          <cell r="E91" t="str">
            <v>TIN HOC DOI SONG</v>
          </cell>
          <cell r="F91">
            <v>5000</v>
          </cell>
          <cell r="H91">
            <v>7000</v>
          </cell>
          <cell r="I91">
            <v>7000</v>
          </cell>
          <cell r="J91">
            <v>9000</v>
          </cell>
          <cell r="M91">
            <v>3000</v>
          </cell>
          <cell r="P91">
            <v>3000</v>
          </cell>
          <cell r="R91">
            <v>1500</v>
          </cell>
          <cell r="X91">
            <v>0.15</v>
          </cell>
          <cell r="Z91">
            <v>0.15</v>
          </cell>
          <cell r="AB91">
            <v>0.15</v>
          </cell>
          <cell r="AD91">
            <v>0.15</v>
          </cell>
          <cell r="AF91">
            <v>0.15</v>
          </cell>
          <cell r="AJ91" t="str">
            <v>930 2154</v>
          </cell>
          <cell r="AK91" t="str">
            <v>930 4155</v>
          </cell>
          <cell r="AL91" t="str">
            <v>270 Nguyeãn Ñình Chieåu</v>
          </cell>
          <cell r="AM91" t="str">
            <v>anh Laâm</v>
          </cell>
          <cell r="AN91" t="str">
            <v>0903 631051</v>
          </cell>
          <cell r="AO91" t="str">
            <v>MO</v>
          </cell>
        </row>
        <row r="92">
          <cell r="A92" t="str">
            <v>TM</v>
          </cell>
          <cell r="B92">
            <v>87</v>
          </cell>
          <cell r="C92" t="str">
            <v>Thöông Maïi</v>
          </cell>
          <cell r="E92" t="str">
            <v>THUONG MAI</v>
          </cell>
          <cell r="F92">
            <v>6000</v>
          </cell>
          <cell r="H92">
            <v>7500</v>
          </cell>
          <cell r="I92">
            <v>7000</v>
          </cell>
          <cell r="J92">
            <v>9000</v>
          </cell>
          <cell r="P92">
            <v>3500</v>
          </cell>
          <cell r="AO92" t="str">
            <v>MO</v>
          </cell>
        </row>
        <row r="93">
          <cell r="A93" t="str">
            <v>TN</v>
          </cell>
          <cell r="B93">
            <v>88</v>
          </cell>
          <cell r="C93" t="str">
            <v>Baùo Thanh Nieân</v>
          </cell>
          <cell r="D93" t="str">
            <v>Baùo Thanh Nieân</v>
          </cell>
          <cell r="E93" t="str">
            <v>THANH NIEN</v>
          </cell>
          <cell r="F93">
            <v>26000</v>
          </cell>
          <cell r="M93">
            <v>13000</v>
          </cell>
          <cell r="P93">
            <v>13000</v>
          </cell>
          <cell r="R93">
            <v>6500</v>
          </cell>
          <cell r="T93">
            <v>22000</v>
          </cell>
          <cell r="X93">
            <v>0.1</v>
          </cell>
          <cell r="Z93">
            <v>0.1</v>
          </cell>
          <cell r="AB93">
            <v>0.1</v>
          </cell>
          <cell r="AD93">
            <v>0.1</v>
          </cell>
          <cell r="AF93">
            <v>0.1</v>
          </cell>
          <cell r="AJ93" t="str">
            <v>8322 026</v>
          </cell>
          <cell r="AK93" t="str">
            <v>8322 025</v>
          </cell>
          <cell r="AL93" t="str">
            <v>248 Coáng Quyønh, Q.1, HCM</v>
          </cell>
          <cell r="AM93" t="str">
            <v>anh Tuù</v>
          </cell>
          <cell r="AN93" t="str">
            <v>0903 801266</v>
          </cell>
          <cell r="AO93" t="str">
            <v>MO</v>
          </cell>
          <cell r="AP93" t="str">
            <v>030 122 1524- 1</v>
          </cell>
        </row>
        <row r="94">
          <cell r="A94" t="str">
            <v>TNTP</v>
          </cell>
          <cell r="B94">
            <v>89</v>
          </cell>
          <cell r="C94" t="str">
            <v>Baùo Thieáu Nieân Tieàn Phong</v>
          </cell>
          <cell r="E94" t="str">
            <v>THIEU NIEN TIEN PHONG</v>
          </cell>
          <cell r="F94">
            <v>1500</v>
          </cell>
          <cell r="H94">
            <v>4000</v>
          </cell>
          <cell r="I94">
            <v>4000</v>
          </cell>
          <cell r="J94">
            <v>6000</v>
          </cell>
          <cell r="P94">
            <v>750</v>
          </cell>
          <cell r="R94">
            <v>400</v>
          </cell>
          <cell r="AJ94" t="str">
            <v>830 6884</v>
          </cell>
          <cell r="AK94" t="str">
            <v>839 2563</v>
          </cell>
          <cell r="AL94" t="str">
            <v>1 Cao Thang, Q.3, Tp. HCM</v>
          </cell>
          <cell r="AM94" t="str">
            <v>chò Höông</v>
          </cell>
          <cell r="AO94" t="str">
            <v>MO</v>
          </cell>
        </row>
        <row r="95">
          <cell r="A95" t="str">
            <v>TSK</v>
          </cell>
          <cell r="B95">
            <v>90</v>
          </cell>
          <cell r="C95" t="str">
            <v>Taïp chí Thuoác &amp; Söùc Khoeû</v>
          </cell>
          <cell r="D95" t="str">
            <v>Taïp chí Thuoác &amp; Söùc Khoeû</v>
          </cell>
          <cell r="E95" t="str">
            <v>THUOC &amp; SUC KHOE</v>
          </cell>
          <cell r="F95">
            <v>6000</v>
          </cell>
          <cell r="H95">
            <v>8000</v>
          </cell>
          <cell r="I95">
            <v>8000</v>
          </cell>
          <cell r="J95">
            <v>14000</v>
          </cell>
          <cell r="P95">
            <v>3000</v>
          </cell>
          <cell r="R95">
            <v>2000</v>
          </cell>
          <cell r="X95">
            <v>0.15</v>
          </cell>
          <cell r="Z95">
            <v>0.15</v>
          </cell>
          <cell r="AB95">
            <v>0.15</v>
          </cell>
          <cell r="AD95">
            <v>0.15</v>
          </cell>
          <cell r="AF95">
            <v>0.15</v>
          </cell>
          <cell r="AO95" t="str">
            <v>MO</v>
          </cell>
        </row>
        <row r="96">
          <cell r="A96" t="str">
            <v>TTT</v>
          </cell>
          <cell r="B96">
            <v>91</v>
          </cell>
          <cell r="C96" t="str">
            <v>Taïp chí Thôøi Trang Treû</v>
          </cell>
          <cell r="D96" t="str">
            <v>Taïp chí Thôøi Trang Treû</v>
          </cell>
          <cell r="E96" t="str">
            <v>THOI TRANG TRE</v>
          </cell>
          <cell r="F96">
            <v>27500.000000000004</v>
          </cell>
          <cell r="H96">
            <v>37400</v>
          </cell>
          <cell r="I96">
            <v>35750</v>
          </cell>
          <cell r="J96">
            <v>41800</v>
          </cell>
          <cell r="M96">
            <v>16500</v>
          </cell>
          <cell r="P96">
            <v>16500</v>
          </cell>
          <cell r="R96">
            <v>9900</v>
          </cell>
          <cell r="S96">
            <v>46750.000000000007</v>
          </cell>
          <cell r="T96">
            <v>28000</v>
          </cell>
          <cell r="X96">
            <v>0.15</v>
          </cell>
          <cell r="Y96">
            <v>0.15</v>
          </cell>
          <cell r="Z96">
            <v>0.15</v>
          </cell>
          <cell r="AA96">
            <v>0.22</v>
          </cell>
          <cell r="AF96">
            <v>0.15</v>
          </cell>
          <cell r="AG96">
            <v>0.1</v>
          </cell>
          <cell r="AJ96" t="str">
            <v>995 2646/ 995 2647</v>
          </cell>
          <cell r="AK96" t="str">
            <v>995 2645</v>
          </cell>
          <cell r="AL96" t="str">
            <v>8 Hoang Van Thu, P.8, Q. Phu Nhuan</v>
          </cell>
          <cell r="AM96" t="str">
            <v>chò Cô</v>
          </cell>
          <cell r="AO96" t="str">
            <v>MO</v>
          </cell>
          <cell r="AP96" t="str">
            <v>010 077 4568- 1</v>
          </cell>
        </row>
        <row r="97">
          <cell r="A97" t="str">
            <v>TTVN</v>
          </cell>
          <cell r="B97">
            <v>92</v>
          </cell>
          <cell r="C97" t="str">
            <v>Baùo Theå Thao VN</v>
          </cell>
          <cell r="D97" t="str">
            <v>Baùo Theå Thao VN</v>
          </cell>
          <cell r="E97" t="str">
            <v>THE THAO VN</v>
          </cell>
          <cell r="F97">
            <v>26400.000000000004</v>
          </cell>
          <cell r="M97">
            <v>15840.000000000002</v>
          </cell>
          <cell r="P97">
            <v>13200.000000000002</v>
          </cell>
          <cell r="T97">
            <v>13200.000000000002</v>
          </cell>
          <cell r="X97">
            <v>0.15</v>
          </cell>
          <cell r="Z97">
            <v>0.15</v>
          </cell>
          <cell r="AB97">
            <v>0.15</v>
          </cell>
          <cell r="AD97">
            <v>0.15</v>
          </cell>
          <cell r="AF97">
            <v>0.15</v>
          </cell>
          <cell r="AJ97" t="str">
            <v>910 2539</v>
          </cell>
          <cell r="AK97" t="str">
            <v>822 2143</v>
          </cell>
          <cell r="AL97" t="str">
            <v>48 Nguyeãn Dinh Chieu, Q.3, Tp.HCM</v>
          </cell>
          <cell r="AM97" t="str">
            <v>Chò Yeán</v>
          </cell>
          <cell r="AN97" t="str">
            <v>0903 735445</v>
          </cell>
          <cell r="AO97" t="str">
            <v>MO</v>
          </cell>
        </row>
        <row r="98">
          <cell r="A98" t="str">
            <v>TTHN</v>
          </cell>
          <cell r="B98">
            <v>93</v>
          </cell>
          <cell r="C98" t="str">
            <v>Baùo Theå Thao Haøng Ngaøy</v>
          </cell>
          <cell r="D98" t="str">
            <v>Baùo Theå Thao VN</v>
          </cell>
          <cell r="E98" t="str">
            <v>THE THAO VN- THE THAO HANG NGAY</v>
          </cell>
          <cell r="F98">
            <v>20000</v>
          </cell>
          <cell r="H98">
            <v>28000</v>
          </cell>
          <cell r="I98">
            <v>26000</v>
          </cell>
          <cell r="J98">
            <v>30000</v>
          </cell>
          <cell r="M98">
            <v>14400</v>
          </cell>
          <cell r="N98">
            <v>10500</v>
          </cell>
          <cell r="O98">
            <v>10500</v>
          </cell>
          <cell r="P98">
            <v>10500</v>
          </cell>
          <cell r="Q98">
            <v>5500</v>
          </cell>
          <cell r="R98">
            <v>5500</v>
          </cell>
          <cell r="S98">
            <v>36000</v>
          </cell>
          <cell r="T98">
            <v>13200.000000000002</v>
          </cell>
          <cell r="X98">
            <v>0.15</v>
          </cell>
          <cell r="Z98">
            <v>0.15</v>
          </cell>
          <cell r="AB98">
            <v>0.15</v>
          </cell>
          <cell r="AD98">
            <v>0.15</v>
          </cell>
          <cell r="AF98">
            <v>0.15</v>
          </cell>
          <cell r="AJ98" t="str">
            <v>910 2539</v>
          </cell>
          <cell r="AK98" t="str">
            <v>822 2143</v>
          </cell>
          <cell r="AL98" t="str">
            <v>48 Nguyeãn Dinh Chieu, Q.3, Tp.HCM</v>
          </cell>
          <cell r="AM98" t="str">
            <v>Chò Yeán</v>
          </cell>
          <cell r="AN98" t="str">
            <v>0903 735445</v>
          </cell>
          <cell r="AO98" t="str">
            <v>MO</v>
          </cell>
        </row>
        <row r="99">
          <cell r="A99" t="str">
            <v>PNTT</v>
          </cell>
          <cell r="B99">
            <v>94</v>
          </cell>
          <cell r="C99" t="str">
            <v>Taïp chí Phuï Nöõ &amp; Theå Thao</v>
          </cell>
          <cell r="D99" t="str">
            <v>Baùo Theå Thao VN</v>
          </cell>
          <cell r="E99" t="str">
            <v>THE THAO VN- PHU NU &amp; THE THAO</v>
          </cell>
          <cell r="F99">
            <v>26400.000000000004</v>
          </cell>
          <cell r="M99">
            <v>15840.000000000002</v>
          </cell>
          <cell r="P99">
            <v>13200.000000000002</v>
          </cell>
          <cell r="T99">
            <v>13200.000000000002</v>
          </cell>
          <cell r="X99">
            <v>0.15</v>
          </cell>
          <cell r="Z99">
            <v>0.15</v>
          </cell>
          <cell r="AB99">
            <v>0.15</v>
          </cell>
          <cell r="AD99">
            <v>0.15</v>
          </cell>
          <cell r="AF99">
            <v>0.15</v>
          </cell>
          <cell r="AJ99" t="str">
            <v>910 2539</v>
          </cell>
          <cell r="AK99" t="str">
            <v>822 2143</v>
          </cell>
          <cell r="AL99" t="str">
            <v>48 Nguyeãn Dinh Chieu, Q.3, Tp.HCM</v>
          </cell>
          <cell r="AM99" t="str">
            <v>Chò Yeán</v>
          </cell>
          <cell r="AN99" t="str">
            <v>0903 735445</v>
          </cell>
          <cell r="AO99" t="str">
            <v>MO</v>
          </cell>
        </row>
        <row r="100">
          <cell r="A100" t="str">
            <v>TTVN</v>
          </cell>
          <cell r="B100">
            <v>95</v>
          </cell>
          <cell r="C100" t="str">
            <v>Tieáp Thò VN</v>
          </cell>
          <cell r="E100" t="str">
            <v>TIEP THI VN</v>
          </cell>
          <cell r="F100">
            <v>13200.000000000002</v>
          </cell>
          <cell r="H100">
            <v>14300.000000000002</v>
          </cell>
          <cell r="I100">
            <v>14300.000000000002</v>
          </cell>
          <cell r="J100">
            <v>16500</v>
          </cell>
          <cell r="M100">
            <v>7260.0000000000009</v>
          </cell>
          <cell r="P100">
            <v>7260.0000000000009</v>
          </cell>
          <cell r="R100">
            <v>3850.0000000000005</v>
          </cell>
          <cell r="S100">
            <v>25850.000000000004</v>
          </cell>
          <cell r="AO100" t="str">
            <v>MO</v>
          </cell>
        </row>
        <row r="101">
          <cell r="A101" t="str">
            <v>VEN</v>
          </cell>
          <cell r="B101">
            <v>96</v>
          </cell>
          <cell r="C101" t="str">
            <v>Vietnam Economic News</v>
          </cell>
          <cell r="E101" t="str">
            <v>VIETNAM ECONOMICS NEWS</v>
          </cell>
          <cell r="F101">
            <v>5500</v>
          </cell>
          <cell r="H101">
            <v>9900</v>
          </cell>
          <cell r="I101">
            <v>8800</v>
          </cell>
          <cell r="J101">
            <v>11000</v>
          </cell>
          <cell r="M101">
            <v>2750</v>
          </cell>
          <cell r="P101">
            <v>2750</v>
          </cell>
          <cell r="AO101" t="str">
            <v>MO</v>
          </cell>
        </row>
        <row r="102">
          <cell r="A102" t="str">
            <v>VET</v>
          </cell>
          <cell r="B102">
            <v>97</v>
          </cell>
          <cell r="C102" t="str">
            <v>Vietnam Economic Times</v>
          </cell>
          <cell r="E102" t="str">
            <v>VIETNAM ECONOMICS TIMES</v>
          </cell>
          <cell r="F102" t="str">
            <v>3465USD</v>
          </cell>
          <cell r="J102" t="str">
            <v>4675USD</v>
          </cell>
          <cell r="P102" t="str">
            <v>2090USD</v>
          </cell>
          <cell r="R102" t="str">
            <v>1265USD</v>
          </cell>
          <cell r="S102" t="str">
            <v>5885USD</v>
          </cell>
          <cell r="X102">
            <v>0.15</v>
          </cell>
          <cell r="Z102">
            <v>0.15</v>
          </cell>
          <cell r="AB102">
            <v>0.15</v>
          </cell>
          <cell r="AD102">
            <v>0.15</v>
          </cell>
          <cell r="AF102">
            <v>0.15</v>
          </cell>
          <cell r="AO102" t="str">
            <v>MO</v>
          </cell>
        </row>
        <row r="103">
          <cell r="A103" t="str">
            <v>VIR</v>
          </cell>
          <cell r="B103">
            <v>98</v>
          </cell>
          <cell r="C103" t="str">
            <v>Vietnam Investment Review</v>
          </cell>
          <cell r="D103" t="str">
            <v>Baùo Ñaàu Tö</v>
          </cell>
          <cell r="E103" t="str">
            <v>DAU TU- VIR</v>
          </cell>
          <cell r="F103">
            <v>3245.0000000000005</v>
          </cell>
          <cell r="M103">
            <v>1925.0000000000002</v>
          </cell>
          <cell r="P103">
            <v>1925.0000000000002</v>
          </cell>
          <cell r="R103">
            <v>1045</v>
          </cell>
          <cell r="T103">
            <v>2145</v>
          </cell>
          <cell r="X103">
            <v>0.5</v>
          </cell>
          <cell r="Y103">
            <v>0.15</v>
          </cell>
          <cell r="Z103">
            <v>0.5</v>
          </cell>
          <cell r="AA103">
            <v>0.15</v>
          </cell>
          <cell r="AB103">
            <v>0.5</v>
          </cell>
          <cell r="AC103">
            <v>0.15</v>
          </cell>
          <cell r="AD103">
            <v>0.5</v>
          </cell>
          <cell r="AE103">
            <v>0.15</v>
          </cell>
          <cell r="AF103">
            <v>0.5</v>
          </cell>
          <cell r="AG103">
            <v>0.15</v>
          </cell>
          <cell r="AO103" t="str">
            <v>MO</v>
          </cell>
        </row>
        <row r="104">
          <cell r="A104" t="str">
            <v>VNN</v>
          </cell>
          <cell r="B104">
            <v>99</v>
          </cell>
          <cell r="C104" t="str">
            <v>Vietnam News</v>
          </cell>
          <cell r="D104" t="str">
            <v>Phoøng Ñaïi Dieän Vieät Nam News</v>
          </cell>
          <cell r="E104" t="str">
            <v>VIETNAM NEWS</v>
          </cell>
          <cell r="F104">
            <v>2000</v>
          </cell>
          <cell r="M104">
            <v>1000</v>
          </cell>
          <cell r="P104">
            <v>1000</v>
          </cell>
          <cell r="R104">
            <v>500</v>
          </cell>
          <cell r="T104">
            <v>730</v>
          </cell>
          <cell r="X104">
            <v>0.25</v>
          </cell>
          <cell r="Z104">
            <v>0.25</v>
          </cell>
          <cell r="AB104">
            <v>0.25</v>
          </cell>
          <cell r="AD104">
            <v>0.25</v>
          </cell>
          <cell r="AF104">
            <v>0.25</v>
          </cell>
          <cell r="AJ104" t="str">
            <v>930 3740</v>
          </cell>
          <cell r="AK104" t="str">
            <v>930 3408</v>
          </cell>
          <cell r="AM104" t="str">
            <v>Anh Tröïc</v>
          </cell>
          <cell r="AN104" t="str">
            <v>0903 927740</v>
          </cell>
          <cell r="AO104" t="str">
            <v>MO</v>
          </cell>
        </row>
        <row r="105">
          <cell r="A105" t="str">
            <v>VTV</v>
          </cell>
          <cell r="B105">
            <v>100</v>
          </cell>
          <cell r="C105" t="str">
            <v>Baûn tin VTV</v>
          </cell>
          <cell r="D105" t="str">
            <v>Taïp chí Truyeàn Hình</v>
          </cell>
          <cell r="E105" t="str">
            <v>BAN TIN VTV</v>
          </cell>
          <cell r="F105">
            <v>7000</v>
          </cell>
          <cell r="H105">
            <v>12000</v>
          </cell>
          <cell r="I105">
            <v>12000</v>
          </cell>
          <cell r="X105">
            <v>0.2</v>
          </cell>
          <cell r="Z105">
            <v>0.2</v>
          </cell>
          <cell r="AB105">
            <v>0.2</v>
          </cell>
          <cell r="AD105">
            <v>0.2</v>
          </cell>
          <cell r="AF105">
            <v>0.2</v>
          </cell>
          <cell r="AJ105" t="str">
            <v>04 7718267</v>
          </cell>
          <cell r="AK105" t="str">
            <v>04 7716433</v>
          </cell>
          <cell r="AM105" t="str">
            <v>Chò Nga</v>
          </cell>
          <cell r="AN105" t="str">
            <v>0903 261705</v>
          </cell>
          <cell r="AO105" t="str">
            <v>MO</v>
          </cell>
        </row>
        <row r="106">
          <cell r="A106" t="str">
            <v>HHT1-S</v>
          </cell>
          <cell r="B106">
            <v>101</v>
          </cell>
          <cell r="C106" t="str">
            <v>Hoa Hoïc Troø 1</v>
          </cell>
          <cell r="D106" t="str">
            <v>Cty QC- TM Cöôøng Phong</v>
          </cell>
          <cell r="E106" t="str">
            <v>CUONG PHONG- HOA HOC TRO 1</v>
          </cell>
          <cell r="AJ106" t="str">
            <v>04 7753512</v>
          </cell>
          <cell r="AL106" t="str">
            <v>16 Chuøa Laùng- Ñoáng Ña- Haø Noäi</v>
          </cell>
          <cell r="AM106" t="str">
            <v>anh Phong</v>
          </cell>
          <cell r="AN106" t="str">
            <v>0912 031122</v>
          </cell>
          <cell r="AO106" t="str">
            <v>MO</v>
          </cell>
          <cell r="AP106" t="str">
            <v>010 137 4971</v>
          </cell>
        </row>
        <row r="107">
          <cell r="A107" t="str">
            <v>HHT2-S</v>
          </cell>
          <cell r="B107">
            <v>102</v>
          </cell>
          <cell r="C107" t="str">
            <v>Hoa Hoïc Troø 2</v>
          </cell>
          <cell r="D107" t="str">
            <v>Cty QC- TM Cöôøng Phong</v>
          </cell>
          <cell r="E107" t="str">
            <v>CUONG PHONG- HOA HOC TRO 2</v>
          </cell>
          <cell r="AJ107" t="str">
            <v>04 7753512</v>
          </cell>
          <cell r="AL107" t="str">
            <v>16 Chuøa Laùng- Ñoáng Ña- Haø Noäi</v>
          </cell>
          <cell r="AM107" t="str">
            <v>anh Phong</v>
          </cell>
          <cell r="AN107" t="str">
            <v>0912 031122</v>
          </cell>
          <cell r="AO107" t="str">
            <v>MO</v>
          </cell>
          <cell r="AP107" t="str">
            <v>010 137 4971</v>
          </cell>
        </row>
        <row r="108">
          <cell r="B108">
            <v>103</v>
          </cell>
          <cell r="C108" t="str">
            <v>Nhi Dong</v>
          </cell>
          <cell r="E108" t="str">
            <v>NHI DONG</v>
          </cell>
          <cell r="F108">
            <v>6600.0000000000009</v>
          </cell>
          <cell r="I108">
            <v>8800</v>
          </cell>
          <cell r="M108">
            <v>3630.0000000000005</v>
          </cell>
          <cell r="P108">
            <v>3630.0000000000005</v>
          </cell>
        </row>
        <row r="109">
          <cell r="A109" t="str">
            <v>THDS-S</v>
          </cell>
          <cell r="B109">
            <v>104</v>
          </cell>
          <cell r="C109" t="str">
            <v>Taïp chí Tin hoïc &amp; Ñôøi soáng</v>
          </cell>
          <cell r="D109" t="str">
            <v>Cty TNHH Quaûng Caùo Theá Kyû Môùi</v>
          </cell>
          <cell r="E109" t="str">
            <v>THE KY MOI- TIN HOC &amp; DOI SONG</v>
          </cell>
          <cell r="AJ109" t="str">
            <v>04 5657394</v>
          </cell>
          <cell r="AK109" t="str">
            <v>04 5657397</v>
          </cell>
          <cell r="AL109" t="str">
            <v>282 Hoaøng Vaên Thaùi- Quaän Thanh Xuaân- HN</v>
          </cell>
          <cell r="AM109" t="str">
            <v>chò Thu Höông</v>
          </cell>
          <cell r="AO109" t="str">
            <v>MO</v>
          </cell>
        </row>
        <row r="110">
          <cell r="A110" t="str">
            <v>SGDN-S</v>
          </cell>
          <cell r="B110">
            <v>105</v>
          </cell>
          <cell r="C110" t="str">
            <v>Saigon Doanh Nhan</v>
          </cell>
          <cell r="D110" t="str">
            <v>Cty TNHH TM-DV Quaûng Caùo MY</v>
          </cell>
          <cell r="E110" t="str">
            <v xml:space="preserve">MY- SAIGON DOANH NHAN </v>
          </cell>
          <cell r="AJ110">
            <v>8238198</v>
          </cell>
          <cell r="AK110">
            <v>8238200</v>
          </cell>
          <cell r="AL110" t="str">
            <v>18 Ter Nguyeãn Thò Minh Khai, Q.1, Tp. HCM</v>
          </cell>
          <cell r="AM110" t="str">
            <v>chò Hieàn- Ext: 105</v>
          </cell>
          <cell r="AO110" t="str">
            <v>MO</v>
          </cell>
        </row>
        <row r="111">
          <cell r="A111" t="str">
            <v>BGD</v>
          </cell>
          <cell r="B111">
            <v>106</v>
          </cell>
          <cell r="C111" t="str">
            <v>Bep Gia Dinh</v>
          </cell>
          <cell r="D111" t="str">
            <v>Adnet Ltd</v>
          </cell>
          <cell r="E111" t="str">
            <v>ADNET- BEP GIA DINH</v>
          </cell>
          <cell r="AJ111" t="str">
            <v>04 5657394</v>
          </cell>
          <cell r="AK111" t="str">
            <v>04 5657397</v>
          </cell>
          <cell r="AL111" t="str">
            <v>282 Hoaøng Vaên Thaùi- Quaän Thanh Xuaân- HN</v>
          </cell>
          <cell r="AM111" t="str">
            <v>Chò Thu Höông</v>
          </cell>
          <cell r="AO111" t="str">
            <v>MO</v>
          </cell>
        </row>
        <row r="112">
          <cell r="A112" t="str">
            <v>VNEX</v>
          </cell>
          <cell r="B112">
            <v>107</v>
          </cell>
          <cell r="C112" t="str">
            <v>VnExpress</v>
          </cell>
          <cell r="D112" t="str">
            <v>Chi nhaùnh Truyeàn Thoâng Cty coå phaàn Phaùt Trieån Ñaàu Tö- Coâng ngheä FPT</v>
          </cell>
          <cell r="E112" t="str">
            <v>FPT- VNEXPRESS</v>
          </cell>
          <cell r="X112">
            <v>0.1</v>
          </cell>
          <cell r="Z112">
            <v>0.1</v>
          </cell>
          <cell r="AB112">
            <v>0.1</v>
          </cell>
          <cell r="AD112">
            <v>0.1</v>
          </cell>
          <cell r="AF112">
            <v>0.1</v>
          </cell>
          <cell r="AH112">
            <v>0.1</v>
          </cell>
          <cell r="AJ112">
            <v>9330360</v>
          </cell>
          <cell r="AK112">
            <v>9330362</v>
          </cell>
          <cell r="AL112" t="str">
            <v>68 Voõ Vaên Taàn, Q.3, Tp. HCM</v>
          </cell>
          <cell r="AM112" t="str">
            <v>chò Thu</v>
          </cell>
          <cell r="AO112" t="str">
            <v>MO</v>
          </cell>
          <cell r="AP112" t="str">
            <v>010 124 8141- 010</v>
          </cell>
        </row>
        <row r="113">
          <cell r="A113" t="str">
            <v>VHTT</v>
          </cell>
          <cell r="B113">
            <v>108</v>
          </cell>
          <cell r="C113" t="str">
            <v>taïp chí Thoâng Tin Vaên Hoaù</v>
          </cell>
          <cell r="D113" t="str">
            <v>Cty TNHH Hoa Maët Trôøi</v>
          </cell>
          <cell r="E113" t="str">
            <v>HOA MAT TROI- THONG TIN VAN HOA</v>
          </cell>
          <cell r="F113">
            <v>47300.000000000007</v>
          </cell>
          <cell r="G113">
            <v>56760</v>
          </cell>
          <cell r="H113">
            <v>59125.000000000007</v>
          </cell>
          <cell r="I113">
            <v>51975.000000000007</v>
          </cell>
          <cell r="J113">
            <v>70950</v>
          </cell>
          <cell r="M113">
            <v>26125.000000000004</v>
          </cell>
          <cell r="P113">
            <v>26125.000000000004</v>
          </cell>
          <cell r="R113">
            <v>14300.000000000002</v>
          </cell>
          <cell r="S113">
            <v>85250</v>
          </cell>
          <cell r="U113">
            <v>14142</v>
          </cell>
          <cell r="V113">
            <v>33000</v>
          </cell>
          <cell r="W113">
            <v>33000</v>
          </cell>
          <cell r="X113">
            <v>0.45</v>
          </cell>
          <cell r="Y113">
            <v>0.15</v>
          </cell>
          <cell r="Z113">
            <v>0.45</v>
          </cell>
          <cell r="AA113">
            <v>0.15</v>
          </cell>
          <cell r="AB113">
            <v>0.35</v>
          </cell>
          <cell r="AC113">
            <v>0.15</v>
          </cell>
          <cell r="AD113">
            <v>0.35</v>
          </cell>
          <cell r="AE113">
            <v>0.15</v>
          </cell>
          <cell r="AF113">
            <v>0.35</v>
          </cell>
          <cell r="AG113">
            <v>0.15</v>
          </cell>
          <cell r="AH113">
            <v>0.46</v>
          </cell>
          <cell r="AI113">
            <v>0.15</v>
          </cell>
          <cell r="AJ113" t="str">
            <v>823 2420</v>
          </cell>
          <cell r="AK113" t="str">
            <v>822 3053</v>
          </cell>
          <cell r="AL113" t="str">
            <v>259 Hai Ba Trung, Q.3, Tp.HCM</v>
          </cell>
          <cell r="AM113" t="str">
            <v>anh Truùc</v>
          </cell>
          <cell r="AN113">
            <v>8232420</v>
          </cell>
          <cell r="AO113" t="str">
            <v>MO</v>
          </cell>
          <cell r="AP113" t="str">
            <v>030 188 0358</v>
          </cell>
        </row>
        <row r="114">
          <cell r="A114" t="str">
            <v>BMEB</v>
          </cell>
          <cell r="B114">
            <v>109</v>
          </cell>
          <cell r="C114" t="str">
            <v>Caåm Nang Chaêm Soùc Baø Meï &amp; Em Beù</v>
          </cell>
          <cell r="D114" t="str">
            <v>Cty Vaên Hoaù- Saùng Taïo Trí Vieät</v>
          </cell>
          <cell r="E114" t="str">
            <v>TRI VIET- CN CHAM SOC BA ME &amp; EM BE</v>
          </cell>
          <cell r="AJ114">
            <v>8227979</v>
          </cell>
          <cell r="AK114">
            <v>8224560</v>
          </cell>
          <cell r="AL114" t="str">
            <v>11H Nguyeãn Thò Minh Khai, Q.1, Tp.HCM</v>
          </cell>
          <cell r="AM114" t="str">
            <v>chò Ngoïc</v>
          </cell>
          <cell r="AN114" t="str">
            <v>0903 990518</v>
          </cell>
          <cell r="AO114" t="str">
            <v>MO</v>
          </cell>
        </row>
        <row r="115">
          <cell r="A115" t="str">
            <v>BDG</v>
          </cell>
          <cell r="B115">
            <v>110</v>
          </cell>
          <cell r="C115" t="str">
            <v>Trung taâm TT- CQ &amp; PH baùo Bình Döông</v>
          </cell>
          <cell r="D115" t="str">
            <v>Trung taâm TT- CQ &amp; PH baùo Bình Döông</v>
          </cell>
          <cell r="E115" t="str">
            <v>BAO BINH DUONG</v>
          </cell>
          <cell r="AJ115" t="str">
            <v>0650 822135</v>
          </cell>
          <cell r="AK115" t="str">
            <v>0650 859600</v>
          </cell>
          <cell r="AL115" t="str">
            <v>15 Baïch Ñaèng- TX Thuû Daàu 1, Bình Döông</v>
          </cell>
          <cell r="AM115" t="str">
            <v>anh Leâ Quang</v>
          </cell>
          <cell r="AO115" t="str">
            <v>MO</v>
          </cell>
          <cell r="AP115" t="str">
            <v>3700 144034</v>
          </cell>
        </row>
        <row r="116">
          <cell r="A116" t="str">
            <v>TV</v>
          </cell>
          <cell r="B116">
            <v>111</v>
          </cell>
          <cell r="C116" t="str">
            <v>Baùo Traø Vinh</v>
          </cell>
          <cell r="D116" t="str">
            <v>Baùo Traø Vinh</v>
          </cell>
          <cell r="E116" t="str">
            <v>BAO TRA VINH</v>
          </cell>
          <cell r="AJ116" t="str">
            <v>074 852549</v>
          </cell>
          <cell r="AL116" t="str">
            <v>18A Leâ Lôïi, P.1, TX Traø Vinh</v>
          </cell>
          <cell r="AM116" t="str">
            <v>chò Trang</v>
          </cell>
          <cell r="AO116" t="str">
            <v>MO</v>
          </cell>
          <cell r="AP116" t="str">
            <v>3700 144034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Book4"/>
      <sheetName val="P3"/>
      <sheetName val="#REF"/>
      <sheetName val="2 in 1"/>
      <sheetName val="Plan"/>
      <sheetName val="Q3"/>
      <sheetName val="weight"/>
      <sheetName val="P4 (cost)"/>
      <sheetName val="_REF"/>
      <sheetName val="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Cover Estimator"/>
      <sheetName val="Reach run"/>
      <sheetName val="Reach 3+Nat"/>
      <sheetName val="Reach 3+Hcm"/>
      <sheetName val="Reach 3+-han"/>
      <sheetName val="Reach 3+-dan"/>
      <sheetName val="chart actual hcm"/>
      <sheetName val="actual-hcm"/>
      <sheetName val="Chart acutal-dan"/>
      <sheetName val="actual-dan"/>
      <sheetName val="foodstuff"/>
      <sheetName val="Data (2)"/>
      <sheetName val="Cover Estimator (2)"/>
      <sheetName val="Reach run (2)"/>
      <sheetName val="Reach 3+-HAN (2)"/>
      <sheetName val="Reach 7+"/>
      <sheetName val="Reach 5+Nat"/>
      <sheetName val="Reach 3+hcm (htv)"/>
      <sheetName val="Reach 7+Nat"/>
      <sheetName val="Reach 3+ hcm"/>
      <sheetName val="P3"/>
    </sheetNames>
    <sheetDataSet>
      <sheetData sheetId="0" refreshError="1"/>
      <sheetData sheetId="1" refreshError="1">
        <row r="7">
          <cell r="C7">
            <v>4.9399544560764421E-3</v>
          </cell>
        </row>
        <row r="8">
          <cell r="C8">
            <v>111.22054243455166</v>
          </cell>
        </row>
        <row r="10">
          <cell r="C10" t="str">
            <v>Est</v>
          </cell>
        </row>
        <row r="11">
          <cell r="A11">
            <v>0</v>
          </cell>
        </row>
      </sheetData>
      <sheetData sheetId="2"/>
      <sheetData sheetId="3"/>
      <sheetData sheetId="4"/>
      <sheetData sheetId="5"/>
      <sheetData sheetId="6"/>
      <sheetData sheetId="7" refreshError="1"/>
      <sheetData sheetId="8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&amp;P-BG08"/>
      <sheetName val="760XX-0708"/>
      <sheetName val="477XX-0708"/>
      <sheetName val="Sheet4"/>
      <sheetName val="Sheet1"/>
      <sheetName val="477XX-0808"/>
      <sheetName val="760XX-0808"/>
      <sheetName val="760-A&amp;P COST"/>
      <sheetName val="AUG.08"/>
      <sheetName val="JAN-AUG08"/>
      <sheetName val="data"/>
      <sheetName val="08_N"/>
      <sheetName val="08"/>
      <sheetName val="760-A&amp;P_COST"/>
      <sheetName val="AUG_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bel 104"/>
      <sheetName val="PRINT (2)"/>
      <sheetName val="Ratecard"/>
      <sheetName val="Calculation- PRINT"/>
      <sheetName val="Sheet1"/>
      <sheetName val="Calculation- PRINT (2)"/>
    </sheetNames>
    <sheetDataSet>
      <sheetData sheetId="0" refreshError="1"/>
      <sheetData sheetId="1"/>
      <sheetData sheetId="2" refreshError="1">
        <row r="5">
          <cell r="AG5">
            <v>33</v>
          </cell>
        </row>
        <row r="7">
          <cell r="A7" t="str">
            <v>P001</v>
          </cell>
          <cell r="B7" t="str">
            <v>TUOI TRE DAILY</v>
          </cell>
          <cell r="C7">
            <v>8440212</v>
          </cell>
          <cell r="D7">
            <v>9974949</v>
          </cell>
          <cell r="E7" t="str">
            <v>60A, Hoang Van Thu, Phu Nhuan</v>
          </cell>
          <cell r="F7" t="str">
            <v>Mr Toan 0913 919494</v>
          </cell>
          <cell r="G7" t="str">
            <v>Daily</v>
          </cell>
          <cell r="H7">
            <v>300000</v>
          </cell>
          <cell r="I7">
            <v>0.08</v>
          </cell>
          <cell r="K7" t="str">
            <v>P001InsideFPFC</v>
          </cell>
          <cell r="L7" t="str">
            <v>Inside</v>
          </cell>
          <cell r="M7" t="str">
            <v>FPFC</v>
          </cell>
          <cell r="N7" t="str">
            <v>26X37.5</v>
          </cell>
          <cell r="P7">
            <v>45000</v>
          </cell>
          <cell r="Q7">
            <v>0.05</v>
          </cell>
          <cell r="R7">
            <v>0</v>
          </cell>
          <cell r="S7">
            <v>0.05</v>
          </cell>
          <cell r="U7">
            <v>0.05</v>
          </cell>
          <cell r="W7">
            <v>0.05</v>
          </cell>
          <cell r="Y7">
            <v>0.05</v>
          </cell>
          <cell r="AA7">
            <v>0.05</v>
          </cell>
          <cell r="AC7">
            <v>15</v>
          </cell>
          <cell r="AD7">
            <v>10</v>
          </cell>
          <cell r="AE7">
            <v>130</v>
          </cell>
          <cell r="AF7" t="str">
            <v>CD</v>
          </cell>
          <cell r="AG7">
            <v>1</v>
          </cell>
        </row>
        <row r="8">
          <cell r="A8" t="str">
            <v>P001</v>
          </cell>
          <cell r="B8" t="str">
            <v>2E</v>
          </cell>
          <cell r="K8" t="str">
            <v>P001InsideHPFC</v>
          </cell>
          <cell r="L8" t="str">
            <v>Inside</v>
          </cell>
          <cell r="M8" t="str">
            <v>HPFC</v>
          </cell>
          <cell r="N8" t="str">
            <v>26X18.5</v>
          </cell>
          <cell r="P8">
            <v>24000</v>
          </cell>
          <cell r="AG8">
            <v>2</v>
          </cell>
        </row>
        <row r="9">
          <cell r="A9" t="str">
            <v>P001</v>
          </cell>
          <cell r="K9" t="str">
            <v>P001InsideHPBW</v>
          </cell>
          <cell r="L9" t="str">
            <v>Inside</v>
          </cell>
          <cell r="M9" t="str">
            <v>HPBW</v>
          </cell>
          <cell r="N9" t="str">
            <v>26X18.5</v>
          </cell>
          <cell r="P9">
            <v>17000</v>
          </cell>
          <cell r="AG9">
            <v>3</v>
          </cell>
        </row>
        <row r="10">
          <cell r="A10" t="str">
            <v>P001</v>
          </cell>
          <cell r="K10" t="str">
            <v>P001InsideFPBW</v>
          </cell>
          <cell r="L10" t="str">
            <v>Inside</v>
          </cell>
          <cell r="M10" t="str">
            <v>FPBW</v>
          </cell>
          <cell r="N10" t="str">
            <v>26X37.5</v>
          </cell>
          <cell r="P10">
            <v>32000</v>
          </cell>
          <cell r="AG10">
            <v>4</v>
          </cell>
        </row>
        <row r="11">
          <cell r="A11" t="str">
            <v>P001</v>
          </cell>
          <cell r="K11" t="str">
            <v>P001InsideQPFC</v>
          </cell>
          <cell r="L11" t="str">
            <v>Inside</v>
          </cell>
          <cell r="M11" t="str">
            <v>QPFC</v>
          </cell>
          <cell r="N11" t="str">
            <v>12.7X18.5</v>
          </cell>
          <cell r="P11">
            <v>13000</v>
          </cell>
          <cell r="AG11">
            <v>5</v>
          </cell>
        </row>
        <row r="12">
          <cell r="A12" t="str">
            <v>P001</v>
          </cell>
          <cell r="K12" t="str">
            <v>P001InsideQPBW</v>
          </cell>
          <cell r="L12" t="str">
            <v>Inside</v>
          </cell>
          <cell r="M12" t="str">
            <v>QPBW</v>
          </cell>
          <cell r="N12" t="str">
            <v>12.7X18.5</v>
          </cell>
          <cell r="P12">
            <v>9000</v>
          </cell>
          <cell r="AG12">
            <v>6</v>
          </cell>
        </row>
        <row r="13">
          <cell r="A13" t="str">
            <v>P001</v>
          </cell>
          <cell r="K13" t="str">
            <v>P001FirstFPFC</v>
          </cell>
          <cell r="L13" t="str">
            <v>First</v>
          </cell>
          <cell r="M13" t="str">
            <v>FPFC</v>
          </cell>
          <cell r="N13" t="str">
            <v>26X32.5</v>
          </cell>
          <cell r="P13">
            <v>49500.000000000007</v>
          </cell>
          <cell r="AG13">
            <v>7</v>
          </cell>
        </row>
        <row r="14">
          <cell r="A14" t="str">
            <v>P001</v>
          </cell>
          <cell r="K14" t="str">
            <v>P001LastFPFC</v>
          </cell>
          <cell r="L14" t="str">
            <v>Last</v>
          </cell>
          <cell r="M14" t="str">
            <v>FPFC</v>
          </cell>
          <cell r="N14" t="str">
            <v>26X37.5</v>
          </cell>
          <cell r="P14">
            <v>47250</v>
          </cell>
          <cell r="AG14">
            <v>8</v>
          </cell>
        </row>
        <row r="15">
          <cell r="A15" t="str">
            <v>TUOI TRE DAILY</v>
          </cell>
          <cell r="K15" t="str">
            <v>TUOI TRE DAILY</v>
          </cell>
          <cell r="AG15">
            <v>9</v>
          </cell>
        </row>
        <row r="16">
          <cell r="A16" t="str">
            <v>P002</v>
          </cell>
          <cell r="B16" t="str">
            <v>TUOI TRE CN</v>
          </cell>
          <cell r="D16">
            <v>9974949</v>
          </cell>
          <cell r="E16" t="str">
            <v>60A, Hoang Van Thu, Phu Nhuan</v>
          </cell>
          <cell r="F16" t="str">
            <v>Mr Toan 0913 919494</v>
          </cell>
          <cell r="G16" t="str">
            <v>Weekly</v>
          </cell>
          <cell r="H16">
            <v>150000</v>
          </cell>
          <cell r="I16">
            <v>0.1</v>
          </cell>
          <cell r="K16" t="str">
            <v>P002Cover 4FPFC</v>
          </cell>
          <cell r="L16" t="str">
            <v>Cover 4</v>
          </cell>
          <cell r="M16" t="str">
            <v>FPFC</v>
          </cell>
          <cell r="N16" t="str">
            <v>18X26</v>
          </cell>
          <cell r="P16">
            <v>18000</v>
          </cell>
          <cell r="Q16">
            <v>0.1</v>
          </cell>
          <cell r="AC16">
            <v>15</v>
          </cell>
          <cell r="AG16">
            <v>10</v>
          </cell>
        </row>
        <row r="17">
          <cell r="A17" t="str">
            <v>P002</v>
          </cell>
          <cell r="B17" t="str">
            <v>2E</v>
          </cell>
          <cell r="K17" t="str">
            <v>P002Cover 4FPBW</v>
          </cell>
          <cell r="L17" t="str">
            <v>Cover 4</v>
          </cell>
          <cell r="M17" t="str">
            <v>FPBW</v>
          </cell>
          <cell r="N17" t="str">
            <v>18X26</v>
          </cell>
          <cell r="P17" t="str">
            <v>NA</v>
          </cell>
          <cell r="AG17">
            <v>11</v>
          </cell>
        </row>
        <row r="18">
          <cell r="A18" t="str">
            <v>P002</v>
          </cell>
          <cell r="K18" t="str">
            <v>P002Cover 2FPFC</v>
          </cell>
          <cell r="L18" t="str">
            <v>Cover 2</v>
          </cell>
          <cell r="M18" t="str">
            <v>FPFC</v>
          </cell>
          <cell r="N18" t="str">
            <v>18X26</v>
          </cell>
          <cell r="P18">
            <v>15000</v>
          </cell>
          <cell r="AG18">
            <v>12</v>
          </cell>
        </row>
        <row r="19">
          <cell r="A19" t="str">
            <v>P002</v>
          </cell>
          <cell r="K19" t="str">
            <v>P002Cover 2FPBW</v>
          </cell>
          <cell r="L19" t="str">
            <v>Cover 2</v>
          </cell>
          <cell r="M19" t="str">
            <v>FPBW</v>
          </cell>
          <cell r="N19" t="str">
            <v>18X26</v>
          </cell>
          <cell r="P19" t="str">
            <v>NA</v>
          </cell>
          <cell r="AG19">
            <v>13</v>
          </cell>
        </row>
        <row r="20">
          <cell r="A20" t="str">
            <v>P002</v>
          </cell>
          <cell r="K20" t="str">
            <v>P002InsideFPFC</v>
          </cell>
          <cell r="L20" t="str">
            <v>Inside</v>
          </cell>
          <cell r="M20" t="str">
            <v>FPFC</v>
          </cell>
          <cell r="N20" t="str">
            <v>17.5X25.5</v>
          </cell>
          <cell r="P20">
            <v>10000</v>
          </cell>
          <cell r="AG20">
            <v>14</v>
          </cell>
        </row>
        <row r="21">
          <cell r="A21" t="str">
            <v>P002</v>
          </cell>
          <cell r="K21" t="str">
            <v>P002InsideFPBW</v>
          </cell>
          <cell r="L21" t="str">
            <v>Inside</v>
          </cell>
          <cell r="M21" t="str">
            <v>FPBW</v>
          </cell>
          <cell r="N21" t="str">
            <v>17.5X25.5</v>
          </cell>
          <cell r="P21">
            <v>7000</v>
          </cell>
          <cell r="AG21">
            <v>15</v>
          </cell>
        </row>
        <row r="22">
          <cell r="A22" t="str">
            <v>P002</v>
          </cell>
          <cell r="K22" t="str">
            <v>P002InsideHPFC</v>
          </cell>
          <cell r="L22" t="str">
            <v>Inside</v>
          </cell>
          <cell r="M22" t="str">
            <v>HPFC</v>
          </cell>
          <cell r="N22" t="str">
            <v>17.5X12.3</v>
          </cell>
          <cell r="P22">
            <v>5500</v>
          </cell>
          <cell r="AG22">
            <v>16</v>
          </cell>
        </row>
        <row r="23">
          <cell r="A23" t="str">
            <v>P002</v>
          </cell>
          <cell r="K23" t="str">
            <v>P002InsideHPBW</v>
          </cell>
          <cell r="L23" t="str">
            <v>Inside</v>
          </cell>
          <cell r="M23" t="str">
            <v>HPBW</v>
          </cell>
          <cell r="N23" t="str">
            <v>17.5X12.3</v>
          </cell>
          <cell r="P23">
            <v>3800</v>
          </cell>
          <cell r="AG23">
            <v>17</v>
          </cell>
        </row>
        <row r="24">
          <cell r="A24" t="str">
            <v>TUOI TRE CN</v>
          </cell>
          <cell r="K24" t="str">
            <v>TUOI TRE CN</v>
          </cell>
          <cell r="AG24">
            <v>18</v>
          </cell>
        </row>
        <row r="25">
          <cell r="A25" t="str">
            <v>P003</v>
          </cell>
          <cell r="B25" t="str">
            <v>THANH NIEN</v>
          </cell>
          <cell r="C25">
            <v>8322295</v>
          </cell>
          <cell r="D25">
            <v>9250249</v>
          </cell>
          <cell r="E25" t="str">
            <v xml:space="preserve">248 Cong Quynh Q1 </v>
          </cell>
          <cell r="F25" t="str">
            <v>Ms Van 0918398892</v>
          </cell>
          <cell r="G25" t="str">
            <v>Daily</v>
          </cell>
          <cell r="H25">
            <v>300000</v>
          </cell>
          <cell r="I25">
            <v>0.1</v>
          </cell>
          <cell r="K25" t="str">
            <v>P003InsideFPFC</v>
          </cell>
          <cell r="L25" t="str">
            <v>Inside</v>
          </cell>
          <cell r="M25" t="str">
            <v>FPFC</v>
          </cell>
          <cell r="N25" t="str">
            <v>25.5X37</v>
          </cell>
          <cell r="P25">
            <v>33000</v>
          </cell>
          <cell r="Q25">
            <v>0.1</v>
          </cell>
          <cell r="R25">
            <v>0</v>
          </cell>
          <cell r="U25">
            <v>0.1</v>
          </cell>
          <cell r="AC25">
            <v>15</v>
          </cell>
          <cell r="AD25">
            <v>10</v>
          </cell>
          <cell r="AE25">
            <v>100</v>
          </cell>
          <cell r="AF25" t="str">
            <v>CD</v>
          </cell>
          <cell r="AG25">
            <v>19</v>
          </cell>
        </row>
        <row r="26">
          <cell r="A26" t="str">
            <v>P003</v>
          </cell>
          <cell r="B26" t="str">
            <v>1E</v>
          </cell>
          <cell r="K26" t="str">
            <v>P003InsideFPBW</v>
          </cell>
          <cell r="L26" t="str">
            <v>Inside</v>
          </cell>
          <cell r="M26" t="str">
            <v>FPBW</v>
          </cell>
          <cell r="N26" t="str">
            <v>25.5X37</v>
          </cell>
          <cell r="P26">
            <v>28000</v>
          </cell>
          <cell r="AG26">
            <v>20</v>
          </cell>
        </row>
        <row r="27">
          <cell r="A27" t="str">
            <v>P003</v>
          </cell>
          <cell r="K27" t="str">
            <v>P003InsideHPFC</v>
          </cell>
          <cell r="L27" t="str">
            <v>Inside</v>
          </cell>
          <cell r="M27" t="str">
            <v>HPFC</v>
          </cell>
          <cell r="N27" t="str">
            <v>25.5X18</v>
          </cell>
          <cell r="P27">
            <v>17000</v>
          </cell>
          <cell r="AG27">
            <v>21</v>
          </cell>
        </row>
        <row r="28">
          <cell r="A28" t="str">
            <v>P003</v>
          </cell>
          <cell r="K28" t="str">
            <v>P003InsideHPBW</v>
          </cell>
          <cell r="L28" t="str">
            <v>Inside</v>
          </cell>
          <cell r="M28" t="str">
            <v>HPBW</v>
          </cell>
          <cell r="N28" t="str">
            <v>25.5X18</v>
          </cell>
          <cell r="P28">
            <v>14000</v>
          </cell>
          <cell r="AG28">
            <v>22</v>
          </cell>
        </row>
        <row r="29">
          <cell r="A29" t="str">
            <v>P003</v>
          </cell>
          <cell r="K29" t="str">
            <v>P003InsideVPFC</v>
          </cell>
          <cell r="L29" t="str">
            <v>Inside</v>
          </cell>
          <cell r="M29" t="str">
            <v>VPFC</v>
          </cell>
          <cell r="N29" t="str">
            <v>19X27</v>
          </cell>
          <cell r="P29">
            <v>20000</v>
          </cell>
          <cell r="AG29">
            <v>23</v>
          </cell>
        </row>
        <row r="30">
          <cell r="A30" t="str">
            <v>P003</v>
          </cell>
          <cell r="K30" t="str">
            <v>P003InsideVPBW</v>
          </cell>
          <cell r="L30" t="str">
            <v>Inside</v>
          </cell>
          <cell r="M30" t="str">
            <v>VPBW</v>
          </cell>
          <cell r="N30" t="str">
            <v>19X27</v>
          </cell>
          <cell r="P30">
            <v>15000</v>
          </cell>
          <cell r="AG30">
            <v>24</v>
          </cell>
        </row>
        <row r="31">
          <cell r="A31" t="str">
            <v>P003</v>
          </cell>
          <cell r="K31" t="str">
            <v>P003Strip adFC</v>
          </cell>
          <cell r="L31" t="str">
            <v>Strip ad</v>
          </cell>
          <cell r="M31" t="str">
            <v>FC</v>
          </cell>
          <cell r="N31" t="str">
            <v>25.5X2</v>
          </cell>
          <cell r="P31">
            <v>3500</v>
          </cell>
          <cell r="AG31">
            <v>25</v>
          </cell>
        </row>
        <row r="32">
          <cell r="A32" t="str">
            <v>P003</v>
          </cell>
          <cell r="K32" t="str">
            <v>P003Strip adBW</v>
          </cell>
          <cell r="L32" t="str">
            <v>Strip ad</v>
          </cell>
          <cell r="M32" t="str">
            <v>BW</v>
          </cell>
          <cell r="N32" t="str">
            <v>25.5X2</v>
          </cell>
          <cell r="P32">
            <v>2000</v>
          </cell>
          <cell r="AG32">
            <v>26</v>
          </cell>
        </row>
        <row r="33">
          <cell r="A33" t="str">
            <v>P003</v>
          </cell>
          <cell r="K33" t="str">
            <v>P003FirstFPFC</v>
          </cell>
          <cell r="L33" t="str">
            <v>First</v>
          </cell>
          <cell r="M33" t="str">
            <v>FPFC</v>
          </cell>
          <cell r="N33" t="str">
            <v>25.5X33</v>
          </cell>
          <cell r="P33">
            <v>36300</v>
          </cell>
          <cell r="AG33">
            <v>27</v>
          </cell>
        </row>
        <row r="34">
          <cell r="A34" t="str">
            <v>P003</v>
          </cell>
          <cell r="K34" t="str">
            <v>P003LastFPFC</v>
          </cell>
          <cell r="L34" t="str">
            <v>Last</v>
          </cell>
          <cell r="M34" t="str">
            <v>FPFC</v>
          </cell>
          <cell r="N34" t="str">
            <v>25.5X37</v>
          </cell>
          <cell r="P34">
            <v>36300</v>
          </cell>
          <cell r="AG34">
            <v>28</v>
          </cell>
        </row>
        <row r="35">
          <cell r="A35" t="str">
            <v>P003</v>
          </cell>
          <cell r="K35" t="str">
            <v>P003Inside- AppendixFPFC</v>
          </cell>
          <cell r="L35" t="str">
            <v>Inside- Appendix</v>
          </cell>
          <cell r="M35" t="str">
            <v>FPFC</v>
          </cell>
          <cell r="N35" t="str">
            <v>25.5X37</v>
          </cell>
          <cell r="P35">
            <v>35000</v>
          </cell>
          <cell r="AG35">
            <v>29</v>
          </cell>
        </row>
        <row r="36">
          <cell r="A36" t="str">
            <v>P003</v>
          </cell>
          <cell r="K36" t="str">
            <v>P003ContentFPFC</v>
          </cell>
          <cell r="L36" t="str">
            <v>Content</v>
          </cell>
          <cell r="M36" t="str">
            <v>FPFC</v>
          </cell>
          <cell r="N36" t="str">
            <v>25.5X37</v>
          </cell>
          <cell r="P36">
            <v>40000</v>
          </cell>
          <cell r="AG36">
            <v>30</v>
          </cell>
        </row>
        <row r="37">
          <cell r="A37" t="str">
            <v>P003</v>
          </cell>
          <cell r="K37" t="str">
            <v>P003ContentHPFC</v>
          </cell>
          <cell r="L37" t="str">
            <v>Content</v>
          </cell>
          <cell r="M37" t="str">
            <v>HPFC</v>
          </cell>
          <cell r="N37" t="str">
            <v>25.5X18</v>
          </cell>
          <cell r="P37">
            <v>28000</v>
          </cell>
          <cell r="AG37">
            <v>31</v>
          </cell>
        </row>
        <row r="38">
          <cell r="A38" t="str">
            <v>P003</v>
          </cell>
          <cell r="K38" t="str">
            <v>P003ContentStrip ad</v>
          </cell>
          <cell r="L38" t="str">
            <v>Content</v>
          </cell>
          <cell r="M38" t="str">
            <v>Strip ad</v>
          </cell>
          <cell r="N38" t="str">
            <v>25.5X4</v>
          </cell>
          <cell r="P38">
            <v>20000</v>
          </cell>
          <cell r="AG38">
            <v>32</v>
          </cell>
        </row>
        <row r="39">
          <cell r="A39" t="str">
            <v>THANH NIEN</v>
          </cell>
          <cell r="K39" t="str">
            <v>THANH NIEN</v>
          </cell>
          <cell r="AG39">
            <v>33</v>
          </cell>
        </row>
        <row r="40">
          <cell r="A40" t="str">
            <v>P004</v>
          </cell>
          <cell r="B40" t="str">
            <v>THANH NIEN Mag.</v>
          </cell>
          <cell r="C40">
            <v>8322295</v>
          </cell>
          <cell r="D40">
            <v>9250249</v>
          </cell>
          <cell r="E40" t="str">
            <v xml:space="preserve">248 Cong Quynh Q1 </v>
          </cell>
          <cell r="F40" t="str">
            <v>Ms Van 0918398892</v>
          </cell>
          <cell r="G40" t="str">
            <v>10,20,30/ Monthly</v>
          </cell>
          <cell r="H40">
            <v>120000</v>
          </cell>
          <cell r="I40">
            <v>0.1</v>
          </cell>
          <cell r="K40" t="str">
            <v>P004Cover 4FPFC</v>
          </cell>
          <cell r="L40" t="str">
            <v>Cover 4</v>
          </cell>
          <cell r="M40" t="str">
            <v>FPFC</v>
          </cell>
          <cell r="N40" t="str">
            <v>23X29</v>
          </cell>
          <cell r="P40">
            <v>52800.000000000007</v>
          </cell>
          <cell r="AC40">
            <v>15</v>
          </cell>
          <cell r="AD40">
            <v>10</v>
          </cell>
          <cell r="AE40">
            <v>100</v>
          </cell>
          <cell r="AF40" t="str">
            <v>CD</v>
          </cell>
          <cell r="AG40">
            <v>34</v>
          </cell>
        </row>
        <row r="41">
          <cell r="A41" t="str">
            <v>P004</v>
          </cell>
          <cell r="B41" t="str">
            <v>1E</v>
          </cell>
          <cell r="K41" t="str">
            <v>P004Cover 2FPFC</v>
          </cell>
          <cell r="L41" t="str">
            <v>Cover 2</v>
          </cell>
          <cell r="M41" t="str">
            <v>FPFC</v>
          </cell>
          <cell r="N41" t="str">
            <v>23X29</v>
          </cell>
          <cell r="P41">
            <v>46200.000000000007</v>
          </cell>
          <cell r="AG41">
            <v>35</v>
          </cell>
        </row>
        <row r="42">
          <cell r="A42" t="str">
            <v>P004</v>
          </cell>
          <cell r="K42" t="str">
            <v>P004Cover 3FPFC</v>
          </cell>
          <cell r="L42" t="str">
            <v>Cover 3</v>
          </cell>
          <cell r="M42" t="str">
            <v>FPFC</v>
          </cell>
          <cell r="N42" t="str">
            <v>23X29</v>
          </cell>
          <cell r="P42">
            <v>44000</v>
          </cell>
          <cell r="AG42">
            <v>36</v>
          </cell>
        </row>
        <row r="43">
          <cell r="A43" t="str">
            <v>P004</v>
          </cell>
          <cell r="K43" t="str">
            <v>P004InsideFPFC</v>
          </cell>
          <cell r="L43" t="str">
            <v>Inside</v>
          </cell>
          <cell r="M43" t="str">
            <v>FPFC</v>
          </cell>
          <cell r="N43" t="str">
            <v>23X29</v>
          </cell>
          <cell r="P43">
            <v>35200</v>
          </cell>
          <cell r="AG43">
            <v>37</v>
          </cell>
        </row>
        <row r="44">
          <cell r="A44" t="str">
            <v>P004</v>
          </cell>
          <cell r="K44" t="str">
            <v>P004InsideHPFC</v>
          </cell>
          <cell r="L44" t="str">
            <v>Inside</v>
          </cell>
          <cell r="M44" t="str">
            <v>HPFC</v>
          </cell>
          <cell r="N44" t="str">
            <v>23X14</v>
          </cell>
          <cell r="P44">
            <v>18700</v>
          </cell>
          <cell r="AG44">
            <v>38</v>
          </cell>
        </row>
        <row r="45">
          <cell r="A45" t="str">
            <v>P004</v>
          </cell>
          <cell r="K45" t="str">
            <v>P004InsideVQPFC</v>
          </cell>
          <cell r="L45" t="str">
            <v>Inside</v>
          </cell>
          <cell r="M45" t="str">
            <v>VQPFC</v>
          </cell>
          <cell r="N45" t="str">
            <v>11X14</v>
          </cell>
          <cell r="P45">
            <v>9900</v>
          </cell>
          <cell r="AG45">
            <v>39</v>
          </cell>
        </row>
        <row r="46">
          <cell r="A46" t="str">
            <v>THANH NIEN Mag.</v>
          </cell>
          <cell r="K46" t="str">
            <v>THANH NIEN Mag.</v>
          </cell>
          <cell r="AG46">
            <v>40</v>
          </cell>
        </row>
        <row r="47">
          <cell r="A47" t="str">
            <v>P005</v>
          </cell>
          <cell r="B47" t="str">
            <v>TIEP THI &amp; GIA DINH W</v>
          </cell>
          <cell r="C47">
            <v>8232417</v>
          </cell>
          <cell r="E47" t="str">
            <v>259 Hai Ba Trung, Q1, Tp.HCM</v>
          </cell>
          <cell r="F47" t="str">
            <v>Ms Ha 0908241489 (ext: 204)</v>
          </cell>
          <cell r="G47" t="str">
            <v>Tue/ Weekly</v>
          </cell>
          <cell r="H47">
            <v>70000</v>
          </cell>
          <cell r="I47">
            <v>0.4</v>
          </cell>
          <cell r="J47">
            <v>0.15</v>
          </cell>
          <cell r="K47" t="str">
            <v>P005Cover 2FPFC</v>
          </cell>
          <cell r="L47" t="str">
            <v>Cover 2</v>
          </cell>
          <cell r="M47" t="str">
            <v>FPFC</v>
          </cell>
          <cell r="N47" t="str">
            <v>21X27</v>
          </cell>
          <cell r="O47" t="str">
            <v>23.3X29.6</v>
          </cell>
          <cell r="P47">
            <v>59400.000000000007</v>
          </cell>
          <cell r="Q47">
            <v>0.3</v>
          </cell>
          <cell r="R47">
            <v>0.15</v>
          </cell>
          <cell r="AC47">
            <v>15</v>
          </cell>
          <cell r="AD47">
            <v>10</v>
          </cell>
          <cell r="AE47" t="str">
            <v>350 DPI</v>
          </cell>
          <cell r="AF47" t="str">
            <v>CD- DPF/ EPF</v>
          </cell>
          <cell r="AG47">
            <v>41</v>
          </cell>
        </row>
        <row r="48">
          <cell r="A48" t="str">
            <v>P005</v>
          </cell>
          <cell r="B48" t="str">
            <v>11F</v>
          </cell>
          <cell r="K48" t="str">
            <v>P005Cover 3FPFC</v>
          </cell>
          <cell r="L48" t="str">
            <v>Cover 3</v>
          </cell>
          <cell r="M48" t="str">
            <v>FPFC</v>
          </cell>
          <cell r="N48" t="str">
            <v>21X27</v>
          </cell>
          <cell r="O48" t="str">
            <v>23.3X29.6</v>
          </cell>
          <cell r="P48">
            <v>52250.000000000007</v>
          </cell>
          <cell r="AG48">
            <v>42</v>
          </cell>
        </row>
        <row r="49">
          <cell r="A49" t="str">
            <v>P005</v>
          </cell>
          <cell r="K49" t="str">
            <v>P005Cover 4FPFC</v>
          </cell>
          <cell r="L49" t="str">
            <v>Cover 4</v>
          </cell>
          <cell r="M49" t="str">
            <v>FPFC</v>
          </cell>
          <cell r="N49" t="str">
            <v>21X27</v>
          </cell>
          <cell r="O49" t="str">
            <v>23.3X29.6</v>
          </cell>
          <cell r="P49">
            <v>71500</v>
          </cell>
          <cell r="AG49">
            <v>43</v>
          </cell>
        </row>
        <row r="50">
          <cell r="A50" t="str">
            <v>P005</v>
          </cell>
          <cell r="K50" t="str">
            <v>P005InsideFPFC</v>
          </cell>
          <cell r="L50" t="str">
            <v>Inside</v>
          </cell>
          <cell r="M50" t="str">
            <v>FPFC</v>
          </cell>
          <cell r="N50" t="str">
            <v>21X27</v>
          </cell>
          <cell r="O50" t="str">
            <v>23.3X29.6</v>
          </cell>
          <cell r="P50">
            <v>49500.000000000007</v>
          </cell>
          <cell r="AG50">
            <v>44</v>
          </cell>
        </row>
        <row r="51">
          <cell r="A51" t="str">
            <v>P005</v>
          </cell>
          <cell r="K51" t="str">
            <v>P005FirstFPFC</v>
          </cell>
          <cell r="L51" t="str">
            <v>First</v>
          </cell>
          <cell r="M51" t="str">
            <v>FPFC</v>
          </cell>
          <cell r="N51" t="str">
            <v>21X27</v>
          </cell>
          <cell r="O51" t="str">
            <v>23.3X29.6</v>
          </cell>
          <cell r="P51">
            <v>59400.000000000007</v>
          </cell>
          <cell r="AG51">
            <v>45</v>
          </cell>
        </row>
        <row r="52">
          <cell r="A52" t="str">
            <v>P005</v>
          </cell>
          <cell r="K52" t="str">
            <v>P005Inside2/3VPFC</v>
          </cell>
          <cell r="L52" t="str">
            <v>Inside</v>
          </cell>
          <cell r="M52" t="str">
            <v>2/3VPFC</v>
          </cell>
          <cell r="N52" t="str">
            <v>13.6X27</v>
          </cell>
          <cell r="P52">
            <v>49500.000000000007</v>
          </cell>
          <cell r="AG52">
            <v>46</v>
          </cell>
        </row>
        <row r="53">
          <cell r="A53" t="str">
            <v>P005</v>
          </cell>
          <cell r="K53" t="str">
            <v>P005Inside2/3HPFC</v>
          </cell>
          <cell r="L53" t="str">
            <v>Inside</v>
          </cell>
          <cell r="M53" t="str">
            <v>2/3HPFC</v>
          </cell>
          <cell r="N53" t="str">
            <v>21X17.6</v>
          </cell>
          <cell r="P53">
            <v>49500.000000000007</v>
          </cell>
          <cell r="AG53">
            <v>47</v>
          </cell>
        </row>
        <row r="54">
          <cell r="A54" t="str">
            <v>P005</v>
          </cell>
          <cell r="K54" t="str">
            <v>P005InsideVPFC</v>
          </cell>
          <cell r="L54" t="str">
            <v>Inside</v>
          </cell>
          <cell r="M54" t="str">
            <v>VPFC</v>
          </cell>
          <cell r="N54" t="str">
            <v>10X27</v>
          </cell>
          <cell r="P54">
            <v>32725.000000000004</v>
          </cell>
          <cell r="AG54">
            <v>48</v>
          </cell>
        </row>
        <row r="55">
          <cell r="A55" t="str">
            <v>P005</v>
          </cell>
          <cell r="K55" t="str">
            <v>P005InsideHPFC</v>
          </cell>
          <cell r="L55" t="str">
            <v>Inside</v>
          </cell>
          <cell r="M55" t="str">
            <v>HPFC</v>
          </cell>
          <cell r="N55" t="str">
            <v>21X13</v>
          </cell>
          <cell r="P55">
            <v>32725.000000000004</v>
          </cell>
          <cell r="AG55">
            <v>49</v>
          </cell>
        </row>
        <row r="56">
          <cell r="A56" t="str">
            <v>P005</v>
          </cell>
          <cell r="K56" t="str">
            <v>P005Inside1/3VPFC</v>
          </cell>
          <cell r="L56" t="str">
            <v>Inside</v>
          </cell>
          <cell r="M56" t="str">
            <v>1/3VPFC</v>
          </cell>
          <cell r="N56" t="str">
            <v>6.4X27</v>
          </cell>
          <cell r="P56">
            <v>24750.000000000004</v>
          </cell>
          <cell r="AG56">
            <v>50</v>
          </cell>
        </row>
        <row r="57">
          <cell r="A57" t="str">
            <v>P005</v>
          </cell>
          <cell r="K57" t="str">
            <v>P005Inside1/3HPFC</v>
          </cell>
          <cell r="L57" t="str">
            <v>Inside</v>
          </cell>
          <cell r="M57" t="str">
            <v>1/3HPFC</v>
          </cell>
          <cell r="N57" t="str">
            <v>21X8.4</v>
          </cell>
          <cell r="P57">
            <v>24750.000000000004</v>
          </cell>
          <cell r="AG57">
            <v>51</v>
          </cell>
        </row>
        <row r="58">
          <cell r="A58" t="str">
            <v>P005</v>
          </cell>
          <cell r="K58" t="str">
            <v>P005Inside1/4C</v>
          </cell>
          <cell r="L58" t="str">
            <v>Inside</v>
          </cell>
          <cell r="M58" t="str">
            <v>1/4C</v>
          </cell>
          <cell r="N58" t="str">
            <v>10X13</v>
          </cell>
          <cell r="P58">
            <v>19800</v>
          </cell>
          <cell r="AG58">
            <v>52</v>
          </cell>
        </row>
        <row r="59">
          <cell r="A59" t="str">
            <v>P005</v>
          </cell>
          <cell r="K59" t="str">
            <v>P005Inside1/4HPFC</v>
          </cell>
          <cell r="L59" t="str">
            <v>Inside</v>
          </cell>
          <cell r="M59" t="str">
            <v>1/4HPFC</v>
          </cell>
          <cell r="N59" t="str">
            <v>21X6</v>
          </cell>
          <cell r="P59">
            <v>19800</v>
          </cell>
          <cell r="AG59">
            <v>53</v>
          </cell>
        </row>
        <row r="60">
          <cell r="A60" t="str">
            <v>P005</v>
          </cell>
          <cell r="K60" t="str">
            <v>P005InsideDPFC</v>
          </cell>
          <cell r="L60" t="str">
            <v>Inside</v>
          </cell>
          <cell r="M60" t="str">
            <v>DPFC</v>
          </cell>
          <cell r="N60" t="str">
            <v>44X27</v>
          </cell>
          <cell r="O60" t="str">
            <v>46.6X29.6</v>
          </cell>
          <cell r="P60">
            <v>89100</v>
          </cell>
          <cell r="AG60">
            <v>54</v>
          </cell>
        </row>
        <row r="61">
          <cell r="A61" t="str">
            <v>P005</v>
          </cell>
          <cell r="K61" t="str">
            <v>P005InsideGatefold</v>
          </cell>
          <cell r="L61" t="str">
            <v>Inside</v>
          </cell>
          <cell r="M61" t="str">
            <v>Gatefold</v>
          </cell>
          <cell r="O61" t="str">
            <v>46.1X29.6</v>
          </cell>
          <cell r="P61" t="str">
            <v>FPFC-dis+FPFC*2</v>
          </cell>
          <cell r="AG61">
            <v>55</v>
          </cell>
        </row>
        <row r="62">
          <cell r="A62" t="str">
            <v>TIEP THI &amp; GIA DINH W</v>
          </cell>
          <cell r="B62" t="str">
            <v>THE GIOI PHU NU</v>
          </cell>
          <cell r="C62">
            <v>9302117</v>
          </cell>
          <cell r="D62">
            <v>9303430</v>
          </cell>
          <cell r="E62" t="str">
            <v>38 vo VanTan Q3</v>
          </cell>
          <cell r="F62" t="str">
            <v>Ms Thu 0913722394</v>
          </cell>
          <cell r="G62" t="str">
            <v>Mon/ Weekly</v>
          </cell>
          <cell r="H62">
            <v>115000</v>
          </cell>
          <cell r="I62">
            <v>0.3</v>
          </cell>
          <cell r="J62">
            <v>0.15</v>
          </cell>
          <cell r="K62" t="str">
            <v>TIEP THI &amp; GIA DINH W</v>
          </cell>
          <cell r="L62" t="str">
            <v>Inside</v>
          </cell>
          <cell r="M62" t="str">
            <v>FPFC</v>
          </cell>
          <cell r="N62" t="str">
            <v>22X28</v>
          </cell>
          <cell r="O62" t="str">
            <v>23.5X29.5</v>
          </cell>
          <cell r="P62">
            <v>42900</v>
          </cell>
          <cell r="Q62">
            <v>0.2</v>
          </cell>
          <cell r="R62">
            <v>0.15</v>
          </cell>
          <cell r="AC62">
            <v>15</v>
          </cell>
          <cell r="AD62">
            <v>10</v>
          </cell>
          <cell r="AE62">
            <v>100</v>
          </cell>
          <cell r="AF62" t="str">
            <v>CD &amp; Film</v>
          </cell>
          <cell r="AG62">
            <v>56</v>
          </cell>
        </row>
        <row r="63">
          <cell r="A63" t="str">
            <v>P006</v>
          </cell>
          <cell r="B63" t="str">
            <v>THE GIOI PHU NU</v>
          </cell>
          <cell r="C63">
            <v>9302117</v>
          </cell>
          <cell r="D63">
            <v>9303430</v>
          </cell>
          <cell r="E63" t="str">
            <v>38 vo VanTan Q3</v>
          </cell>
          <cell r="F63" t="str">
            <v>Ms Thu 0913722394</v>
          </cell>
          <cell r="G63" t="str">
            <v>Mon/ Weekly</v>
          </cell>
          <cell r="H63">
            <v>115000</v>
          </cell>
          <cell r="I63">
            <v>0.3</v>
          </cell>
          <cell r="J63">
            <v>0.15</v>
          </cell>
          <cell r="K63" t="str">
            <v>P006InsideFPFC</v>
          </cell>
          <cell r="L63" t="str">
            <v>Inside</v>
          </cell>
          <cell r="M63" t="str">
            <v>FPFC</v>
          </cell>
          <cell r="N63" t="str">
            <v>22X28</v>
          </cell>
          <cell r="O63" t="str">
            <v>23.5X29.5</v>
          </cell>
          <cell r="P63">
            <v>42900</v>
          </cell>
          <cell r="Q63">
            <v>0.2</v>
          </cell>
          <cell r="R63">
            <v>0.15</v>
          </cell>
          <cell r="AC63">
            <v>15</v>
          </cell>
          <cell r="AD63">
            <v>10</v>
          </cell>
          <cell r="AE63">
            <v>100</v>
          </cell>
          <cell r="AF63" t="str">
            <v>CD &amp; Film</v>
          </cell>
          <cell r="AG63">
            <v>57</v>
          </cell>
        </row>
        <row r="64">
          <cell r="A64" t="str">
            <v>P006</v>
          </cell>
          <cell r="B64" t="str">
            <v>1D</v>
          </cell>
          <cell r="K64" t="str">
            <v>P006CoverDPFC</v>
          </cell>
          <cell r="L64" t="str">
            <v>Cover</v>
          </cell>
          <cell r="M64" t="str">
            <v>DPFC</v>
          </cell>
          <cell r="N64" t="str">
            <v>44X28</v>
          </cell>
          <cell r="P64">
            <v>90860.000000000015</v>
          </cell>
          <cell r="AG64">
            <v>58</v>
          </cell>
        </row>
        <row r="65">
          <cell r="A65" t="str">
            <v>P006</v>
          </cell>
          <cell r="K65" t="str">
            <v>P006Cover 4FPFC</v>
          </cell>
          <cell r="L65" t="str">
            <v>Cover 4</v>
          </cell>
          <cell r="M65" t="str">
            <v>FPFC</v>
          </cell>
          <cell r="N65" t="str">
            <v>22X28</v>
          </cell>
          <cell r="P65">
            <v>69300</v>
          </cell>
          <cell r="AG65">
            <v>59</v>
          </cell>
        </row>
        <row r="66">
          <cell r="A66" t="str">
            <v>P006</v>
          </cell>
          <cell r="K66" t="str">
            <v>P006Cover 2FPFC</v>
          </cell>
          <cell r="L66" t="str">
            <v>Cover 2</v>
          </cell>
          <cell r="M66" t="str">
            <v>FPFC</v>
          </cell>
          <cell r="N66" t="str">
            <v>22X28</v>
          </cell>
          <cell r="P66">
            <v>60500.000000000007</v>
          </cell>
          <cell r="AG66">
            <v>60</v>
          </cell>
        </row>
        <row r="67">
          <cell r="A67" t="str">
            <v>P006</v>
          </cell>
          <cell r="K67" t="str">
            <v>P006Cover 3FPFC</v>
          </cell>
          <cell r="L67" t="str">
            <v>Cover 3</v>
          </cell>
          <cell r="M67" t="str">
            <v>FPFC</v>
          </cell>
          <cell r="N67" t="str">
            <v>22X28</v>
          </cell>
          <cell r="P67">
            <v>51700.000000000007</v>
          </cell>
          <cell r="AG67">
            <v>61</v>
          </cell>
        </row>
        <row r="68">
          <cell r="A68" t="str">
            <v>P006</v>
          </cell>
          <cell r="K68" t="str">
            <v>P006InsideDPFC</v>
          </cell>
          <cell r="L68" t="str">
            <v>Inside</v>
          </cell>
          <cell r="M68" t="str">
            <v>DPFC</v>
          </cell>
          <cell r="N68" t="str">
            <v>45X28</v>
          </cell>
          <cell r="P68">
            <v>82500</v>
          </cell>
          <cell r="AG68">
            <v>62</v>
          </cell>
        </row>
        <row r="69">
          <cell r="A69" t="str">
            <v>P006</v>
          </cell>
          <cell r="K69" t="str">
            <v>P006Inside2/3DPFC</v>
          </cell>
          <cell r="L69" t="str">
            <v>Inside</v>
          </cell>
          <cell r="M69" t="str">
            <v>2/3DPFC</v>
          </cell>
          <cell r="N69" t="str">
            <v>45X18.3</v>
          </cell>
          <cell r="P69">
            <v>61600.000000000007</v>
          </cell>
          <cell r="AG69">
            <v>63</v>
          </cell>
        </row>
        <row r="70">
          <cell r="A70" t="str">
            <v>P006</v>
          </cell>
          <cell r="K70" t="str">
            <v>P006Inside2/3HPFC</v>
          </cell>
          <cell r="L70" t="str">
            <v>Inside</v>
          </cell>
          <cell r="M70" t="str">
            <v>2/3HPFC</v>
          </cell>
          <cell r="N70" t="str">
            <v>22X18.3</v>
          </cell>
          <cell r="P70">
            <v>33000</v>
          </cell>
          <cell r="AG70">
            <v>64</v>
          </cell>
        </row>
        <row r="71">
          <cell r="A71" t="str">
            <v>P006</v>
          </cell>
          <cell r="K71" t="str">
            <v>P006Inside2/3VPFC</v>
          </cell>
          <cell r="L71" t="str">
            <v>Inside</v>
          </cell>
          <cell r="M71" t="str">
            <v>2/3VPFC</v>
          </cell>
          <cell r="N71" t="str">
            <v>14.5X27.8</v>
          </cell>
          <cell r="P71">
            <v>31900.000000000004</v>
          </cell>
          <cell r="AG71">
            <v>65</v>
          </cell>
        </row>
        <row r="72">
          <cell r="A72" t="str">
            <v>P006</v>
          </cell>
          <cell r="K72" t="str">
            <v>P006Inside1/2DPFC</v>
          </cell>
          <cell r="L72" t="str">
            <v>Inside</v>
          </cell>
          <cell r="M72" t="str">
            <v>1/2DPFC</v>
          </cell>
          <cell r="N72" t="str">
            <v>45X13.7</v>
          </cell>
          <cell r="P72">
            <v>48400.000000000007</v>
          </cell>
          <cell r="AG72">
            <v>66</v>
          </cell>
        </row>
        <row r="73">
          <cell r="A73" t="str">
            <v>P006</v>
          </cell>
          <cell r="K73" t="str">
            <v>P006InsideHPFC</v>
          </cell>
          <cell r="L73" t="str">
            <v>Inside</v>
          </cell>
          <cell r="M73" t="str">
            <v>HPFC</v>
          </cell>
          <cell r="N73" t="str">
            <v>22X13.7</v>
          </cell>
          <cell r="P73">
            <v>26400.000000000004</v>
          </cell>
          <cell r="AG73">
            <v>67</v>
          </cell>
        </row>
        <row r="74">
          <cell r="A74" t="str">
            <v>P006</v>
          </cell>
          <cell r="K74" t="str">
            <v>P006InsideVPFC</v>
          </cell>
          <cell r="L74" t="str">
            <v>Inside</v>
          </cell>
          <cell r="M74" t="str">
            <v>VPFC</v>
          </cell>
          <cell r="N74" t="str">
            <v>10.8X27.8</v>
          </cell>
          <cell r="P74">
            <v>27500.000000000004</v>
          </cell>
          <cell r="AG74">
            <v>68</v>
          </cell>
        </row>
        <row r="75">
          <cell r="A75" t="str">
            <v>P006</v>
          </cell>
          <cell r="K75" t="str">
            <v>P006Inside1/3DPFC</v>
          </cell>
          <cell r="L75" t="str">
            <v>Inside</v>
          </cell>
          <cell r="M75" t="str">
            <v>1/3DPFC</v>
          </cell>
          <cell r="N75" t="str">
            <v>45X9.1</v>
          </cell>
          <cell r="P75">
            <v>34100</v>
          </cell>
          <cell r="AG75">
            <v>69</v>
          </cell>
        </row>
        <row r="76">
          <cell r="A76" t="str">
            <v>P006</v>
          </cell>
          <cell r="K76" t="str">
            <v>P006Inside1/3HPFC</v>
          </cell>
          <cell r="L76" t="str">
            <v>Inside</v>
          </cell>
          <cell r="M76" t="str">
            <v>1/3HPFC</v>
          </cell>
          <cell r="N76" t="str">
            <v>22X9.1</v>
          </cell>
          <cell r="P76">
            <v>19800</v>
          </cell>
          <cell r="AG76">
            <v>70</v>
          </cell>
        </row>
        <row r="77">
          <cell r="A77" t="str">
            <v>P006</v>
          </cell>
          <cell r="K77" t="str">
            <v>P006Inside1/3VPFC</v>
          </cell>
          <cell r="L77" t="str">
            <v>Inside</v>
          </cell>
          <cell r="M77" t="str">
            <v>1/3VPFC</v>
          </cell>
          <cell r="N77" t="str">
            <v>7.1X27.8</v>
          </cell>
          <cell r="P77">
            <v>18700</v>
          </cell>
          <cell r="AG77">
            <v>71</v>
          </cell>
        </row>
        <row r="78">
          <cell r="A78" t="str">
            <v>P006</v>
          </cell>
          <cell r="K78" t="str">
            <v>P006Inside1/4DPFC</v>
          </cell>
          <cell r="L78" t="str">
            <v>Inside</v>
          </cell>
          <cell r="M78" t="str">
            <v>1/4DPFC</v>
          </cell>
          <cell r="N78" t="str">
            <v>45X6.7</v>
          </cell>
          <cell r="P78">
            <v>29700.000000000004</v>
          </cell>
          <cell r="AG78">
            <v>72</v>
          </cell>
        </row>
        <row r="79">
          <cell r="A79" t="str">
            <v>P006</v>
          </cell>
          <cell r="K79" t="str">
            <v>P006Inside1/4C</v>
          </cell>
          <cell r="L79" t="str">
            <v>Inside</v>
          </cell>
          <cell r="M79" t="str">
            <v>1/4C</v>
          </cell>
          <cell r="N79" t="str">
            <v>10.8X13.7</v>
          </cell>
          <cell r="P79">
            <v>15400.000000000002</v>
          </cell>
          <cell r="AG79">
            <v>73</v>
          </cell>
        </row>
        <row r="80">
          <cell r="A80" t="str">
            <v>P006</v>
          </cell>
          <cell r="K80" t="str">
            <v>P006InsideQPFC</v>
          </cell>
          <cell r="L80" t="str">
            <v>Inside</v>
          </cell>
          <cell r="M80" t="str">
            <v>QPFC</v>
          </cell>
          <cell r="N80" t="str">
            <v>22X6.7</v>
          </cell>
          <cell r="P80">
            <v>16500</v>
          </cell>
          <cell r="AG80">
            <v>74</v>
          </cell>
        </row>
        <row r="81">
          <cell r="A81" t="str">
            <v>P006</v>
          </cell>
          <cell r="K81" t="str">
            <v>P006InsideGatefold</v>
          </cell>
          <cell r="L81" t="str">
            <v>Inside</v>
          </cell>
          <cell r="M81" t="str">
            <v>Gatefold</v>
          </cell>
          <cell r="P81" t="str">
            <v>FPFC*3- dis+ 18.000</v>
          </cell>
          <cell r="AG81">
            <v>75</v>
          </cell>
        </row>
        <row r="82">
          <cell r="A82" t="str">
            <v>P006</v>
          </cell>
          <cell r="B82" t="str">
            <v>THE THAO HANG NGAY</v>
          </cell>
          <cell r="C82">
            <v>9102539</v>
          </cell>
          <cell r="D82">
            <v>8222143</v>
          </cell>
          <cell r="E82" t="str">
            <v>48 Nguyen Dinh Chieu Q1</v>
          </cell>
          <cell r="F82" t="str">
            <v>Ms Yen 0903735445</v>
          </cell>
          <cell r="G82" t="str">
            <v>Daily</v>
          </cell>
          <cell r="H82">
            <v>200000</v>
          </cell>
          <cell r="I82">
            <v>0.15</v>
          </cell>
          <cell r="K82" t="str">
            <v>P006Strip ad</v>
          </cell>
          <cell r="L82" t="str">
            <v>Strip ad</v>
          </cell>
          <cell r="M82" t="str">
            <v>FPFC</v>
          </cell>
          <cell r="N82" t="str">
            <v>22X6.7</v>
          </cell>
          <cell r="P82">
            <v>16500</v>
          </cell>
          <cell r="Q82">
            <v>0.15</v>
          </cell>
          <cell r="AC82">
            <v>15</v>
          </cell>
          <cell r="AD82">
            <v>7</v>
          </cell>
          <cell r="AE82">
            <v>100</v>
          </cell>
          <cell r="AF82" t="str">
            <v>CD</v>
          </cell>
          <cell r="AG82">
            <v>76</v>
          </cell>
        </row>
        <row r="83">
          <cell r="A83" t="str">
            <v>THE GIOI PHU NU</v>
          </cell>
          <cell r="B83" t="str">
            <v>12F</v>
          </cell>
          <cell r="K83" t="str">
            <v>THE GIOI PHU NU</v>
          </cell>
          <cell r="L83" t="str">
            <v>Inside</v>
          </cell>
          <cell r="M83" t="str">
            <v>FPBW</v>
          </cell>
          <cell r="N83" t="str">
            <v>26X38</v>
          </cell>
          <cell r="P83">
            <v>16000</v>
          </cell>
          <cell r="AG83">
            <v>77</v>
          </cell>
        </row>
        <row r="84">
          <cell r="A84" t="str">
            <v>P007</v>
          </cell>
          <cell r="B84" t="str">
            <v>THE THAO HANG NGAY</v>
          </cell>
          <cell r="C84">
            <v>9102539</v>
          </cell>
          <cell r="D84">
            <v>8222143</v>
          </cell>
          <cell r="E84" t="str">
            <v>48 Nguyen Dinh Chieu Q1</v>
          </cell>
          <cell r="F84" t="str">
            <v>Ms Yen 0903735445</v>
          </cell>
          <cell r="G84" t="str">
            <v>Daily</v>
          </cell>
          <cell r="H84">
            <v>200000</v>
          </cell>
          <cell r="I84">
            <v>0.15</v>
          </cell>
          <cell r="K84" t="str">
            <v>P007InsideFPFC</v>
          </cell>
          <cell r="L84" t="str">
            <v>Inside</v>
          </cell>
          <cell r="M84" t="str">
            <v>FPFC</v>
          </cell>
          <cell r="N84" t="str">
            <v>26X38</v>
          </cell>
          <cell r="P84">
            <v>28000</v>
          </cell>
          <cell r="Q84">
            <v>0.15</v>
          </cell>
          <cell r="AC84">
            <v>15</v>
          </cell>
          <cell r="AD84">
            <v>7</v>
          </cell>
          <cell r="AE84">
            <v>100</v>
          </cell>
          <cell r="AF84" t="str">
            <v>CD</v>
          </cell>
          <cell r="AG84">
            <v>78</v>
          </cell>
        </row>
        <row r="85">
          <cell r="A85" t="str">
            <v>P007</v>
          </cell>
          <cell r="B85" t="str">
            <v>12F</v>
          </cell>
          <cell r="K85" t="str">
            <v>P007InsideFPBW</v>
          </cell>
          <cell r="L85" t="str">
            <v>Inside</v>
          </cell>
          <cell r="M85" t="str">
            <v>FPBW</v>
          </cell>
          <cell r="N85" t="str">
            <v>26X38</v>
          </cell>
          <cell r="P85">
            <v>16000</v>
          </cell>
          <cell r="AG85">
            <v>79</v>
          </cell>
        </row>
        <row r="86">
          <cell r="A86" t="str">
            <v>P007</v>
          </cell>
          <cell r="K86" t="str">
            <v>P007InsideHPFC</v>
          </cell>
          <cell r="L86" t="str">
            <v>Inside</v>
          </cell>
          <cell r="M86" t="str">
            <v>HPFC</v>
          </cell>
          <cell r="N86" t="str">
            <v>26X19</v>
          </cell>
          <cell r="P86">
            <v>14000</v>
          </cell>
          <cell r="AG86">
            <v>80</v>
          </cell>
        </row>
        <row r="87">
          <cell r="A87" t="str">
            <v>P007</v>
          </cell>
          <cell r="K87" t="str">
            <v>P007InsideHPBW</v>
          </cell>
          <cell r="L87" t="str">
            <v>Inside</v>
          </cell>
          <cell r="M87" t="str">
            <v>HPBW</v>
          </cell>
          <cell r="N87" t="str">
            <v>26X19</v>
          </cell>
          <cell r="P87">
            <v>8000</v>
          </cell>
          <cell r="AG87">
            <v>81</v>
          </cell>
        </row>
        <row r="88">
          <cell r="A88" t="str">
            <v>P007</v>
          </cell>
          <cell r="K88" t="str">
            <v>P007Inside1/4VPBW</v>
          </cell>
          <cell r="L88" t="str">
            <v>Inside</v>
          </cell>
          <cell r="M88" t="str">
            <v>1/4VPBW</v>
          </cell>
          <cell r="N88" t="str">
            <v>19X13</v>
          </cell>
          <cell r="P88">
            <v>4000</v>
          </cell>
          <cell r="AG88">
            <v>82</v>
          </cell>
        </row>
        <row r="89">
          <cell r="A89" t="str">
            <v>P007</v>
          </cell>
          <cell r="K89" t="str">
            <v>P007FirstFPFC</v>
          </cell>
          <cell r="L89" t="str">
            <v>First</v>
          </cell>
          <cell r="M89" t="str">
            <v>FPFC</v>
          </cell>
          <cell r="N89" t="str">
            <v>26X38</v>
          </cell>
          <cell r="P89">
            <v>33600</v>
          </cell>
          <cell r="AG89">
            <v>83</v>
          </cell>
        </row>
        <row r="90">
          <cell r="A90" t="str">
            <v>P007</v>
          </cell>
          <cell r="B90" t="str">
            <v>CAM NANG TIEU DUNG DAN ONG</v>
          </cell>
          <cell r="C90">
            <v>9305377</v>
          </cell>
          <cell r="D90">
            <v>9305378</v>
          </cell>
          <cell r="E90" t="str">
            <v>Cty Sai Gon Truyen Thong 25 Ngo Thoi Nhiem Q3</v>
          </cell>
          <cell r="F90" t="str">
            <v>Ms Phuong 0989333209</v>
          </cell>
          <cell r="G90" t="str">
            <v>5th/ Monthly</v>
          </cell>
          <cell r="H90">
            <v>80</v>
          </cell>
          <cell r="I90">
            <v>0.2</v>
          </cell>
          <cell r="K90" t="str">
            <v>P007FirstFPBW</v>
          </cell>
          <cell r="L90" t="str">
            <v>First</v>
          </cell>
          <cell r="M90" t="str">
            <v>FPBW</v>
          </cell>
          <cell r="N90" t="str">
            <v>26X38</v>
          </cell>
          <cell r="P90">
            <v>19200</v>
          </cell>
          <cell r="Q90">
            <v>0.2</v>
          </cell>
          <cell r="AC90">
            <v>15</v>
          </cell>
          <cell r="AD90">
            <v>10</v>
          </cell>
          <cell r="AE90" t="str">
            <v>300 DPI</v>
          </cell>
          <cell r="AF90" t="str">
            <v>CD</v>
          </cell>
          <cell r="AG90">
            <v>84</v>
          </cell>
        </row>
        <row r="91">
          <cell r="A91" t="str">
            <v>THE THAO HANG NGAY</v>
          </cell>
          <cell r="B91" t="str">
            <v>1F</v>
          </cell>
          <cell r="K91" t="str">
            <v>THE THAO HANG NGAY</v>
          </cell>
          <cell r="L91" t="str">
            <v>Cover 2</v>
          </cell>
          <cell r="M91" t="str">
            <v>FPFC</v>
          </cell>
          <cell r="N91" t="str">
            <v>19X26</v>
          </cell>
          <cell r="P91">
            <v>14000</v>
          </cell>
          <cell r="AG91">
            <v>85</v>
          </cell>
        </row>
        <row r="92">
          <cell r="A92" t="str">
            <v>P008</v>
          </cell>
          <cell r="B92" t="str">
            <v>CAM NANG TIEU DUNG DAN ONG</v>
          </cell>
          <cell r="C92">
            <v>9305377</v>
          </cell>
          <cell r="D92">
            <v>9305378</v>
          </cell>
          <cell r="E92" t="str">
            <v>Cty Sai Gon Truyen Thong 25 Ngo Thoi Nhiem Q3</v>
          </cell>
          <cell r="F92" t="str">
            <v>Ms Phuong 0989333209</v>
          </cell>
          <cell r="G92" t="str">
            <v>5/ Monthly</v>
          </cell>
          <cell r="H92">
            <v>80</v>
          </cell>
          <cell r="I92">
            <v>0.2</v>
          </cell>
          <cell r="K92" t="str">
            <v>P008Cover 4FPFC</v>
          </cell>
          <cell r="L92" t="str">
            <v>Cover 4</v>
          </cell>
          <cell r="M92" t="str">
            <v>FPFC</v>
          </cell>
          <cell r="N92" t="str">
            <v>19X26</v>
          </cell>
          <cell r="P92">
            <v>16000</v>
          </cell>
          <cell r="Q92">
            <v>0.2</v>
          </cell>
          <cell r="AC92">
            <v>15</v>
          </cell>
          <cell r="AD92">
            <v>14</v>
          </cell>
          <cell r="AE92" t="str">
            <v>300 DPI</v>
          </cell>
          <cell r="AF92" t="str">
            <v>CD</v>
          </cell>
          <cell r="AG92">
            <v>86</v>
          </cell>
        </row>
        <row r="93">
          <cell r="A93" t="str">
            <v>P008</v>
          </cell>
          <cell r="B93" t="str">
            <v>1F</v>
          </cell>
          <cell r="K93" t="str">
            <v>P008Cover 2FPFC</v>
          </cell>
          <cell r="L93" t="str">
            <v>Cover 2</v>
          </cell>
          <cell r="M93" t="str">
            <v>FPFC</v>
          </cell>
          <cell r="N93" t="str">
            <v>19X26</v>
          </cell>
          <cell r="O93" t="str">
            <v>22.3X29.1</v>
          </cell>
          <cell r="P93">
            <v>14000</v>
          </cell>
          <cell r="AG93">
            <v>87</v>
          </cell>
        </row>
        <row r="94">
          <cell r="A94" t="str">
            <v>P008</v>
          </cell>
          <cell r="K94" t="str">
            <v>P008Cover 3FPFC</v>
          </cell>
          <cell r="L94" t="str">
            <v>Cover 3</v>
          </cell>
          <cell r="M94" t="str">
            <v>FPFC</v>
          </cell>
          <cell r="N94" t="str">
            <v>19X26</v>
          </cell>
          <cell r="O94" t="str">
            <v>22.3X29.1</v>
          </cell>
          <cell r="P94">
            <v>14000</v>
          </cell>
          <cell r="AG94">
            <v>88</v>
          </cell>
        </row>
        <row r="95">
          <cell r="A95" t="str">
            <v>P008</v>
          </cell>
          <cell r="K95" t="str">
            <v>P008InsideFPFC</v>
          </cell>
          <cell r="L95" t="str">
            <v>Inside</v>
          </cell>
          <cell r="M95" t="str">
            <v>FPFC</v>
          </cell>
          <cell r="N95" t="str">
            <v>19X26</v>
          </cell>
          <cell r="O95" t="str">
            <v>22.3X29.1</v>
          </cell>
          <cell r="P95">
            <v>10000</v>
          </cell>
          <cell r="AG95">
            <v>89</v>
          </cell>
        </row>
        <row r="96">
          <cell r="A96" t="str">
            <v>P008</v>
          </cell>
          <cell r="K96" t="str">
            <v>P008FirstFPFC</v>
          </cell>
          <cell r="L96" t="str">
            <v>First</v>
          </cell>
          <cell r="M96" t="str">
            <v>FPFC</v>
          </cell>
          <cell r="N96" t="str">
            <v>19X26</v>
          </cell>
          <cell r="O96" t="str">
            <v>22.3X29.1</v>
          </cell>
          <cell r="P96">
            <v>12000</v>
          </cell>
          <cell r="AG96">
            <v>90</v>
          </cell>
        </row>
        <row r="97">
          <cell r="A97" t="str">
            <v>P008</v>
          </cell>
          <cell r="K97" t="str">
            <v>P008InsideHPFC</v>
          </cell>
          <cell r="L97" t="str">
            <v>Inside</v>
          </cell>
          <cell r="M97" t="str">
            <v>HPFC</v>
          </cell>
          <cell r="N97" t="str">
            <v>19X13</v>
          </cell>
          <cell r="P97">
            <v>6000</v>
          </cell>
          <cell r="AG97">
            <v>91</v>
          </cell>
        </row>
        <row r="98">
          <cell r="A98" t="str">
            <v>P008</v>
          </cell>
          <cell r="K98" t="str">
            <v>P008InsideVPFC</v>
          </cell>
          <cell r="L98" t="str">
            <v>Inside</v>
          </cell>
          <cell r="M98" t="str">
            <v>VPFC</v>
          </cell>
          <cell r="N98" t="str">
            <v>9X26</v>
          </cell>
          <cell r="P98">
            <v>6000</v>
          </cell>
          <cell r="AG98">
            <v>92</v>
          </cell>
        </row>
        <row r="99">
          <cell r="A99" t="str">
            <v>P008</v>
          </cell>
          <cell r="K99" t="str">
            <v>P008Inside1/3HPFC</v>
          </cell>
          <cell r="L99" t="str">
            <v>Inside</v>
          </cell>
          <cell r="M99" t="str">
            <v>1/3HPFC</v>
          </cell>
          <cell r="N99" t="str">
            <v>19X8.5</v>
          </cell>
          <cell r="P99">
            <v>4500</v>
          </cell>
          <cell r="AG99">
            <v>93</v>
          </cell>
        </row>
        <row r="100">
          <cell r="A100" t="str">
            <v>P008</v>
          </cell>
          <cell r="K100" t="str">
            <v>P008Inside1/3VPFC</v>
          </cell>
          <cell r="L100" t="str">
            <v>Inside</v>
          </cell>
          <cell r="M100" t="str">
            <v>1/3VPFC</v>
          </cell>
          <cell r="N100" t="str">
            <v>6X26</v>
          </cell>
          <cell r="P100">
            <v>4500</v>
          </cell>
          <cell r="AG100">
            <v>94</v>
          </cell>
        </row>
        <row r="101">
          <cell r="A101" t="str">
            <v>P008</v>
          </cell>
          <cell r="B101" t="str">
            <v>NHIP CAU DAU TU</v>
          </cell>
          <cell r="C101">
            <v>8272783</v>
          </cell>
          <cell r="D101">
            <v>8274755</v>
          </cell>
          <cell r="E101" t="str">
            <v>Lau 3, 71-75 Hai Ba Trung tang 3, Tp. HCM</v>
          </cell>
          <cell r="F101" t="str">
            <v>Ms Lan 0903760866</v>
          </cell>
          <cell r="G101" t="str">
            <v>10,25/ Monthly</v>
          </cell>
          <cell r="H101">
            <v>50000</v>
          </cell>
          <cell r="I101">
            <v>0.5</v>
          </cell>
          <cell r="K101" t="str">
            <v>P008Inside1/4HPFC</v>
          </cell>
          <cell r="L101" t="str">
            <v>Inside</v>
          </cell>
          <cell r="M101" t="str">
            <v>1/4HPFC</v>
          </cell>
          <cell r="N101" t="str">
            <v>19X6.5</v>
          </cell>
          <cell r="O101" t="str">
            <v>20.6X27.6</v>
          </cell>
          <cell r="P101">
            <v>3000</v>
          </cell>
          <cell r="Q101">
            <v>0.5</v>
          </cell>
          <cell r="AC101">
            <v>15</v>
          </cell>
          <cell r="AD101">
            <v>10</v>
          </cell>
          <cell r="AE101" t="str">
            <v>350 DPI</v>
          </cell>
          <cell r="AF101" t="str">
            <v>CD (TIFF/ EPS)</v>
          </cell>
          <cell r="AG101">
            <v>95</v>
          </cell>
        </row>
        <row r="102">
          <cell r="A102" t="str">
            <v>P008</v>
          </cell>
          <cell r="B102" t="str">
            <v>7C</v>
          </cell>
          <cell r="C102">
            <v>8272783</v>
          </cell>
          <cell r="D102">
            <v>8274755</v>
          </cell>
          <cell r="E102" t="str">
            <v>Lau 3, 71-75 Hai Ba Trung tang 3, Tp. HCM</v>
          </cell>
          <cell r="F102" t="str">
            <v>Ms Lan 0903760866</v>
          </cell>
          <cell r="G102" t="str">
            <v>10,25/ Monthly</v>
          </cell>
          <cell r="H102">
            <v>50000</v>
          </cell>
          <cell r="I102">
            <v>0.5</v>
          </cell>
          <cell r="K102" t="str">
            <v>P008Inside1/4VPFC</v>
          </cell>
          <cell r="L102" t="str">
            <v>Inside</v>
          </cell>
          <cell r="M102" t="str">
            <v>1/4VPFC</v>
          </cell>
          <cell r="N102" t="str">
            <v>9X13</v>
          </cell>
          <cell r="O102" t="str">
            <v>20.6X27.6</v>
          </cell>
          <cell r="P102">
            <v>3000</v>
          </cell>
          <cell r="Q102">
            <v>0.5</v>
          </cell>
          <cell r="AC102">
            <v>15</v>
          </cell>
          <cell r="AD102">
            <v>10</v>
          </cell>
          <cell r="AE102" t="str">
            <v>350 DPI</v>
          </cell>
          <cell r="AF102" t="str">
            <v>CD (TIFF/ EPS)</v>
          </cell>
          <cell r="AG102">
            <v>96</v>
          </cell>
        </row>
        <row r="103">
          <cell r="A103" t="str">
            <v>CAM NANG TIEU DUNG DAN ONG</v>
          </cell>
          <cell r="B103" t="str">
            <v>7C</v>
          </cell>
          <cell r="K103" t="str">
            <v>CAM NANG TIEU DUNG DAN ONG</v>
          </cell>
          <cell r="L103" t="str">
            <v>Inside</v>
          </cell>
          <cell r="M103" t="str">
            <v>2/3VPFC</v>
          </cell>
          <cell r="P103">
            <v>17600</v>
          </cell>
          <cell r="AG103">
            <v>97</v>
          </cell>
        </row>
        <row r="104">
          <cell r="A104" t="str">
            <v>P009</v>
          </cell>
          <cell r="B104" t="str">
            <v>NHIP CAU DAU TU</v>
          </cell>
          <cell r="C104">
            <v>8272783</v>
          </cell>
          <cell r="D104">
            <v>8274755</v>
          </cell>
          <cell r="E104" t="str">
            <v>Lau 3, 71-75 Hai Ba Trung tang 3, Tp. HCM</v>
          </cell>
          <cell r="F104" t="str">
            <v>Ms Lan 0903760866</v>
          </cell>
          <cell r="G104" t="str">
            <v>10,25/ Monthly</v>
          </cell>
          <cell r="H104">
            <v>50000</v>
          </cell>
          <cell r="I104">
            <v>0.5</v>
          </cell>
          <cell r="K104" t="str">
            <v>P009InsideFPFC</v>
          </cell>
          <cell r="L104" t="str">
            <v>Inside</v>
          </cell>
          <cell r="M104" t="str">
            <v>FPFC</v>
          </cell>
          <cell r="N104" t="str">
            <v>19X26</v>
          </cell>
          <cell r="O104" t="str">
            <v>20.6X27.6</v>
          </cell>
          <cell r="P104">
            <v>26400.000000000004</v>
          </cell>
          <cell r="Q104">
            <v>0.5</v>
          </cell>
          <cell r="AC104">
            <v>15</v>
          </cell>
          <cell r="AD104">
            <v>10</v>
          </cell>
          <cell r="AE104" t="str">
            <v>350 DPI</v>
          </cell>
          <cell r="AF104" t="str">
            <v>CD (TIFF/ EPS)</v>
          </cell>
          <cell r="AG104">
            <v>98</v>
          </cell>
        </row>
        <row r="105">
          <cell r="A105" t="str">
            <v>P009</v>
          </cell>
          <cell r="B105" t="str">
            <v>7C</v>
          </cell>
          <cell r="K105" t="str">
            <v>P009Inside2/3HPFC</v>
          </cell>
          <cell r="L105" t="str">
            <v>Inside</v>
          </cell>
          <cell r="M105" t="str">
            <v>2/3HPFC</v>
          </cell>
          <cell r="P105">
            <v>17600</v>
          </cell>
          <cell r="AG105">
            <v>99</v>
          </cell>
        </row>
        <row r="106">
          <cell r="A106" t="str">
            <v>P009</v>
          </cell>
          <cell r="K106" t="str">
            <v>P009Inside2/3VPFC</v>
          </cell>
          <cell r="L106" t="str">
            <v>Inside</v>
          </cell>
          <cell r="M106" t="str">
            <v>2/3VPFC</v>
          </cell>
          <cell r="P106">
            <v>17600</v>
          </cell>
          <cell r="AG106">
            <v>100</v>
          </cell>
        </row>
        <row r="107">
          <cell r="A107" t="str">
            <v>P009</v>
          </cell>
          <cell r="K107" t="str">
            <v>P009InsideHPFC</v>
          </cell>
          <cell r="L107" t="str">
            <v>Inside</v>
          </cell>
          <cell r="M107" t="str">
            <v>HPFC</v>
          </cell>
          <cell r="P107">
            <v>13200.000000000002</v>
          </cell>
          <cell r="AG107">
            <v>101</v>
          </cell>
        </row>
        <row r="108">
          <cell r="A108" t="str">
            <v>P009</v>
          </cell>
          <cell r="K108" t="str">
            <v>P009InsideDPFC</v>
          </cell>
          <cell r="L108" t="str">
            <v>Inside</v>
          </cell>
          <cell r="M108" t="str">
            <v>DPFC</v>
          </cell>
          <cell r="P108">
            <v>49500.000000000007</v>
          </cell>
          <cell r="AG108">
            <v>102</v>
          </cell>
        </row>
        <row r="109">
          <cell r="A109" t="str">
            <v>P009</v>
          </cell>
          <cell r="K109" t="str">
            <v>P009FirstFPFC</v>
          </cell>
          <cell r="L109" t="str">
            <v>First</v>
          </cell>
          <cell r="M109" t="str">
            <v>FPFC</v>
          </cell>
          <cell r="P109">
            <v>36300</v>
          </cell>
          <cell r="AG109">
            <v>103</v>
          </cell>
        </row>
        <row r="110">
          <cell r="A110" t="str">
            <v>P009</v>
          </cell>
          <cell r="K110" t="str">
            <v>P009SecondFPFC</v>
          </cell>
          <cell r="L110" t="str">
            <v>Second</v>
          </cell>
          <cell r="M110" t="str">
            <v>FPFC</v>
          </cell>
          <cell r="P110">
            <v>30800.000000000004</v>
          </cell>
          <cell r="AG110">
            <v>104</v>
          </cell>
        </row>
        <row r="111">
          <cell r="A111" t="str">
            <v>P009</v>
          </cell>
          <cell r="K111" t="str">
            <v>P009Cover 2FPFC</v>
          </cell>
          <cell r="L111" t="str">
            <v>Cover 2</v>
          </cell>
          <cell r="M111" t="str">
            <v>FPFC</v>
          </cell>
          <cell r="P111">
            <v>38500</v>
          </cell>
          <cell r="AG111">
            <v>105</v>
          </cell>
        </row>
        <row r="112">
          <cell r="A112" t="str">
            <v>P009</v>
          </cell>
          <cell r="K112" t="str">
            <v>P009Cover 3FPFC</v>
          </cell>
          <cell r="L112" t="str">
            <v>Cover 3</v>
          </cell>
          <cell r="M112" t="str">
            <v>FPFC</v>
          </cell>
          <cell r="P112">
            <v>35200</v>
          </cell>
          <cell r="AG112">
            <v>106</v>
          </cell>
        </row>
        <row r="113">
          <cell r="A113" t="str">
            <v>P009</v>
          </cell>
          <cell r="K113" t="str">
            <v>P009Cover 4FPFC</v>
          </cell>
          <cell r="L113" t="str">
            <v>Cover 4</v>
          </cell>
          <cell r="M113" t="str">
            <v>FPFC</v>
          </cell>
          <cell r="P113">
            <v>44000</v>
          </cell>
          <cell r="AG113">
            <v>107</v>
          </cell>
        </row>
        <row r="114">
          <cell r="A114" t="str">
            <v>P009</v>
          </cell>
          <cell r="B114" t="str">
            <v>TBKTSG</v>
          </cell>
          <cell r="C114">
            <v>8214393</v>
          </cell>
          <cell r="D114">
            <v>8295742</v>
          </cell>
          <cell r="E114" t="str">
            <v>35 NKKN Q1</v>
          </cell>
          <cell r="F114" t="str">
            <v>Ms Huong 0913118711</v>
          </cell>
          <cell r="G114" t="str">
            <v>Thu/ Weekly</v>
          </cell>
          <cell r="H114">
            <v>55000</v>
          </cell>
          <cell r="I114">
            <v>0.15</v>
          </cell>
          <cell r="K114" t="str">
            <v>P009Cover 4DPFC</v>
          </cell>
          <cell r="L114" t="str">
            <v>Cover 4</v>
          </cell>
          <cell r="M114" t="str">
            <v>DPFC</v>
          </cell>
          <cell r="N114" t="str">
            <v>17.5X25</v>
          </cell>
          <cell r="P114">
            <v>55000.000000000007</v>
          </cell>
          <cell r="Q114">
            <v>0.15</v>
          </cell>
          <cell r="AC114">
            <v>15</v>
          </cell>
          <cell r="AD114">
            <v>10</v>
          </cell>
          <cell r="AE114" t="str">
            <v>350 DPI</v>
          </cell>
          <cell r="AF114" t="str">
            <v>CD</v>
          </cell>
          <cell r="AG114">
            <v>108</v>
          </cell>
        </row>
        <row r="115">
          <cell r="A115" t="str">
            <v>P009</v>
          </cell>
          <cell r="B115" t="str">
            <v>10G</v>
          </cell>
          <cell r="C115">
            <v>8214393</v>
          </cell>
          <cell r="D115">
            <v>8295742</v>
          </cell>
          <cell r="E115" t="str">
            <v>35 NKKN Q1</v>
          </cell>
          <cell r="F115" t="str">
            <v>Ms Huong 0913118711</v>
          </cell>
          <cell r="G115" t="str">
            <v>Thu/ Weekly</v>
          </cell>
          <cell r="H115">
            <v>55000</v>
          </cell>
          <cell r="I115">
            <v>0.15</v>
          </cell>
          <cell r="K115" t="str">
            <v>P009Cover 2DPFC</v>
          </cell>
          <cell r="L115" t="str">
            <v>Cover 2</v>
          </cell>
          <cell r="M115" t="str">
            <v>DPFC</v>
          </cell>
          <cell r="N115" t="str">
            <v>17.5X25</v>
          </cell>
          <cell r="P115">
            <v>63800.000000000007</v>
          </cell>
          <cell r="Q115">
            <v>0.15</v>
          </cell>
          <cell r="AC115">
            <v>15</v>
          </cell>
          <cell r="AD115">
            <v>10</v>
          </cell>
          <cell r="AE115" t="str">
            <v>350 DPI</v>
          </cell>
          <cell r="AF115" t="str">
            <v>CD</v>
          </cell>
          <cell r="AG115">
            <v>109</v>
          </cell>
        </row>
        <row r="116">
          <cell r="A116" t="str">
            <v>NHIP CAU DAU TU</v>
          </cell>
          <cell r="B116" t="str">
            <v>10G</v>
          </cell>
          <cell r="K116" t="str">
            <v>NHIP CAU DAU TU</v>
          </cell>
          <cell r="L116" t="str">
            <v>Cover 3</v>
          </cell>
          <cell r="M116" t="str">
            <v>FPFC</v>
          </cell>
          <cell r="N116" t="str">
            <v>17.5X25</v>
          </cell>
          <cell r="P116">
            <v>25440</v>
          </cell>
          <cell r="AG116">
            <v>110</v>
          </cell>
        </row>
        <row r="117">
          <cell r="A117" t="str">
            <v>P010</v>
          </cell>
          <cell r="B117" t="str">
            <v>TBKTSG</v>
          </cell>
          <cell r="C117">
            <v>8214393</v>
          </cell>
          <cell r="D117">
            <v>8295742</v>
          </cell>
          <cell r="E117" t="str">
            <v>35 NKKN Q1</v>
          </cell>
          <cell r="F117" t="str">
            <v>Ms Huong 0913118711</v>
          </cell>
          <cell r="G117" t="str">
            <v>Thu/ Weekly</v>
          </cell>
          <cell r="H117">
            <v>55000</v>
          </cell>
          <cell r="I117">
            <v>0.15</v>
          </cell>
          <cell r="K117" t="str">
            <v>P010Cover 4FPFC</v>
          </cell>
          <cell r="L117" t="str">
            <v>Cover 4</v>
          </cell>
          <cell r="M117" t="str">
            <v>FPFC</v>
          </cell>
          <cell r="N117" t="str">
            <v>17.5X25</v>
          </cell>
          <cell r="P117">
            <v>31800</v>
          </cell>
          <cell r="Q117">
            <v>0.15</v>
          </cell>
          <cell r="AC117">
            <v>15</v>
          </cell>
          <cell r="AD117">
            <v>10</v>
          </cell>
          <cell r="AE117" t="str">
            <v>350 DPI</v>
          </cell>
          <cell r="AF117" t="str">
            <v>CD</v>
          </cell>
          <cell r="AG117">
            <v>111</v>
          </cell>
        </row>
        <row r="118">
          <cell r="A118" t="str">
            <v>P010</v>
          </cell>
          <cell r="B118" t="str">
            <v>10G</v>
          </cell>
          <cell r="K118" t="str">
            <v>P010FirstFPFC</v>
          </cell>
          <cell r="L118" t="str">
            <v>First</v>
          </cell>
          <cell r="M118" t="str">
            <v>FPFC</v>
          </cell>
          <cell r="N118" t="str">
            <v>17.5X25</v>
          </cell>
          <cell r="P118">
            <v>28620</v>
          </cell>
          <cell r="AG118">
            <v>112</v>
          </cell>
        </row>
        <row r="119">
          <cell r="A119" t="str">
            <v>P010</v>
          </cell>
          <cell r="K119" t="str">
            <v>P010Cover 3FPFC</v>
          </cell>
          <cell r="L119" t="str">
            <v>Cover 3</v>
          </cell>
          <cell r="M119" t="str">
            <v>FPFC</v>
          </cell>
          <cell r="N119" t="str">
            <v>17.5X25</v>
          </cell>
          <cell r="P119">
            <v>25440</v>
          </cell>
          <cell r="AG119">
            <v>113</v>
          </cell>
        </row>
        <row r="120">
          <cell r="A120" t="str">
            <v>P010</v>
          </cell>
          <cell r="K120" t="str">
            <v>P010InsideFPFC</v>
          </cell>
          <cell r="L120" t="str">
            <v>Inside</v>
          </cell>
          <cell r="M120" t="str">
            <v>FPFC</v>
          </cell>
          <cell r="N120" t="str">
            <v>17.5X25</v>
          </cell>
          <cell r="P120">
            <v>22260</v>
          </cell>
          <cell r="AG120">
            <v>114</v>
          </cell>
        </row>
        <row r="121">
          <cell r="A121" t="str">
            <v>P010</v>
          </cell>
          <cell r="K121" t="str">
            <v>P010InsideFPBW</v>
          </cell>
          <cell r="L121" t="str">
            <v>Inside</v>
          </cell>
          <cell r="M121" t="str">
            <v>FPBW</v>
          </cell>
          <cell r="N121" t="str">
            <v>17.5X25</v>
          </cell>
          <cell r="P121">
            <v>17490</v>
          </cell>
          <cell r="AG121">
            <v>115</v>
          </cell>
        </row>
        <row r="122">
          <cell r="A122" t="str">
            <v>P010</v>
          </cell>
          <cell r="K122" t="str">
            <v>P010InsideHPFC</v>
          </cell>
          <cell r="L122" t="str">
            <v>Inside</v>
          </cell>
          <cell r="M122" t="str">
            <v>HPFC</v>
          </cell>
          <cell r="N122" t="str">
            <v>17.5X12.3</v>
          </cell>
          <cell r="P122">
            <v>12720</v>
          </cell>
          <cell r="AG122">
            <v>116</v>
          </cell>
        </row>
        <row r="123">
          <cell r="A123" t="str">
            <v>P010</v>
          </cell>
          <cell r="K123" t="str">
            <v>P010InsideJPFC</v>
          </cell>
          <cell r="L123" t="str">
            <v>Inside</v>
          </cell>
          <cell r="M123" t="str">
            <v>JPFC</v>
          </cell>
          <cell r="N123" t="str">
            <v>11.5X19</v>
          </cell>
          <cell r="P123">
            <v>19080</v>
          </cell>
          <cell r="AG123">
            <v>117</v>
          </cell>
        </row>
        <row r="124">
          <cell r="A124" t="str">
            <v>P010</v>
          </cell>
          <cell r="B124" t="str">
            <v>THE THAO VH DAN ONG</v>
          </cell>
          <cell r="C124">
            <v>8484754</v>
          </cell>
          <cell r="D124">
            <v>8484753</v>
          </cell>
          <cell r="E124" t="str">
            <v>144A Ly Chinh Thang</v>
          </cell>
          <cell r="F124" t="str">
            <v>Ms Tham 0908678580</v>
          </cell>
          <cell r="G124" t="str">
            <v>25/ Monthly</v>
          </cell>
          <cell r="H124">
            <v>28500</v>
          </cell>
          <cell r="I124">
            <v>0.35</v>
          </cell>
          <cell r="J124">
            <v>0.1</v>
          </cell>
          <cell r="K124" t="str">
            <v>P010AdvertorialFPFC</v>
          </cell>
          <cell r="L124" t="str">
            <v>Advertorial</v>
          </cell>
          <cell r="M124" t="str">
            <v>FPFC</v>
          </cell>
          <cell r="N124" t="str">
            <v>17.5X25</v>
          </cell>
          <cell r="O124" t="str">
            <v>24X29.6</v>
          </cell>
          <cell r="P124">
            <v>23850</v>
          </cell>
          <cell r="Q124">
            <v>0.35</v>
          </cell>
          <cell r="R124">
            <v>0.1</v>
          </cell>
          <cell r="AC124">
            <v>15</v>
          </cell>
          <cell r="AD124">
            <v>10</v>
          </cell>
          <cell r="AE124" t="str">
            <v>350 DPI</v>
          </cell>
          <cell r="AF124" t="str">
            <v>CD</v>
          </cell>
          <cell r="AG124">
            <v>118</v>
          </cell>
        </row>
        <row r="125">
          <cell r="A125" t="str">
            <v>P010</v>
          </cell>
          <cell r="B125" t="str">
            <v>11C</v>
          </cell>
          <cell r="C125">
            <v>8484754</v>
          </cell>
          <cell r="D125">
            <v>8484753</v>
          </cell>
          <cell r="E125" t="str">
            <v>144A Ly Chinh Thang</v>
          </cell>
          <cell r="F125" t="str">
            <v>Ms Tham 0908678580</v>
          </cell>
          <cell r="G125" t="str">
            <v>25/ Monthly</v>
          </cell>
          <cell r="H125">
            <v>28500</v>
          </cell>
          <cell r="I125">
            <v>0.35</v>
          </cell>
          <cell r="J125">
            <v>0.1</v>
          </cell>
          <cell r="K125" t="str">
            <v>P010AdvertorialFPBW</v>
          </cell>
          <cell r="L125" t="str">
            <v>Advertorial</v>
          </cell>
          <cell r="M125" t="str">
            <v>FPBW</v>
          </cell>
          <cell r="N125" t="str">
            <v>17.5X25</v>
          </cell>
          <cell r="O125" t="str">
            <v>23.8X29.6</v>
          </cell>
          <cell r="P125">
            <v>19080</v>
          </cell>
          <cell r="Q125">
            <v>0.35</v>
          </cell>
          <cell r="R125">
            <v>0.1</v>
          </cell>
          <cell r="AC125">
            <v>15</v>
          </cell>
          <cell r="AD125">
            <v>14</v>
          </cell>
          <cell r="AE125" t="str">
            <v>350 DPI</v>
          </cell>
          <cell r="AF125" t="str">
            <v>CD</v>
          </cell>
          <cell r="AG125">
            <v>119</v>
          </cell>
        </row>
        <row r="126">
          <cell r="A126" t="str">
            <v>TBKTSG</v>
          </cell>
          <cell r="B126" t="str">
            <v>11C</v>
          </cell>
          <cell r="F126" t="str">
            <v>Lan 0908290108</v>
          </cell>
          <cell r="K126" t="str">
            <v>TBKTSG</v>
          </cell>
          <cell r="L126" t="str">
            <v>Cover 3</v>
          </cell>
          <cell r="M126" t="str">
            <v>FPFC</v>
          </cell>
          <cell r="N126" t="str">
            <v>22X28.2</v>
          </cell>
          <cell r="O126" t="str">
            <v>23.8X29.6</v>
          </cell>
          <cell r="P126">
            <v>40700</v>
          </cell>
          <cell r="AG126">
            <v>120</v>
          </cell>
        </row>
        <row r="127">
          <cell r="A127" t="str">
            <v>P011</v>
          </cell>
          <cell r="B127" t="str">
            <v>THE THAO VH DAN ONG</v>
          </cell>
          <cell r="C127">
            <v>8484754</v>
          </cell>
          <cell r="D127">
            <v>8484753</v>
          </cell>
          <cell r="E127" t="str">
            <v>144A Ly Chinh Thang</v>
          </cell>
          <cell r="F127" t="str">
            <v>Ms Tham 0908678580</v>
          </cell>
          <cell r="G127" t="str">
            <v>25/ Monthly</v>
          </cell>
          <cell r="H127">
            <v>28500</v>
          </cell>
          <cell r="I127">
            <v>0.35</v>
          </cell>
          <cell r="J127">
            <v>0.1</v>
          </cell>
          <cell r="K127" t="str">
            <v>P011InsideFPFC</v>
          </cell>
          <cell r="L127" t="str">
            <v>Inside</v>
          </cell>
          <cell r="M127" t="str">
            <v>FPFC</v>
          </cell>
          <cell r="N127" t="str">
            <v>22X28.2</v>
          </cell>
          <cell r="O127" t="str">
            <v>24X29.6</v>
          </cell>
          <cell r="P127">
            <v>30800.000000000004</v>
          </cell>
          <cell r="Q127">
            <v>0.35</v>
          </cell>
          <cell r="R127">
            <v>0.1</v>
          </cell>
          <cell r="AC127">
            <v>15</v>
          </cell>
          <cell r="AD127">
            <v>14</v>
          </cell>
          <cell r="AE127" t="str">
            <v>350 DPI</v>
          </cell>
          <cell r="AF127" t="str">
            <v>CD</v>
          </cell>
          <cell r="AG127">
            <v>121</v>
          </cell>
        </row>
        <row r="128">
          <cell r="A128" t="str">
            <v>P011</v>
          </cell>
          <cell r="B128" t="str">
            <v>11C</v>
          </cell>
          <cell r="F128" t="str">
            <v>Lan 0908290108</v>
          </cell>
          <cell r="K128" t="str">
            <v>P011Cover 2FPFC</v>
          </cell>
          <cell r="L128" t="str">
            <v>Cover 2</v>
          </cell>
          <cell r="M128" t="str">
            <v>FPFC</v>
          </cell>
          <cell r="N128" t="str">
            <v>22X28.2</v>
          </cell>
          <cell r="O128" t="str">
            <v>23.8X29.6</v>
          </cell>
          <cell r="P128">
            <v>44000</v>
          </cell>
          <cell r="AG128">
            <v>122</v>
          </cell>
        </row>
        <row r="129">
          <cell r="A129" t="str">
            <v>P011</v>
          </cell>
          <cell r="K129" t="str">
            <v>P011Cover 3FPFC</v>
          </cell>
          <cell r="L129" t="str">
            <v>Cover 3</v>
          </cell>
          <cell r="M129" t="str">
            <v>FPFC</v>
          </cell>
          <cell r="N129" t="str">
            <v>22X28.2</v>
          </cell>
          <cell r="O129" t="str">
            <v>23.8X29.6</v>
          </cell>
          <cell r="P129">
            <v>40700</v>
          </cell>
          <cell r="AG129">
            <v>123</v>
          </cell>
        </row>
        <row r="130">
          <cell r="A130" t="str">
            <v>P011</v>
          </cell>
          <cell r="K130" t="str">
            <v>P011Cover 4FPFC</v>
          </cell>
          <cell r="L130" t="str">
            <v>Cover 4</v>
          </cell>
          <cell r="M130" t="str">
            <v>FPFC</v>
          </cell>
          <cell r="N130" t="str">
            <v>22.8X28.2</v>
          </cell>
          <cell r="O130" t="str">
            <v>23.8X29.6</v>
          </cell>
          <cell r="P130">
            <v>51700.000000000007</v>
          </cell>
          <cell r="AG130">
            <v>124</v>
          </cell>
        </row>
        <row r="131">
          <cell r="A131" t="str">
            <v>P011</v>
          </cell>
          <cell r="K131" t="str">
            <v>P011InsideHPFC</v>
          </cell>
          <cell r="L131" t="str">
            <v>Inside</v>
          </cell>
          <cell r="M131" t="str">
            <v>HPFC</v>
          </cell>
          <cell r="N131" t="str">
            <v>22X13.9</v>
          </cell>
          <cell r="O131" t="str">
            <v>23.8X29.6</v>
          </cell>
          <cell r="P131">
            <v>19800</v>
          </cell>
          <cell r="AG131">
            <v>125</v>
          </cell>
        </row>
        <row r="132">
          <cell r="A132" t="str">
            <v>P011</v>
          </cell>
          <cell r="K132" t="str">
            <v>P011InsideVPFC</v>
          </cell>
          <cell r="L132" t="str">
            <v>Inside</v>
          </cell>
          <cell r="M132" t="str">
            <v>VPFC</v>
          </cell>
          <cell r="N132" t="str">
            <v>10.8X28.2</v>
          </cell>
          <cell r="O132" t="str">
            <v>23.8X29.6</v>
          </cell>
          <cell r="P132">
            <v>19800</v>
          </cell>
          <cell r="AG132">
            <v>126</v>
          </cell>
        </row>
        <row r="133">
          <cell r="A133" t="str">
            <v>P011</v>
          </cell>
          <cell r="K133" t="str">
            <v>P011Inside1/3VPFC</v>
          </cell>
          <cell r="L133" t="str">
            <v>Inside</v>
          </cell>
          <cell r="M133" t="str">
            <v>1/3VPFC</v>
          </cell>
          <cell r="N133" t="str">
            <v>7.5X28.2</v>
          </cell>
          <cell r="O133" t="str">
            <v>23.8X29.6</v>
          </cell>
          <cell r="P133">
            <v>15400.000000000002</v>
          </cell>
          <cell r="AG133">
            <v>127</v>
          </cell>
        </row>
        <row r="134">
          <cell r="A134" t="str">
            <v>P011</v>
          </cell>
          <cell r="B134" t="str">
            <v>TBKTVN</v>
          </cell>
          <cell r="C134" t="str">
            <v>04 7552060</v>
          </cell>
          <cell r="D134" t="str">
            <v>04 7552046</v>
          </cell>
          <cell r="E134" t="str">
            <v>96 Hoang Quoc Viet-HN</v>
          </cell>
          <cell r="F134" t="str">
            <v>Thanh Huong 0903225653- 0989149676</v>
          </cell>
          <cell r="G134" t="str">
            <v>2,3,4,5,6/ weekly</v>
          </cell>
          <cell r="H134">
            <v>43000</v>
          </cell>
          <cell r="I134">
            <v>0.18</v>
          </cell>
          <cell r="K134" t="str">
            <v>P011FirstFPFC</v>
          </cell>
          <cell r="L134" t="str">
            <v>First</v>
          </cell>
          <cell r="M134" t="str">
            <v>FPFC</v>
          </cell>
          <cell r="N134" t="str">
            <v>22.8X28.2</v>
          </cell>
          <cell r="O134" t="str">
            <v>23.8X29.6</v>
          </cell>
          <cell r="P134">
            <v>37400</v>
          </cell>
          <cell r="Q134">
            <v>0.15</v>
          </cell>
          <cell r="AC134">
            <v>15</v>
          </cell>
          <cell r="AD134">
            <v>10</v>
          </cell>
          <cell r="AE134">
            <v>133</v>
          </cell>
          <cell r="AF134" t="str">
            <v>CD</v>
          </cell>
          <cell r="AG134">
            <v>128</v>
          </cell>
        </row>
        <row r="135">
          <cell r="A135" t="str">
            <v>P011</v>
          </cell>
          <cell r="B135" t="str">
            <v>7G</v>
          </cell>
          <cell r="C135" t="str">
            <v>04 7552060</v>
          </cell>
          <cell r="D135" t="str">
            <v>04 7552046</v>
          </cell>
          <cell r="E135" t="str">
            <v>96 Hoang Quoc Viet-HN</v>
          </cell>
          <cell r="F135" t="str">
            <v>Giang 0904584595</v>
          </cell>
          <cell r="G135" t="str">
            <v>Mon- Fri/ Weekly</v>
          </cell>
          <cell r="H135">
            <v>43000</v>
          </cell>
          <cell r="I135">
            <v>0.18</v>
          </cell>
          <cell r="K135" t="str">
            <v>P011SecondFPFC</v>
          </cell>
          <cell r="L135" t="str">
            <v>Second</v>
          </cell>
          <cell r="M135" t="str">
            <v>FPFC</v>
          </cell>
          <cell r="N135" t="str">
            <v>22.8X28.2</v>
          </cell>
          <cell r="O135" t="str">
            <v>23.8X29.6</v>
          </cell>
          <cell r="P135">
            <v>35200</v>
          </cell>
          <cell r="Q135">
            <v>0.15</v>
          </cell>
          <cell r="AC135">
            <v>15</v>
          </cell>
          <cell r="AD135">
            <v>10</v>
          </cell>
          <cell r="AE135">
            <v>133</v>
          </cell>
          <cell r="AF135" t="str">
            <v>CD</v>
          </cell>
          <cell r="AG135">
            <v>129</v>
          </cell>
        </row>
        <row r="136">
          <cell r="A136" t="str">
            <v>THE THAO VH DAN ONG</v>
          </cell>
          <cell r="B136" t="str">
            <v>7G</v>
          </cell>
          <cell r="F136" t="str">
            <v>Giang 0904584595</v>
          </cell>
          <cell r="K136" t="str">
            <v>THE THAO VH DAN ONG</v>
          </cell>
          <cell r="L136" t="str">
            <v>Inside</v>
          </cell>
          <cell r="M136" t="str">
            <v>FPBW</v>
          </cell>
          <cell r="N136" t="str">
            <v>25.5X38</v>
          </cell>
          <cell r="P136">
            <v>20113.5</v>
          </cell>
          <cell r="AG136">
            <v>130</v>
          </cell>
        </row>
        <row r="137">
          <cell r="A137" t="str">
            <v>P012</v>
          </cell>
          <cell r="B137" t="str">
            <v>TBKTVN</v>
          </cell>
          <cell r="C137" t="str">
            <v>04 7552060</v>
          </cell>
          <cell r="D137" t="str">
            <v>04 7552046</v>
          </cell>
          <cell r="E137" t="str">
            <v>96 Hoang Quoc Viet-HN</v>
          </cell>
          <cell r="F137" t="str">
            <v>Thanh Huong 0903225653- 0989149676</v>
          </cell>
          <cell r="G137" t="str">
            <v>Mon- Fri/ Weekly</v>
          </cell>
          <cell r="H137">
            <v>43000</v>
          </cell>
          <cell r="I137">
            <v>0.18</v>
          </cell>
          <cell r="K137" t="str">
            <v>P012Cover 4FPFC</v>
          </cell>
          <cell r="L137" t="str">
            <v>Cover 4</v>
          </cell>
          <cell r="M137" t="str">
            <v>FPFC</v>
          </cell>
          <cell r="N137" t="str">
            <v>25.5X38</v>
          </cell>
          <cell r="P137">
            <v>29733</v>
          </cell>
          <cell r="Q137">
            <v>0.15</v>
          </cell>
          <cell r="AC137">
            <v>15</v>
          </cell>
          <cell r="AD137">
            <v>10</v>
          </cell>
          <cell r="AE137">
            <v>133</v>
          </cell>
          <cell r="AF137" t="str">
            <v>CD</v>
          </cell>
          <cell r="AG137">
            <v>131</v>
          </cell>
        </row>
        <row r="138">
          <cell r="A138" t="str">
            <v>P012</v>
          </cell>
          <cell r="B138" t="str">
            <v>7G</v>
          </cell>
          <cell r="F138" t="str">
            <v>Giang 0904584595</v>
          </cell>
          <cell r="K138" t="str">
            <v>P012InsideFPFC</v>
          </cell>
          <cell r="L138" t="str">
            <v>Inside</v>
          </cell>
          <cell r="M138" t="str">
            <v>FPFC</v>
          </cell>
          <cell r="N138" t="str">
            <v>25.5X38</v>
          </cell>
          <cell r="P138">
            <v>26235</v>
          </cell>
          <cell r="AG138">
            <v>132</v>
          </cell>
        </row>
        <row r="139">
          <cell r="A139" t="str">
            <v>P012</v>
          </cell>
          <cell r="K139" t="str">
            <v>P012InsideFPBW</v>
          </cell>
          <cell r="L139" t="str">
            <v>Inside</v>
          </cell>
          <cell r="M139" t="str">
            <v>FPBW</v>
          </cell>
          <cell r="N139" t="str">
            <v>25.5X38</v>
          </cell>
          <cell r="P139">
            <v>20113.5</v>
          </cell>
          <cell r="AG139">
            <v>133</v>
          </cell>
        </row>
        <row r="140">
          <cell r="A140" t="str">
            <v>P012</v>
          </cell>
          <cell r="B140" t="str">
            <v>E- CHIP MOBILE M</v>
          </cell>
          <cell r="C140" t="str">
            <v>04 7722764</v>
          </cell>
          <cell r="D140" t="str">
            <v>04 7722734</v>
          </cell>
          <cell r="E140" t="str">
            <v>4 Lang Ha, Ba Dinh, Ha Noi</v>
          </cell>
          <cell r="F140" t="str">
            <v>Cuong 0913513366</v>
          </cell>
          <cell r="G140" t="str">
            <v>5th/ Monthly</v>
          </cell>
          <cell r="K140" t="str">
            <v>P012InsideHPFC</v>
          </cell>
          <cell r="L140" t="str">
            <v>Inside</v>
          </cell>
          <cell r="M140" t="str">
            <v>HPFC</v>
          </cell>
          <cell r="N140" t="str">
            <v>25.5X18.5</v>
          </cell>
          <cell r="P140">
            <v>15741</v>
          </cell>
          <cell r="Q140">
            <v>0.25</v>
          </cell>
          <cell r="AC140">
            <v>15</v>
          </cell>
          <cell r="AD140">
            <v>10</v>
          </cell>
          <cell r="AE140" t="str">
            <v>300 DPI</v>
          </cell>
          <cell r="AF140" t="str">
            <v>CD</v>
          </cell>
          <cell r="AG140">
            <v>134</v>
          </cell>
        </row>
        <row r="141">
          <cell r="A141" t="str">
            <v>P012</v>
          </cell>
          <cell r="B141" t="str">
            <v>E- CHIP MOBILE M</v>
          </cell>
          <cell r="C141" t="str">
            <v>04 7722764</v>
          </cell>
          <cell r="D141" t="str">
            <v>04 7722734</v>
          </cell>
          <cell r="E141" t="str">
            <v>4 Lang Ha, Ba Dinh, Ha Noi</v>
          </cell>
          <cell r="F141" t="str">
            <v>Cuong 0913513366</v>
          </cell>
          <cell r="G141" t="str">
            <v>5th/ Monthly</v>
          </cell>
          <cell r="K141" t="str">
            <v>P012InsideHPBW</v>
          </cell>
          <cell r="L141" t="str">
            <v>Inside</v>
          </cell>
          <cell r="M141" t="str">
            <v>HPBW</v>
          </cell>
          <cell r="N141" t="str">
            <v>25.5X18.5</v>
          </cell>
          <cell r="P141">
            <v>12068.1</v>
          </cell>
          <cell r="Q141">
            <v>0.25</v>
          </cell>
          <cell r="AC141">
            <v>15</v>
          </cell>
          <cell r="AD141">
            <v>10</v>
          </cell>
          <cell r="AE141" t="str">
            <v>300 DPI</v>
          </cell>
          <cell r="AF141" t="str">
            <v>CD</v>
          </cell>
          <cell r="AG141">
            <v>135</v>
          </cell>
        </row>
        <row r="142">
          <cell r="A142" t="str">
            <v>P012</v>
          </cell>
          <cell r="B142" t="str">
            <v>1G</v>
          </cell>
          <cell r="C142" t="str">
            <v>04 7722764</v>
          </cell>
          <cell r="D142" t="str">
            <v>04 7722734</v>
          </cell>
          <cell r="E142" t="str">
            <v>4 Lang Ha, Ba Dinh, Ha Noi</v>
          </cell>
          <cell r="F142" t="str">
            <v>Cuong 0913513366</v>
          </cell>
          <cell r="G142" t="str">
            <v>5/ Monthly</v>
          </cell>
          <cell r="K142" t="str">
            <v>P012InsideJPFC</v>
          </cell>
          <cell r="L142" t="str">
            <v>Inside</v>
          </cell>
          <cell r="M142" t="str">
            <v>JPFC</v>
          </cell>
          <cell r="N142" t="str">
            <v>20.5X28</v>
          </cell>
          <cell r="P142">
            <v>15741</v>
          </cell>
          <cell r="Q142">
            <v>0.25</v>
          </cell>
          <cell r="AC142">
            <v>15</v>
          </cell>
          <cell r="AD142">
            <v>10</v>
          </cell>
          <cell r="AE142" t="str">
            <v>300 DPI</v>
          </cell>
          <cell r="AF142" t="str">
            <v>CD</v>
          </cell>
          <cell r="AG142">
            <v>136</v>
          </cell>
        </row>
        <row r="143">
          <cell r="A143" t="str">
            <v>TBKTVN</v>
          </cell>
          <cell r="B143" t="str">
            <v>1G</v>
          </cell>
          <cell r="K143" t="str">
            <v>TBKTVN</v>
          </cell>
          <cell r="L143" t="str">
            <v>Cover 3</v>
          </cell>
          <cell r="M143" t="str">
            <v>FPFC</v>
          </cell>
          <cell r="N143" t="str">
            <v>22.5X29.5</v>
          </cell>
          <cell r="P143">
            <v>25300.000000000004</v>
          </cell>
          <cell r="AG143">
            <v>137</v>
          </cell>
        </row>
        <row r="144">
          <cell r="A144" t="str">
            <v>P013</v>
          </cell>
          <cell r="B144" t="str">
            <v>E- CHIP MOBILE M</v>
          </cell>
          <cell r="C144" t="str">
            <v>04 7722764</v>
          </cell>
          <cell r="D144" t="str">
            <v>04 7722734</v>
          </cell>
          <cell r="E144" t="str">
            <v>4 Lang Ha, Ba Dinh, Ha Noi</v>
          </cell>
          <cell r="F144" t="str">
            <v>Cuong 0913513366</v>
          </cell>
          <cell r="G144" t="str">
            <v>5/ Monthly</v>
          </cell>
          <cell r="K144" t="str">
            <v>P013Cover 4FPFC</v>
          </cell>
          <cell r="L144" t="str">
            <v>Cover 4</v>
          </cell>
          <cell r="M144" t="str">
            <v>FPFC</v>
          </cell>
          <cell r="N144" t="str">
            <v>22.5X29.5</v>
          </cell>
          <cell r="P144">
            <v>41800</v>
          </cell>
          <cell r="Q144">
            <v>0.25</v>
          </cell>
          <cell r="AC144">
            <v>15</v>
          </cell>
          <cell r="AD144">
            <v>10</v>
          </cell>
          <cell r="AE144" t="str">
            <v>300 DPI</v>
          </cell>
          <cell r="AF144" t="str">
            <v>CD</v>
          </cell>
          <cell r="AG144">
            <v>138</v>
          </cell>
        </row>
        <row r="145">
          <cell r="A145" t="str">
            <v>P013</v>
          </cell>
          <cell r="B145" t="str">
            <v>1G</v>
          </cell>
          <cell r="C145" t="str">
            <v>04 7722764</v>
          </cell>
          <cell r="D145" t="str">
            <v>04 7722734</v>
          </cell>
          <cell r="E145" t="str">
            <v>4 Lang Ha, Ba Dinh, Ha Noi</v>
          </cell>
          <cell r="F145" t="str">
            <v>Cuong 0913513366</v>
          </cell>
          <cell r="G145" t="str">
            <v>4/ Weekly</v>
          </cell>
          <cell r="K145" t="str">
            <v>P013Cover 2FPFC</v>
          </cell>
          <cell r="L145" t="str">
            <v>Cover 2</v>
          </cell>
          <cell r="M145" t="str">
            <v>FPFC</v>
          </cell>
          <cell r="N145" t="str">
            <v>22.5X29.5</v>
          </cell>
          <cell r="P145">
            <v>28600.000000000004</v>
          </cell>
          <cell r="Q145">
            <v>0.25</v>
          </cell>
          <cell r="AC145">
            <v>15</v>
          </cell>
          <cell r="AD145">
            <v>10</v>
          </cell>
          <cell r="AE145" t="str">
            <v>300 DPI</v>
          </cell>
          <cell r="AF145" t="str">
            <v>CD</v>
          </cell>
          <cell r="AG145">
            <v>139</v>
          </cell>
        </row>
        <row r="146">
          <cell r="A146" t="str">
            <v>P013</v>
          </cell>
          <cell r="B146" t="str">
            <v>E- CHIP MOBILE W</v>
          </cell>
          <cell r="C146" t="str">
            <v>04 7722764</v>
          </cell>
          <cell r="D146" t="str">
            <v>04 7722734</v>
          </cell>
          <cell r="E146" t="str">
            <v>4 Lang Ha, Ba Dinh, Ha Noi</v>
          </cell>
          <cell r="F146" t="str">
            <v>Cuong 0913513366</v>
          </cell>
          <cell r="G146" t="str">
            <v>4/ Weekly</v>
          </cell>
          <cell r="K146" t="str">
            <v>P013Cover 3FPFC</v>
          </cell>
          <cell r="L146" t="str">
            <v>Cover 3</v>
          </cell>
          <cell r="M146" t="str">
            <v>FPFC</v>
          </cell>
          <cell r="N146" t="str">
            <v>22.5X29.5</v>
          </cell>
          <cell r="P146">
            <v>25300.000000000004</v>
          </cell>
          <cell r="Q146">
            <v>0.25</v>
          </cell>
          <cell r="AC146">
            <v>15</v>
          </cell>
          <cell r="AD146">
            <v>10</v>
          </cell>
          <cell r="AE146" t="str">
            <v>300 DPI</v>
          </cell>
          <cell r="AF146" t="str">
            <v>CD</v>
          </cell>
          <cell r="AG146">
            <v>140</v>
          </cell>
        </row>
        <row r="147">
          <cell r="A147" t="str">
            <v>P013</v>
          </cell>
          <cell r="B147" t="str">
            <v>1G</v>
          </cell>
          <cell r="C147" t="str">
            <v>04 7722764</v>
          </cell>
          <cell r="D147" t="str">
            <v>04 7722734</v>
          </cell>
          <cell r="E147" t="str">
            <v>4 Lang Ha, Ba Dinh, Ha Noi</v>
          </cell>
          <cell r="F147" t="str">
            <v>Cuong 0913513366</v>
          </cell>
          <cell r="G147" t="str">
            <v>Wed/ Weekly</v>
          </cell>
          <cell r="K147" t="str">
            <v>P013InsideFPFC</v>
          </cell>
          <cell r="L147" t="str">
            <v>Inside</v>
          </cell>
          <cell r="M147" t="str">
            <v>FPFC</v>
          </cell>
          <cell r="N147" t="str">
            <v>22.5X29.5</v>
          </cell>
          <cell r="P147">
            <v>18700</v>
          </cell>
          <cell r="Q147">
            <v>0.25</v>
          </cell>
          <cell r="AC147">
            <v>15</v>
          </cell>
          <cell r="AD147">
            <v>10</v>
          </cell>
          <cell r="AE147" t="str">
            <v>300 DPI</v>
          </cell>
          <cell r="AF147" t="str">
            <v>CD</v>
          </cell>
          <cell r="AG147">
            <v>141</v>
          </cell>
        </row>
        <row r="148">
          <cell r="A148" t="str">
            <v>E- CHIP MOBILE M</v>
          </cell>
          <cell r="B148" t="str">
            <v>1G</v>
          </cell>
          <cell r="K148" t="str">
            <v>E- CHIP MOBILE M</v>
          </cell>
          <cell r="L148" t="str">
            <v>Cover 3</v>
          </cell>
          <cell r="M148" t="str">
            <v>FPFC</v>
          </cell>
          <cell r="N148" t="str">
            <v>20X28</v>
          </cell>
          <cell r="P148">
            <v>12100.000000000002</v>
          </cell>
          <cell r="AG148">
            <v>142</v>
          </cell>
        </row>
        <row r="149">
          <cell r="A149" t="str">
            <v>P014</v>
          </cell>
          <cell r="B149" t="str">
            <v>E- CHIP MOBILE W</v>
          </cell>
          <cell r="C149" t="str">
            <v>04 7722764</v>
          </cell>
          <cell r="D149" t="str">
            <v>04 7722734</v>
          </cell>
          <cell r="E149" t="str">
            <v>4 Lang Ha, Ba Dinh, Ha Noi</v>
          </cell>
          <cell r="F149" t="str">
            <v>Cuong 0913513366</v>
          </cell>
          <cell r="G149" t="str">
            <v>Wed/ Weekly</v>
          </cell>
          <cell r="K149" t="str">
            <v>P014Cover 4FPFC</v>
          </cell>
          <cell r="L149" t="str">
            <v>Cover 4</v>
          </cell>
          <cell r="M149" t="str">
            <v>FPFC</v>
          </cell>
          <cell r="N149" t="str">
            <v>20X28</v>
          </cell>
          <cell r="P149">
            <v>22000</v>
          </cell>
          <cell r="Q149">
            <v>0.25</v>
          </cell>
          <cell r="AC149">
            <v>15</v>
          </cell>
          <cell r="AD149">
            <v>10</v>
          </cell>
          <cell r="AE149" t="str">
            <v>300 DPI</v>
          </cell>
          <cell r="AF149" t="str">
            <v>CD</v>
          </cell>
          <cell r="AG149">
            <v>143</v>
          </cell>
        </row>
        <row r="150">
          <cell r="A150" t="str">
            <v>P014</v>
          </cell>
          <cell r="B150" t="str">
            <v>1G</v>
          </cell>
          <cell r="C150">
            <v>8426741</v>
          </cell>
          <cell r="D150">
            <v>8116269</v>
          </cell>
          <cell r="E150" t="str">
            <v>so 4 Huynh Huu Bac</v>
          </cell>
          <cell r="F150" t="str">
            <v>Dong- 0989035725</v>
          </cell>
          <cell r="G150" t="str">
            <v>1st/ monthly</v>
          </cell>
          <cell r="H150">
            <v>35000</v>
          </cell>
          <cell r="I150">
            <v>0.3</v>
          </cell>
          <cell r="K150" t="str">
            <v>P014Cover 2FPFC</v>
          </cell>
          <cell r="L150" t="str">
            <v>Cover 2</v>
          </cell>
          <cell r="M150" t="str">
            <v>FPFC</v>
          </cell>
          <cell r="N150" t="str">
            <v>20X28</v>
          </cell>
          <cell r="P150">
            <v>15400.000000000002</v>
          </cell>
          <cell r="Q150">
            <v>0.3</v>
          </cell>
          <cell r="AC150">
            <v>15</v>
          </cell>
          <cell r="AD150">
            <v>10</v>
          </cell>
          <cell r="AE150" t="str">
            <v>300 DPI</v>
          </cell>
          <cell r="AF150" t="str">
            <v>CD</v>
          </cell>
          <cell r="AG150">
            <v>144</v>
          </cell>
        </row>
        <row r="151">
          <cell r="A151" t="str">
            <v>P014</v>
          </cell>
          <cell r="B151" t="str">
            <v>OTO &amp; XE MAY</v>
          </cell>
          <cell r="C151">
            <v>8426741</v>
          </cell>
          <cell r="D151">
            <v>8116269</v>
          </cell>
          <cell r="E151" t="str">
            <v>so 4 Huynh Huu Bac</v>
          </cell>
          <cell r="F151" t="str">
            <v>Dong- 0989035725</v>
          </cell>
          <cell r="G151" t="str">
            <v>1st/ monthly</v>
          </cell>
          <cell r="H151">
            <v>35000</v>
          </cell>
          <cell r="I151">
            <v>0.3</v>
          </cell>
          <cell r="K151" t="str">
            <v>P014Cover 3FPFC</v>
          </cell>
          <cell r="L151" t="str">
            <v>Cover 3</v>
          </cell>
          <cell r="M151" t="str">
            <v>FPFC</v>
          </cell>
          <cell r="N151" t="str">
            <v>20X28</v>
          </cell>
          <cell r="P151">
            <v>12100.000000000002</v>
          </cell>
          <cell r="Q151">
            <v>0.3</v>
          </cell>
          <cell r="AC151">
            <v>15</v>
          </cell>
          <cell r="AD151">
            <v>10</v>
          </cell>
          <cell r="AE151" t="str">
            <v>300 DPI</v>
          </cell>
          <cell r="AF151" t="str">
            <v>CD</v>
          </cell>
          <cell r="AG151">
            <v>145</v>
          </cell>
        </row>
        <row r="152">
          <cell r="A152" t="str">
            <v>P014</v>
          </cell>
          <cell r="B152" t="str">
            <v>9I</v>
          </cell>
          <cell r="C152">
            <v>8426741</v>
          </cell>
          <cell r="D152">
            <v>8116269</v>
          </cell>
          <cell r="E152" t="str">
            <v>so 4 Huynh Huu Bac</v>
          </cell>
          <cell r="F152" t="str">
            <v>Dong- 0989035725</v>
          </cell>
          <cell r="G152" t="str">
            <v>1/ Monthly</v>
          </cell>
          <cell r="H152">
            <v>35000</v>
          </cell>
          <cell r="I152">
            <v>0.3</v>
          </cell>
          <cell r="K152" t="str">
            <v>P014InsideFPFC</v>
          </cell>
          <cell r="L152" t="str">
            <v>Inside</v>
          </cell>
          <cell r="M152" t="str">
            <v>FPFC</v>
          </cell>
          <cell r="N152" t="str">
            <v>20X28</v>
          </cell>
          <cell r="P152">
            <v>7700.0000000000009</v>
          </cell>
          <cell r="Q152">
            <v>0.3</v>
          </cell>
          <cell r="AC152">
            <v>15</v>
          </cell>
          <cell r="AD152">
            <v>14</v>
          </cell>
          <cell r="AE152" t="str">
            <v>300 DPI</v>
          </cell>
          <cell r="AF152" t="str">
            <v>CD</v>
          </cell>
          <cell r="AG152">
            <v>146</v>
          </cell>
        </row>
        <row r="153">
          <cell r="A153" t="str">
            <v>E- CHIP MOBILE W</v>
          </cell>
          <cell r="B153" t="str">
            <v>9I</v>
          </cell>
          <cell r="K153" t="str">
            <v>E- CHIP MOBILE W</v>
          </cell>
          <cell r="L153" t="str">
            <v>Cover 3</v>
          </cell>
          <cell r="M153" t="str">
            <v>FPFC</v>
          </cell>
          <cell r="N153" t="str">
            <v>21X28.5</v>
          </cell>
          <cell r="P153">
            <v>63751.05000000001</v>
          </cell>
          <cell r="AG153">
            <v>147</v>
          </cell>
        </row>
        <row r="154">
          <cell r="A154" t="str">
            <v>P015</v>
          </cell>
          <cell r="B154" t="str">
            <v>OTO &amp; XE MAY</v>
          </cell>
          <cell r="C154">
            <v>8426741</v>
          </cell>
          <cell r="D154">
            <v>8116269</v>
          </cell>
          <cell r="E154" t="str">
            <v>so 4 Huynh Huu Bac</v>
          </cell>
          <cell r="F154" t="str">
            <v>Dong- 0989035725</v>
          </cell>
          <cell r="G154" t="str">
            <v>1/ Monthly</v>
          </cell>
          <cell r="H154">
            <v>35000</v>
          </cell>
          <cell r="I154">
            <v>0.3</v>
          </cell>
          <cell r="K154" t="str">
            <v>P015InsideFPFC</v>
          </cell>
          <cell r="L154" t="str">
            <v>Inside</v>
          </cell>
          <cell r="M154" t="str">
            <v>FPFC</v>
          </cell>
          <cell r="N154" t="str">
            <v>21X28.5</v>
          </cell>
          <cell r="P154">
            <v>42500.700000000004</v>
          </cell>
          <cell r="Q154">
            <v>0.3</v>
          </cell>
          <cell r="AC154">
            <v>15</v>
          </cell>
          <cell r="AD154">
            <v>14</v>
          </cell>
          <cell r="AE154" t="str">
            <v>300 DPI</v>
          </cell>
          <cell r="AF154" t="str">
            <v>CD</v>
          </cell>
          <cell r="AG154">
            <v>148</v>
          </cell>
        </row>
        <row r="155">
          <cell r="A155" t="str">
            <v>P015</v>
          </cell>
          <cell r="B155" t="str">
            <v>9I</v>
          </cell>
          <cell r="K155" t="str">
            <v>P015Cover 2FPFC</v>
          </cell>
          <cell r="L155" t="str">
            <v>Cover 2</v>
          </cell>
          <cell r="M155" t="str">
            <v>FPFC</v>
          </cell>
          <cell r="N155" t="str">
            <v>21X28.5</v>
          </cell>
          <cell r="P155">
            <v>63751.05000000001</v>
          </cell>
          <cell r="AG155">
            <v>149</v>
          </cell>
        </row>
        <row r="156">
          <cell r="A156" t="str">
            <v>P015</v>
          </cell>
          <cell r="B156" t="str">
            <v>MY THUAT</v>
          </cell>
          <cell r="C156">
            <v>8211181</v>
          </cell>
          <cell r="D156">
            <v>8211175</v>
          </cell>
          <cell r="E156" t="str">
            <v>92 NKKN Q1 HCM</v>
          </cell>
          <cell r="F156" t="str">
            <v>Mr Diep 0903940788</v>
          </cell>
          <cell r="G156" t="str">
            <v>15/ Monthly</v>
          </cell>
          <cell r="H156">
            <v>52000</v>
          </cell>
          <cell r="I156">
            <v>0.3</v>
          </cell>
          <cell r="J156">
            <v>0.15</v>
          </cell>
          <cell r="K156" t="str">
            <v>P015Cover 3FPFC</v>
          </cell>
          <cell r="L156" t="str">
            <v>Cover 3</v>
          </cell>
          <cell r="M156" t="str">
            <v>FPFC</v>
          </cell>
          <cell r="N156" t="str">
            <v>21X28.5</v>
          </cell>
          <cell r="P156">
            <v>63751.05000000001</v>
          </cell>
          <cell r="AC156">
            <v>15</v>
          </cell>
          <cell r="AD156">
            <v>10</v>
          </cell>
          <cell r="AE156" t="str">
            <v>300 DPI</v>
          </cell>
          <cell r="AF156" t="str">
            <v>CD</v>
          </cell>
          <cell r="AG156">
            <v>150</v>
          </cell>
        </row>
        <row r="157">
          <cell r="A157" t="str">
            <v>P015</v>
          </cell>
          <cell r="B157" t="str">
            <v>MY THUAT</v>
          </cell>
          <cell r="C157">
            <v>8211181</v>
          </cell>
          <cell r="D157">
            <v>8211175</v>
          </cell>
          <cell r="E157" t="str">
            <v>92 NKKN Q1 HCM</v>
          </cell>
          <cell r="F157" t="str">
            <v>Mr Diep 0903940788</v>
          </cell>
          <cell r="G157" t="str">
            <v>15/ Monthly</v>
          </cell>
          <cell r="H157">
            <v>52000</v>
          </cell>
          <cell r="I157">
            <v>0.3</v>
          </cell>
          <cell r="J157">
            <v>0.15</v>
          </cell>
          <cell r="K157" t="str">
            <v>P015Cover 4FPFC</v>
          </cell>
          <cell r="L157" t="str">
            <v>Cover 4</v>
          </cell>
          <cell r="M157" t="str">
            <v>FPFC</v>
          </cell>
          <cell r="N157" t="str">
            <v>21X28.5</v>
          </cell>
          <cell r="P157">
            <v>85176.3</v>
          </cell>
          <cell r="AC157">
            <v>15</v>
          </cell>
          <cell r="AD157">
            <v>10</v>
          </cell>
          <cell r="AE157" t="str">
            <v>300 DPI</v>
          </cell>
          <cell r="AF157" t="str">
            <v>CD</v>
          </cell>
          <cell r="AG157">
            <v>151</v>
          </cell>
        </row>
        <row r="158">
          <cell r="A158" t="str">
            <v>P015</v>
          </cell>
          <cell r="B158" t="str">
            <v>11I</v>
          </cell>
          <cell r="C158">
            <v>8211181</v>
          </cell>
          <cell r="D158">
            <v>8211175</v>
          </cell>
          <cell r="E158" t="str">
            <v>92 NKKN Q1 HCM</v>
          </cell>
          <cell r="F158" t="str">
            <v>Mr Diep 0903940788</v>
          </cell>
          <cell r="G158" t="str">
            <v>15/ Monthly</v>
          </cell>
          <cell r="H158">
            <v>52000</v>
          </cell>
          <cell r="I158">
            <v>0.3</v>
          </cell>
          <cell r="J158">
            <v>0.15</v>
          </cell>
          <cell r="K158" t="str">
            <v>P015FirstFPFC</v>
          </cell>
          <cell r="L158" t="str">
            <v>First</v>
          </cell>
          <cell r="M158" t="str">
            <v>FPFC</v>
          </cell>
          <cell r="N158" t="str">
            <v>21X28.5</v>
          </cell>
          <cell r="P158">
            <v>63751.05000000001</v>
          </cell>
          <cell r="AC158">
            <v>15</v>
          </cell>
          <cell r="AD158">
            <v>14</v>
          </cell>
          <cell r="AE158" t="str">
            <v>300 DPI</v>
          </cell>
          <cell r="AF158" t="str">
            <v>CD</v>
          </cell>
          <cell r="AG158">
            <v>152</v>
          </cell>
        </row>
        <row r="159">
          <cell r="A159" t="str">
            <v>OTO &amp; XE MAY</v>
          </cell>
          <cell r="B159" t="str">
            <v>11I</v>
          </cell>
          <cell r="K159" t="str">
            <v>OTO &amp; XE MAY</v>
          </cell>
          <cell r="L159" t="str">
            <v>Cover 2</v>
          </cell>
          <cell r="M159" t="str">
            <v>FPFC</v>
          </cell>
          <cell r="N159" t="str">
            <v>21X27.5</v>
          </cell>
          <cell r="P159">
            <v>69960</v>
          </cell>
          <cell r="AG159">
            <v>153</v>
          </cell>
        </row>
        <row r="160">
          <cell r="A160" t="str">
            <v>P016</v>
          </cell>
          <cell r="B160" t="str">
            <v>MY THUAT</v>
          </cell>
          <cell r="C160">
            <v>8211181</v>
          </cell>
          <cell r="D160">
            <v>8211175</v>
          </cell>
          <cell r="E160" t="str">
            <v>92 NKKN Q1 HCM</v>
          </cell>
          <cell r="F160" t="str">
            <v>Mr Diep 0903940788</v>
          </cell>
          <cell r="G160" t="str">
            <v>15/ Monthly</v>
          </cell>
          <cell r="H160">
            <v>52000</v>
          </cell>
          <cell r="I160">
            <v>0.3</v>
          </cell>
          <cell r="J160">
            <v>0.15</v>
          </cell>
          <cell r="K160" t="str">
            <v>P016Cover 4FPFC</v>
          </cell>
          <cell r="L160" t="str">
            <v>Cover 4</v>
          </cell>
          <cell r="M160" t="str">
            <v>FPFC</v>
          </cell>
          <cell r="N160" t="str">
            <v>21X27.5</v>
          </cell>
          <cell r="P160">
            <v>78705</v>
          </cell>
          <cell r="U160">
            <v>0.3</v>
          </cell>
          <cell r="V160">
            <v>0.15</v>
          </cell>
          <cell r="AC160">
            <v>15</v>
          </cell>
          <cell r="AD160">
            <v>14</v>
          </cell>
          <cell r="AE160" t="str">
            <v>300 DPI</v>
          </cell>
          <cell r="AF160" t="str">
            <v>CD</v>
          </cell>
          <cell r="AG160">
            <v>154</v>
          </cell>
        </row>
        <row r="161">
          <cell r="A161" t="str">
            <v>P016</v>
          </cell>
          <cell r="B161" t="str">
            <v>11I</v>
          </cell>
          <cell r="C161">
            <v>47718267</v>
          </cell>
          <cell r="D161">
            <v>47716433</v>
          </cell>
          <cell r="E161" t="str">
            <v>43 Nguyen Chi Thanh _ HN</v>
          </cell>
          <cell r="F161" t="str">
            <v>Ms Nga 0903261705</v>
          </cell>
          <cell r="G161" t="str">
            <v>1,15/ Monthly</v>
          </cell>
          <cell r="K161" t="str">
            <v>P016Cover 3FPFC</v>
          </cell>
          <cell r="L161" t="str">
            <v>Cover 3</v>
          </cell>
          <cell r="M161" t="str">
            <v>FPFC</v>
          </cell>
          <cell r="N161" t="str">
            <v>21X27.5</v>
          </cell>
          <cell r="P161">
            <v>62964.000000000007</v>
          </cell>
          <cell r="AC161">
            <v>15</v>
          </cell>
          <cell r="AD161">
            <v>10</v>
          </cell>
          <cell r="AE161">
            <v>150</v>
          </cell>
          <cell r="AF161" t="str">
            <v>CD</v>
          </cell>
          <cell r="AG161">
            <v>155</v>
          </cell>
        </row>
        <row r="162">
          <cell r="A162" t="str">
            <v>P016</v>
          </cell>
          <cell r="B162" t="str">
            <v>TAP CHI VTV</v>
          </cell>
          <cell r="C162">
            <v>47718267</v>
          </cell>
          <cell r="D162">
            <v>47716433</v>
          </cell>
          <cell r="E162" t="str">
            <v>43 Nguyen Chi Thanh _ HN</v>
          </cell>
          <cell r="F162" t="str">
            <v>Ms Nga 0903261705</v>
          </cell>
          <cell r="G162" t="str">
            <v>1,15/ Monthly</v>
          </cell>
          <cell r="K162" t="str">
            <v>P016Cover 2FPFC</v>
          </cell>
          <cell r="L162" t="str">
            <v>Cover 2</v>
          </cell>
          <cell r="M162" t="str">
            <v>FPFC</v>
          </cell>
          <cell r="N162" t="str">
            <v>21X27.5</v>
          </cell>
          <cell r="P162">
            <v>69960</v>
          </cell>
          <cell r="AC162">
            <v>15</v>
          </cell>
          <cell r="AD162">
            <v>10</v>
          </cell>
          <cell r="AE162">
            <v>150</v>
          </cell>
          <cell r="AF162" t="str">
            <v>CD</v>
          </cell>
          <cell r="AG162">
            <v>156</v>
          </cell>
        </row>
        <row r="163">
          <cell r="A163" t="str">
            <v>P016</v>
          </cell>
          <cell r="B163" t="str">
            <v>12I</v>
          </cell>
          <cell r="C163">
            <v>47718267</v>
          </cell>
          <cell r="D163">
            <v>47716433</v>
          </cell>
          <cell r="E163" t="str">
            <v>43 Nguyen Chi Thanh _ HN</v>
          </cell>
          <cell r="F163" t="str">
            <v>Ms Nga 0903261705</v>
          </cell>
          <cell r="G163" t="str">
            <v>1,15/ Monthly</v>
          </cell>
          <cell r="K163" t="str">
            <v>P016InsideFPFC</v>
          </cell>
          <cell r="L163" t="str">
            <v>Inside</v>
          </cell>
          <cell r="M163" t="str">
            <v>FPFC</v>
          </cell>
          <cell r="N163" t="str">
            <v>21X27.5</v>
          </cell>
          <cell r="P163">
            <v>43725</v>
          </cell>
          <cell r="AC163">
            <v>15</v>
          </cell>
          <cell r="AD163">
            <v>10</v>
          </cell>
          <cell r="AE163">
            <v>150</v>
          </cell>
          <cell r="AF163" t="str">
            <v>CD</v>
          </cell>
          <cell r="AG163">
            <v>157</v>
          </cell>
        </row>
        <row r="164">
          <cell r="A164" t="str">
            <v>MY THUAT</v>
          </cell>
          <cell r="B164" t="str">
            <v>12I</v>
          </cell>
          <cell r="K164" t="str">
            <v>MY THUAT</v>
          </cell>
          <cell r="L164" t="str">
            <v>Cover 3</v>
          </cell>
          <cell r="M164" t="str">
            <v>FPFC</v>
          </cell>
          <cell r="N164" t="str">
            <v>18.5X26.5</v>
          </cell>
          <cell r="P164">
            <v>15000</v>
          </cell>
          <cell r="AG164">
            <v>158</v>
          </cell>
        </row>
        <row r="165">
          <cell r="A165" t="str">
            <v>P017</v>
          </cell>
          <cell r="B165" t="str">
            <v>TAP CHI VTV</v>
          </cell>
          <cell r="C165">
            <v>47718267</v>
          </cell>
          <cell r="D165">
            <v>47716433</v>
          </cell>
          <cell r="E165" t="str">
            <v>43 Nguyen Chi Thanh _ HN</v>
          </cell>
          <cell r="F165" t="str">
            <v>Ms Nga 0903261705</v>
          </cell>
          <cell r="G165" t="str">
            <v>1,15/ Monthly</v>
          </cell>
          <cell r="K165" t="str">
            <v>P017Cover 4FPFC</v>
          </cell>
          <cell r="L165" t="str">
            <v>Cover 4</v>
          </cell>
          <cell r="M165" t="str">
            <v>FPFC</v>
          </cell>
          <cell r="N165" t="str">
            <v>18.5X26.5</v>
          </cell>
          <cell r="P165">
            <v>20000</v>
          </cell>
          <cell r="AC165">
            <v>15</v>
          </cell>
          <cell r="AD165">
            <v>10</v>
          </cell>
          <cell r="AE165">
            <v>150</v>
          </cell>
          <cell r="AF165" t="str">
            <v>CD</v>
          </cell>
          <cell r="AG165">
            <v>159</v>
          </cell>
        </row>
        <row r="166">
          <cell r="A166" t="str">
            <v>P017</v>
          </cell>
          <cell r="B166" t="str">
            <v>12I</v>
          </cell>
          <cell r="C166" t="str">
            <v>8368361/ 9304605</v>
          </cell>
          <cell r="D166" t="str">
            <v>8368005/ 9304609</v>
          </cell>
          <cell r="E166" t="str">
            <v>68 Tran Hung Dao Q1 HCM/ Cty An Minh 80 Vo Van Tan, P6, Q3</v>
          </cell>
          <cell r="F166" t="str">
            <v>Mr Khanh 0918188188
0919089936</v>
          </cell>
          <cell r="G166" t="str">
            <v>1,10,20/ Monthly</v>
          </cell>
          <cell r="H166">
            <v>75000</v>
          </cell>
          <cell r="I166">
            <v>0.2</v>
          </cell>
          <cell r="K166" t="str">
            <v>P017Cover 2FPFC</v>
          </cell>
          <cell r="L166" t="str">
            <v>Cover 2</v>
          </cell>
          <cell r="M166" t="str">
            <v>FPFC</v>
          </cell>
          <cell r="N166" t="str">
            <v>18.5X26.5</v>
          </cell>
          <cell r="P166">
            <v>15000</v>
          </cell>
          <cell r="AC166">
            <v>15</v>
          </cell>
          <cell r="AD166">
            <v>10</v>
          </cell>
          <cell r="AE166">
            <v>150</v>
          </cell>
          <cell r="AF166" t="str">
            <v>CD</v>
          </cell>
          <cell r="AG166">
            <v>160</v>
          </cell>
        </row>
        <row r="167">
          <cell r="A167" t="str">
            <v>P017</v>
          </cell>
          <cell r="B167" t="str">
            <v>KIEN THUC NGAY NAY</v>
          </cell>
          <cell r="C167" t="str">
            <v>8368361/ 9304605</v>
          </cell>
          <cell r="D167" t="str">
            <v>8368005/ 9304609</v>
          </cell>
          <cell r="E167" t="str">
            <v>68 Tran Hung Dao Q1 HCM/ Cty An Minh 80 Vo Van Tan, P6, Q3</v>
          </cell>
          <cell r="F167" t="str">
            <v>Mr Khanh 0918188188
0919089936</v>
          </cell>
          <cell r="G167" t="str">
            <v>1,10,20/ Monthly</v>
          </cell>
          <cell r="H167">
            <v>75000</v>
          </cell>
          <cell r="I167">
            <v>0.2</v>
          </cell>
          <cell r="K167" t="str">
            <v>P017Cover 3FPFC</v>
          </cell>
          <cell r="L167" t="str">
            <v>Cover 3</v>
          </cell>
          <cell r="M167" t="str">
            <v>FPFC</v>
          </cell>
          <cell r="N167" t="str">
            <v>18.5X26.5</v>
          </cell>
          <cell r="P167">
            <v>15000</v>
          </cell>
          <cell r="AC167">
            <v>15</v>
          </cell>
          <cell r="AD167">
            <v>10</v>
          </cell>
          <cell r="AE167">
            <v>150</v>
          </cell>
          <cell r="AF167" t="str">
            <v>CD</v>
          </cell>
          <cell r="AG167">
            <v>161</v>
          </cell>
        </row>
        <row r="168">
          <cell r="A168" t="str">
            <v>P017</v>
          </cell>
          <cell r="B168" t="str">
            <v>1H</v>
          </cell>
          <cell r="C168" t="str">
            <v>8368361/ 9304605</v>
          </cell>
          <cell r="D168" t="str">
            <v>8368005/ 9304609</v>
          </cell>
          <cell r="E168" t="str">
            <v>68 Tran Hung Dao Q1 HCM/ Cty An Minh 80 Vo Van Tan, P6, Q3</v>
          </cell>
          <cell r="F168" t="str">
            <v>Mr Khanh 0918188188
0919089936</v>
          </cell>
          <cell r="G168" t="str">
            <v>1,10,20/ Monthly</v>
          </cell>
          <cell r="H168">
            <v>75000</v>
          </cell>
          <cell r="I168">
            <v>0.2</v>
          </cell>
          <cell r="K168" t="str">
            <v>P017InsideFPFC</v>
          </cell>
          <cell r="L168" t="str">
            <v>Inside</v>
          </cell>
          <cell r="M168" t="str">
            <v>FPFC</v>
          </cell>
          <cell r="N168" t="str">
            <v>18.5X26.5</v>
          </cell>
          <cell r="P168">
            <v>9000</v>
          </cell>
          <cell r="AC168">
            <v>15</v>
          </cell>
          <cell r="AD168">
            <v>10</v>
          </cell>
          <cell r="AE168">
            <v>150</v>
          </cell>
          <cell r="AF168" t="str">
            <v>CD</v>
          </cell>
          <cell r="AG168">
            <v>162</v>
          </cell>
        </row>
        <row r="169">
          <cell r="A169" t="str">
            <v>TAP CHI VTV</v>
          </cell>
          <cell r="B169" t="str">
            <v>1H</v>
          </cell>
          <cell r="K169" t="str">
            <v>TAP CHI VTV</v>
          </cell>
          <cell r="L169" t="str">
            <v>Cover 3</v>
          </cell>
          <cell r="M169" t="str">
            <v>FPFC</v>
          </cell>
          <cell r="P169">
            <v>11000</v>
          </cell>
          <cell r="AG169">
            <v>163</v>
          </cell>
        </row>
        <row r="170">
          <cell r="A170" t="str">
            <v>P018</v>
          </cell>
          <cell r="B170" t="str">
            <v>KIEN THUC NGAY NAY</v>
          </cell>
          <cell r="C170" t="str">
            <v>8368361/ 9304605</v>
          </cell>
          <cell r="D170" t="str">
            <v>8368005/ 9304609</v>
          </cell>
          <cell r="E170" t="str">
            <v>68 Tran Hung Dao Q1 HCM/ Cty An Minh 80 Vo Van Tan, P6, Q3</v>
          </cell>
          <cell r="F170" t="str">
            <v>Mr Khanh 0918188188
0919089936</v>
          </cell>
          <cell r="G170" t="str">
            <v>1,10,20/ Monthly</v>
          </cell>
          <cell r="H170">
            <v>75000</v>
          </cell>
          <cell r="I170">
            <v>0.2</v>
          </cell>
          <cell r="K170" t="str">
            <v>P018Cover 4FPFC</v>
          </cell>
          <cell r="L170" t="str">
            <v>Cover 4</v>
          </cell>
          <cell r="M170" t="str">
            <v>FPFC</v>
          </cell>
          <cell r="P170">
            <v>27500.000000000004</v>
          </cell>
          <cell r="AC170">
            <v>15</v>
          </cell>
          <cell r="AD170">
            <v>10</v>
          </cell>
          <cell r="AE170">
            <v>150</v>
          </cell>
          <cell r="AF170" t="str">
            <v>CD</v>
          </cell>
          <cell r="AG170">
            <v>164</v>
          </cell>
        </row>
        <row r="171">
          <cell r="A171" t="str">
            <v>P018</v>
          </cell>
          <cell r="B171" t="str">
            <v>1H</v>
          </cell>
          <cell r="K171" t="str">
            <v>P018Cover 2FPFC</v>
          </cell>
          <cell r="L171" t="str">
            <v>Cover 2</v>
          </cell>
          <cell r="M171" t="str">
            <v>FPFC</v>
          </cell>
          <cell r="P171">
            <v>13200.000000000002</v>
          </cell>
          <cell r="AG171">
            <v>165</v>
          </cell>
        </row>
        <row r="172">
          <cell r="A172" t="str">
            <v>P018</v>
          </cell>
          <cell r="B172" t="str">
            <v>THUOC &amp; SUC KHOE</v>
          </cell>
          <cell r="C172">
            <v>8437564</v>
          </cell>
          <cell r="D172">
            <v>9350627</v>
          </cell>
          <cell r="E172" t="str">
            <v xml:space="preserve">126A Tran Quoc Thao Q3 </v>
          </cell>
          <cell r="F172" t="str">
            <v>Mr Liem 0903717843</v>
          </cell>
          <cell r="G172" t="str">
            <v>1,15/ Monthly</v>
          </cell>
          <cell r="I172">
            <v>0.15</v>
          </cell>
          <cell r="K172" t="str">
            <v>P018Cover 3FPFC</v>
          </cell>
          <cell r="L172" t="str">
            <v>Cover 3</v>
          </cell>
          <cell r="M172" t="str">
            <v>FPFC</v>
          </cell>
          <cell r="N172" t="str">
            <v>18X26</v>
          </cell>
          <cell r="O172" t="str">
            <v>20.6X28.6</v>
          </cell>
          <cell r="P172">
            <v>11000</v>
          </cell>
          <cell r="AC172">
            <v>15</v>
          </cell>
          <cell r="AD172">
            <v>10</v>
          </cell>
          <cell r="AE172">
            <v>150</v>
          </cell>
          <cell r="AF172" t="str">
            <v>CD</v>
          </cell>
          <cell r="AG172">
            <v>166</v>
          </cell>
        </row>
        <row r="173">
          <cell r="A173" t="str">
            <v>P018</v>
          </cell>
          <cell r="B173" t="str">
            <v>THUOC &amp; SUC KHOE</v>
          </cell>
          <cell r="C173">
            <v>8437564</v>
          </cell>
          <cell r="D173">
            <v>9350627</v>
          </cell>
          <cell r="E173" t="str">
            <v xml:space="preserve">126A Tran Quoc Thao Q3 </v>
          </cell>
          <cell r="F173" t="str">
            <v>Mr Liem 0903717843</v>
          </cell>
          <cell r="G173" t="str">
            <v>1,15/ Monthly</v>
          </cell>
          <cell r="I173">
            <v>0.15</v>
          </cell>
          <cell r="K173" t="str">
            <v>P018FirstFPFC</v>
          </cell>
          <cell r="L173" t="str">
            <v>First</v>
          </cell>
          <cell r="M173" t="str">
            <v>FPFC</v>
          </cell>
          <cell r="N173" t="str">
            <v>18X26</v>
          </cell>
          <cell r="O173" t="str">
            <v>20.6X28.6</v>
          </cell>
          <cell r="P173">
            <v>8800</v>
          </cell>
          <cell r="AC173">
            <v>15</v>
          </cell>
          <cell r="AD173">
            <v>10</v>
          </cell>
          <cell r="AE173">
            <v>150</v>
          </cell>
          <cell r="AF173" t="str">
            <v>CD</v>
          </cell>
          <cell r="AG173">
            <v>167</v>
          </cell>
        </row>
        <row r="174">
          <cell r="A174" t="str">
            <v>P018</v>
          </cell>
          <cell r="B174" t="str">
            <v>6H</v>
          </cell>
          <cell r="C174">
            <v>8437564</v>
          </cell>
          <cell r="D174">
            <v>9350627</v>
          </cell>
          <cell r="E174" t="str">
            <v xml:space="preserve">126A Tran Quoc Thao Q3 </v>
          </cell>
          <cell r="F174" t="str">
            <v>Mr Liem 0903717843</v>
          </cell>
          <cell r="G174" t="str">
            <v>1,15/ Monthly</v>
          </cell>
          <cell r="I174">
            <v>0.15</v>
          </cell>
          <cell r="K174" t="str">
            <v>P018InsideFPFC</v>
          </cell>
          <cell r="L174" t="str">
            <v>Inside</v>
          </cell>
          <cell r="M174" t="str">
            <v>FPFC</v>
          </cell>
          <cell r="N174" t="str">
            <v>18X26</v>
          </cell>
          <cell r="O174" t="str">
            <v>20.6X28.6</v>
          </cell>
          <cell r="P174">
            <v>4950</v>
          </cell>
          <cell r="AC174">
            <v>15</v>
          </cell>
          <cell r="AD174">
            <v>14</v>
          </cell>
          <cell r="AE174">
            <v>150</v>
          </cell>
          <cell r="AF174" t="str">
            <v>CD</v>
          </cell>
          <cell r="AG174">
            <v>168</v>
          </cell>
        </row>
        <row r="175">
          <cell r="A175" t="str">
            <v>KIEN THUC NGAY NAY</v>
          </cell>
          <cell r="B175" t="str">
            <v>6H</v>
          </cell>
          <cell r="K175" t="str">
            <v>KIEN THUC NGAY NAY</v>
          </cell>
          <cell r="L175" t="str">
            <v>Cover 3</v>
          </cell>
          <cell r="M175" t="str">
            <v>FPFC</v>
          </cell>
          <cell r="N175" t="str">
            <v>18X26</v>
          </cell>
          <cell r="O175" t="str">
            <v>20.6X28.6</v>
          </cell>
          <cell r="P175">
            <v>9000</v>
          </cell>
          <cell r="AG175">
            <v>169</v>
          </cell>
        </row>
        <row r="176">
          <cell r="A176" t="str">
            <v>P019</v>
          </cell>
          <cell r="B176" t="str">
            <v>THUOC &amp; SUC KHOE</v>
          </cell>
          <cell r="C176">
            <v>8437564</v>
          </cell>
          <cell r="D176">
            <v>9350627</v>
          </cell>
          <cell r="E176" t="str">
            <v xml:space="preserve">126A Tran Quoc Thao Q3 </v>
          </cell>
          <cell r="F176" t="str">
            <v>Mr Liem 0903717843</v>
          </cell>
          <cell r="G176" t="str">
            <v>1,15/ Monthly</v>
          </cell>
          <cell r="I176">
            <v>0.15</v>
          </cell>
          <cell r="K176" t="str">
            <v>P019Cover 4FPFC</v>
          </cell>
          <cell r="L176" t="str">
            <v>Cover 4</v>
          </cell>
          <cell r="M176" t="str">
            <v>FPFC</v>
          </cell>
          <cell r="N176" t="str">
            <v>18X26</v>
          </cell>
          <cell r="O176" t="str">
            <v>20.6X28.6</v>
          </cell>
          <cell r="P176">
            <v>15000</v>
          </cell>
          <cell r="AC176">
            <v>15</v>
          </cell>
          <cell r="AD176">
            <v>14</v>
          </cell>
          <cell r="AE176">
            <v>150</v>
          </cell>
          <cell r="AF176" t="str">
            <v>CD</v>
          </cell>
          <cell r="AG176">
            <v>170</v>
          </cell>
        </row>
        <row r="177">
          <cell r="A177" t="str">
            <v>P019</v>
          </cell>
          <cell r="B177" t="str">
            <v>6H</v>
          </cell>
          <cell r="C177" t="str">
            <v>9952646/7</v>
          </cell>
          <cell r="D177">
            <v>9952645</v>
          </cell>
          <cell r="E177" t="str">
            <v>lau 3, 128 Phan Dang Luu - PN</v>
          </cell>
          <cell r="F177" t="str">
            <v>Mr Tuan 0913908870/ Ms Co 0903883416</v>
          </cell>
          <cell r="G177" t="str">
            <v>5,15,25/month</v>
          </cell>
          <cell r="H177">
            <v>45000</v>
          </cell>
          <cell r="I177">
            <v>0.15</v>
          </cell>
          <cell r="J177">
            <v>0.2</v>
          </cell>
          <cell r="K177" t="str">
            <v>P019Cover 2FPFC</v>
          </cell>
          <cell r="L177" t="str">
            <v>Cover 2</v>
          </cell>
          <cell r="M177" t="str">
            <v>FPFC</v>
          </cell>
          <cell r="N177" t="str">
            <v>18X26</v>
          </cell>
          <cell r="O177" t="str">
            <v>20.6X28.6</v>
          </cell>
          <cell r="P177">
            <v>10000</v>
          </cell>
          <cell r="AC177">
            <v>15</v>
          </cell>
          <cell r="AD177">
            <v>10</v>
          </cell>
          <cell r="AE177">
            <v>150</v>
          </cell>
          <cell r="AF177" t="str">
            <v>CD</v>
          </cell>
          <cell r="AG177">
            <v>171</v>
          </cell>
        </row>
        <row r="178">
          <cell r="A178" t="str">
            <v>P019</v>
          </cell>
          <cell r="B178" t="str">
            <v>THOI TRANG TRE</v>
          </cell>
          <cell r="C178" t="str">
            <v>9952646/7</v>
          </cell>
          <cell r="D178">
            <v>9952645</v>
          </cell>
          <cell r="E178" t="str">
            <v>lau 3, 128 Phan Dang Luu - PN</v>
          </cell>
          <cell r="F178" t="str">
            <v>Mr Tuan 0913908870/ Ms Co 0903883416</v>
          </cell>
          <cell r="G178" t="str">
            <v>5,15,25/month</v>
          </cell>
          <cell r="H178">
            <v>45000</v>
          </cell>
          <cell r="I178">
            <v>0.15</v>
          </cell>
          <cell r="J178">
            <v>0.2</v>
          </cell>
          <cell r="K178" t="str">
            <v>P019Cover 3FPFC</v>
          </cell>
          <cell r="L178" t="str">
            <v>Cover 3</v>
          </cell>
          <cell r="M178" t="str">
            <v>FPFC</v>
          </cell>
          <cell r="N178" t="str">
            <v>18X26</v>
          </cell>
          <cell r="O178" t="str">
            <v>20.6X28.6</v>
          </cell>
          <cell r="P178">
            <v>9000</v>
          </cell>
          <cell r="AC178">
            <v>15</v>
          </cell>
          <cell r="AD178">
            <v>10</v>
          </cell>
          <cell r="AE178">
            <v>150</v>
          </cell>
          <cell r="AF178" t="str">
            <v>CD</v>
          </cell>
          <cell r="AG178">
            <v>172</v>
          </cell>
        </row>
        <row r="179">
          <cell r="A179" t="str">
            <v>P019</v>
          </cell>
          <cell r="B179" t="str">
            <v>10H</v>
          </cell>
          <cell r="C179" t="str">
            <v>9952646/7</v>
          </cell>
          <cell r="D179">
            <v>9952645</v>
          </cell>
          <cell r="E179" t="str">
            <v>lau 3, 128 Phan Dang Luu - PN</v>
          </cell>
          <cell r="F179" t="str">
            <v>Mr Tuan 0913908870/ Ms Co 0903883416</v>
          </cell>
          <cell r="G179" t="str">
            <v>5,15,25/ Month</v>
          </cell>
          <cell r="H179">
            <v>45000</v>
          </cell>
          <cell r="I179">
            <v>0.2</v>
          </cell>
          <cell r="J179">
            <v>0.15</v>
          </cell>
          <cell r="K179" t="str">
            <v>P019InsideFPFC</v>
          </cell>
          <cell r="L179" t="str">
            <v>Inside</v>
          </cell>
          <cell r="M179" t="str">
            <v>FPFC</v>
          </cell>
          <cell r="N179" t="str">
            <v>18X26</v>
          </cell>
          <cell r="O179" t="str">
            <v>20.6X28.6</v>
          </cell>
          <cell r="P179">
            <v>7000</v>
          </cell>
          <cell r="Q179">
            <v>0.15</v>
          </cell>
          <cell r="R179">
            <v>0.15</v>
          </cell>
          <cell r="AC179">
            <v>15</v>
          </cell>
          <cell r="AD179">
            <v>10</v>
          </cell>
          <cell r="AE179">
            <v>150</v>
          </cell>
          <cell r="AF179" t="str">
            <v>CD</v>
          </cell>
          <cell r="AG179">
            <v>173</v>
          </cell>
        </row>
        <row r="180">
          <cell r="A180" t="str">
            <v>THUOC &amp; SUC KHOE</v>
          </cell>
          <cell r="B180" t="str">
            <v>10H</v>
          </cell>
          <cell r="K180" t="str">
            <v>THUOC &amp; SUC KHOE</v>
          </cell>
          <cell r="L180" t="str">
            <v>First</v>
          </cell>
          <cell r="M180" t="str">
            <v>FPFC</v>
          </cell>
          <cell r="N180" t="str">
            <v>19X26.5</v>
          </cell>
          <cell r="O180" t="str">
            <v>21.4X28.9</v>
          </cell>
          <cell r="P180">
            <v>37400</v>
          </cell>
          <cell r="AG180">
            <v>174</v>
          </cell>
        </row>
        <row r="181">
          <cell r="A181" t="str">
            <v>P020</v>
          </cell>
          <cell r="B181" t="str">
            <v>THOI TRANG TRE</v>
          </cell>
          <cell r="C181" t="str">
            <v>9952646/7</v>
          </cell>
          <cell r="D181">
            <v>9952645</v>
          </cell>
          <cell r="E181" t="str">
            <v>lau 3, 128 Phan Dang Luu - PN</v>
          </cell>
          <cell r="F181" t="str">
            <v>Mr Tuan 0913908870/ Ms Co 0903883416</v>
          </cell>
          <cell r="G181" t="str">
            <v>5,15,25/ Monthly</v>
          </cell>
          <cell r="H181">
            <v>45000</v>
          </cell>
          <cell r="I181">
            <v>0.2</v>
          </cell>
          <cell r="J181">
            <v>0.15</v>
          </cell>
          <cell r="K181" t="str">
            <v>P020InsideFPFC</v>
          </cell>
          <cell r="L181" t="str">
            <v>Inside</v>
          </cell>
          <cell r="M181" t="str">
            <v>FPFC</v>
          </cell>
          <cell r="N181" t="str">
            <v>19X26.5</v>
          </cell>
          <cell r="O181" t="str">
            <v>21.4X28.9</v>
          </cell>
          <cell r="P181">
            <v>27500.000000000004</v>
          </cell>
          <cell r="Q181">
            <v>0.15</v>
          </cell>
          <cell r="R181">
            <v>0.15</v>
          </cell>
          <cell r="U181">
            <v>0.15</v>
          </cell>
          <cell r="V181">
            <v>0.15</v>
          </cell>
          <cell r="AC181">
            <v>15</v>
          </cell>
          <cell r="AD181">
            <v>10</v>
          </cell>
          <cell r="AE181">
            <v>150</v>
          </cell>
          <cell r="AF181" t="str">
            <v>CD</v>
          </cell>
          <cell r="AG181">
            <v>175</v>
          </cell>
        </row>
        <row r="182">
          <cell r="A182" t="str">
            <v>P020</v>
          </cell>
          <cell r="B182" t="str">
            <v>10H</v>
          </cell>
          <cell r="K182" t="str">
            <v>P020Cover 2FPFC</v>
          </cell>
          <cell r="L182" t="str">
            <v>Cover 2</v>
          </cell>
          <cell r="M182" t="str">
            <v>FPFC</v>
          </cell>
          <cell r="N182" t="str">
            <v>19X26.5</v>
          </cell>
          <cell r="O182" t="str">
            <v>21.4X28.9</v>
          </cell>
          <cell r="P182">
            <v>37400</v>
          </cell>
          <cell r="AG182">
            <v>176</v>
          </cell>
        </row>
        <row r="183">
          <cell r="A183" t="str">
            <v>P020</v>
          </cell>
          <cell r="K183" t="str">
            <v>P020FirstFPFC</v>
          </cell>
          <cell r="L183" t="str">
            <v>First</v>
          </cell>
          <cell r="M183" t="str">
            <v>FPFC</v>
          </cell>
          <cell r="N183" t="str">
            <v>19X26.5</v>
          </cell>
          <cell r="O183" t="str">
            <v>21.4X28.9</v>
          </cell>
          <cell r="P183">
            <v>37400</v>
          </cell>
          <cell r="AG183">
            <v>177</v>
          </cell>
        </row>
        <row r="184">
          <cell r="A184" t="str">
            <v>P020</v>
          </cell>
          <cell r="K184" t="str">
            <v>P020Cover 3FPFC</v>
          </cell>
          <cell r="L184" t="str">
            <v>Cover 3</v>
          </cell>
          <cell r="M184" t="str">
            <v>FPFC</v>
          </cell>
          <cell r="N184" t="str">
            <v>19X26.5</v>
          </cell>
          <cell r="O184" t="str">
            <v>21.4X28.9</v>
          </cell>
          <cell r="P184">
            <v>35750</v>
          </cell>
          <cell r="AG184">
            <v>178</v>
          </cell>
        </row>
        <row r="185">
          <cell r="A185" t="str">
            <v>P020</v>
          </cell>
          <cell r="K185" t="str">
            <v>P020Cover 4FPFC</v>
          </cell>
          <cell r="L185" t="str">
            <v>Cover 4</v>
          </cell>
          <cell r="M185" t="str">
            <v>FPFC</v>
          </cell>
          <cell r="N185" t="str">
            <v>19X26.5</v>
          </cell>
          <cell r="O185" t="str">
            <v>21.4X28.9</v>
          </cell>
          <cell r="P185">
            <v>41800</v>
          </cell>
          <cell r="AG185">
            <v>179</v>
          </cell>
        </row>
        <row r="186">
          <cell r="A186" t="str">
            <v>P020</v>
          </cell>
          <cell r="B186" t="str">
            <v>LAO DONG</v>
          </cell>
          <cell r="C186" t="str">
            <v>04 5330305</v>
          </cell>
          <cell r="E186" t="str">
            <v>167/15 Tay Son, Dong Da, Ha Noi</v>
          </cell>
          <cell r="F186" t="str">
            <v>Ms Quynh Mai- Phong QC</v>
          </cell>
          <cell r="G186" t="str">
            <v>Daily</v>
          </cell>
          <cell r="H186">
            <v>80000</v>
          </cell>
          <cell r="I186">
            <v>0.12</v>
          </cell>
          <cell r="K186" t="str">
            <v>P020InsideHPFC</v>
          </cell>
          <cell r="L186" t="str">
            <v>Inside</v>
          </cell>
          <cell r="M186" t="str">
            <v>HPFC</v>
          </cell>
          <cell r="N186" t="str">
            <v>19X12.5</v>
          </cell>
          <cell r="P186">
            <v>16500</v>
          </cell>
          <cell r="AC186">
            <v>15</v>
          </cell>
          <cell r="AD186">
            <v>10</v>
          </cell>
          <cell r="AE186">
            <v>100</v>
          </cell>
          <cell r="AF186" t="str">
            <v>CD</v>
          </cell>
          <cell r="AG186">
            <v>180</v>
          </cell>
        </row>
        <row r="187">
          <cell r="A187" t="str">
            <v>P020</v>
          </cell>
          <cell r="B187" t="str">
            <v>LAO DONG</v>
          </cell>
          <cell r="C187" t="str">
            <v>04 5330305</v>
          </cell>
          <cell r="E187" t="str">
            <v>167/15 Tay Son, Dong Da, Ha Noi</v>
          </cell>
          <cell r="F187" t="str">
            <v>Ms Quynh Mai- Phong QC</v>
          </cell>
          <cell r="G187" t="str">
            <v>Daily</v>
          </cell>
          <cell r="H187">
            <v>80000</v>
          </cell>
          <cell r="I187">
            <v>0.12</v>
          </cell>
          <cell r="K187" t="str">
            <v>P020InsideVPFC</v>
          </cell>
          <cell r="L187" t="str">
            <v>Inside</v>
          </cell>
          <cell r="M187" t="str">
            <v>VPFC</v>
          </cell>
          <cell r="N187" t="str">
            <v>37.5X52</v>
          </cell>
          <cell r="P187">
            <v>16500</v>
          </cell>
          <cell r="AC187">
            <v>15</v>
          </cell>
          <cell r="AD187">
            <v>10</v>
          </cell>
          <cell r="AE187">
            <v>100</v>
          </cell>
          <cell r="AF187" t="str">
            <v>CD</v>
          </cell>
          <cell r="AG187">
            <v>181</v>
          </cell>
        </row>
        <row r="188">
          <cell r="A188" t="str">
            <v>P020</v>
          </cell>
          <cell r="B188" t="str">
            <v>12H</v>
          </cell>
          <cell r="C188" t="str">
            <v>04 5330305</v>
          </cell>
          <cell r="E188" t="str">
            <v>167/15 Tay Son, Dong Da, Ha Noi</v>
          </cell>
          <cell r="F188" t="str">
            <v>Ms Quynh Mai- Phong QC</v>
          </cell>
          <cell r="G188" t="str">
            <v>Daily</v>
          </cell>
          <cell r="H188">
            <v>80000</v>
          </cell>
          <cell r="I188">
            <v>0.12</v>
          </cell>
          <cell r="K188" t="str">
            <v>P020InsideJPFC</v>
          </cell>
          <cell r="L188" t="str">
            <v>Inside</v>
          </cell>
          <cell r="M188" t="str">
            <v>JPFC</v>
          </cell>
          <cell r="N188" t="str">
            <v>37.5X25.7</v>
          </cell>
          <cell r="P188">
            <v>16500</v>
          </cell>
          <cell r="AC188">
            <v>15</v>
          </cell>
          <cell r="AD188">
            <v>10</v>
          </cell>
          <cell r="AE188">
            <v>100</v>
          </cell>
          <cell r="AF188" t="str">
            <v>CD</v>
          </cell>
          <cell r="AG188">
            <v>182</v>
          </cell>
        </row>
        <row r="189">
          <cell r="A189" t="str">
            <v>P020</v>
          </cell>
          <cell r="B189" t="str">
            <v>12H</v>
          </cell>
          <cell r="K189" t="str">
            <v>P020InsideGatefold</v>
          </cell>
          <cell r="L189" t="str">
            <v>Inside</v>
          </cell>
          <cell r="M189" t="str">
            <v>Gatefold</v>
          </cell>
          <cell r="N189" t="str">
            <v>25X37</v>
          </cell>
          <cell r="P189" t="str">
            <v>90.000*1.1-dis</v>
          </cell>
          <cell r="AG189">
            <v>183</v>
          </cell>
        </row>
        <row r="190">
          <cell r="A190" t="str">
            <v>P020</v>
          </cell>
          <cell r="B190" t="str">
            <v>NGUOI DEP VN</v>
          </cell>
          <cell r="C190">
            <v>8481068</v>
          </cell>
          <cell r="D190">
            <v>8469495</v>
          </cell>
          <cell r="E190" t="str">
            <v>384/54 NKKN Q3 HCM</v>
          </cell>
          <cell r="F190" t="str">
            <v>Ms Nghi 0903844224</v>
          </cell>
          <cell r="G190" t="str">
            <v>1,15/monthly</v>
          </cell>
          <cell r="H190">
            <v>90000</v>
          </cell>
          <cell r="I190">
            <v>0.2</v>
          </cell>
          <cell r="K190" t="str">
            <v>P020</v>
          </cell>
          <cell r="L190" t="str">
            <v>Inside</v>
          </cell>
          <cell r="M190" t="str">
            <v>JPFC</v>
          </cell>
          <cell r="N190" t="str">
            <v>25X37</v>
          </cell>
          <cell r="P190">
            <v>20460</v>
          </cell>
          <cell r="AC190">
            <v>15</v>
          </cell>
          <cell r="AD190">
            <v>10</v>
          </cell>
          <cell r="AE190">
            <v>175</v>
          </cell>
          <cell r="AF190" t="str">
            <v>CD</v>
          </cell>
          <cell r="AG190">
            <v>184</v>
          </cell>
        </row>
        <row r="191">
          <cell r="A191" t="str">
            <v>THOI TRANG TRE</v>
          </cell>
          <cell r="B191" t="str">
            <v>NGUOI DEP VN</v>
          </cell>
          <cell r="C191">
            <v>8481068</v>
          </cell>
          <cell r="D191">
            <v>8469495</v>
          </cell>
          <cell r="E191" t="str">
            <v>384/54 NKKN Q3 HCM</v>
          </cell>
          <cell r="F191" t="str">
            <v>Ms Nghi 0903844224</v>
          </cell>
          <cell r="G191" t="str">
            <v>1,15/monthly</v>
          </cell>
          <cell r="H191">
            <v>90000</v>
          </cell>
          <cell r="I191">
            <v>0.2</v>
          </cell>
          <cell r="K191" t="str">
            <v>THOI TRANG TRE</v>
          </cell>
          <cell r="L191" t="str">
            <v>Cover 4</v>
          </cell>
          <cell r="M191" t="str">
            <v>FPFC</v>
          </cell>
          <cell r="N191" t="str">
            <v>19X26.5</v>
          </cell>
          <cell r="P191">
            <v>18000</v>
          </cell>
          <cell r="AC191">
            <v>15</v>
          </cell>
          <cell r="AD191">
            <v>10</v>
          </cell>
          <cell r="AE191">
            <v>175</v>
          </cell>
          <cell r="AF191" t="str">
            <v>CD</v>
          </cell>
          <cell r="AG191">
            <v>185</v>
          </cell>
        </row>
        <row r="192">
          <cell r="A192" t="str">
            <v>P021</v>
          </cell>
          <cell r="B192" t="str">
            <v>LAO DONG</v>
          </cell>
          <cell r="C192" t="str">
            <v>04 5330305</v>
          </cell>
          <cell r="D192">
            <v>8469495</v>
          </cell>
          <cell r="E192" t="str">
            <v>167/15 Tay Son, Dong Da, Ha Noi</v>
          </cell>
          <cell r="F192" t="str">
            <v>Ms Quynh Mai- Phong QC</v>
          </cell>
          <cell r="G192" t="str">
            <v>Daily</v>
          </cell>
          <cell r="H192">
            <v>80000</v>
          </cell>
          <cell r="I192">
            <v>0.12</v>
          </cell>
          <cell r="K192" t="str">
            <v>P021InsideFPFC</v>
          </cell>
          <cell r="L192" t="str">
            <v>Inside</v>
          </cell>
          <cell r="M192" t="str">
            <v>FPFC</v>
          </cell>
          <cell r="N192" t="str">
            <v>37.5X52</v>
          </cell>
          <cell r="P192">
            <v>34100</v>
          </cell>
          <cell r="AC192">
            <v>15</v>
          </cell>
          <cell r="AD192">
            <v>10</v>
          </cell>
          <cell r="AE192">
            <v>100</v>
          </cell>
          <cell r="AF192" t="str">
            <v>CD</v>
          </cell>
          <cell r="AG192">
            <v>186</v>
          </cell>
        </row>
        <row r="193">
          <cell r="A193" t="str">
            <v>P021</v>
          </cell>
          <cell r="B193" t="str">
            <v>12H</v>
          </cell>
          <cell r="K193" t="str">
            <v>P021InsideHPFC</v>
          </cell>
          <cell r="L193" t="str">
            <v>Inside</v>
          </cell>
          <cell r="M193" t="str">
            <v>HPFC</v>
          </cell>
          <cell r="N193" t="str">
            <v>37.5X25.7</v>
          </cell>
          <cell r="P193">
            <v>17050</v>
          </cell>
          <cell r="AG193">
            <v>187</v>
          </cell>
        </row>
        <row r="194">
          <cell r="A194" t="str">
            <v>P021</v>
          </cell>
          <cell r="K194" t="str">
            <v>P021InsideJPFC</v>
          </cell>
          <cell r="L194" t="str">
            <v>Inside</v>
          </cell>
          <cell r="M194" t="str">
            <v>JPFC</v>
          </cell>
          <cell r="N194" t="str">
            <v>25X37</v>
          </cell>
          <cell r="P194">
            <v>20460</v>
          </cell>
          <cell r="AG194">
            <v>188</v>
          </cell>
        </row>
        <row r="195">
          <cell r="A195" t="str">
            <v>LAO DONG</v>
          </cell>
          <cell r="K195" t="str">
            <v>LAO DONG</v>
          </cell>
          <cell r="L195" t="str">
            <v>Inside</v>
          </cell>
          <cell r="M195" t="str">
            <v>DPFC</v>
          </cell>
          <cell r="N195" t="str">
            <v>19X26.5</v>
          </cell>
          <cell r="P195">
            <v>26000</v>
          </cell>
          <cell r="AG195">
            <v>189</v>
          </cell>
        </row>
        <row r="196">
          <cell r="A196" t="str">
            <v>P022</v>
          </cell>
          <cell r="B196" t="str">
            <v>NGUOI DEP VN</v>
          </cell>
          <cell r="C196">
            <v>8481068</v>
          </cell>
          <cell r="D196">
            <v>8469495</v>
          </cell>
          <cell r="E196" t="str">
            <v>384/54 NKKN Q3 HCM</v>
          </cell>
          <cell r="F196" t="str">
            <v>Ms Nghi 0903844224</v>
          </cell>
          <cell r="G196" t="str">
            <v>1,15/ Monthly</v>
          </cell>
          <cell r="H196">
            <v>90000</v>
          </cell>
          <cell r="I196">
            <v>0.2</v>
          </cell>
          <cell r="K196" t="str">
            <v>P022Cover 4FPFC</v>
          </cell>
          <cell r="L196" t="str">
            <v>Cover 4</v>
          </cell>
          <cell r="M196" t="str">
            <v>FPFC</v>
          </cell>
          <cell r="N196" t="str">
            <v>19X26.5</v>
          </cell>
          <cell r="P196">
            <v>18000</v>
          </cell>
          <cell r="AC196">
            <v>15</v>
          </cell>
          <cell r="AD196">
            <v>10</v>
          </cell>
          <cell r="AE196">
            <v>175</v>
          </cell>
          <cell r="AF196" t="str">
            <v>CD</v>
          </cell>
          <cell r="AG196">
            <v>190</v>
          </cell>
        </row>
        <row r="197">
          <cell r="A197" t="str">
            <v>P022</v>
          </cell>
          <cell r="B197" t="str">
            <v>3G</v>
          </cell>
          <cell r="K197" t="str">
            <v>P022Cover 2FPFC</v>
          </cell>
          <cell r="L197" t="str">
            <v>Cover 2</v>
          </cell>
          <cell r="M197" t="str">
            <v>FPFC</v>
          </cell>
          <cell r="N197" t="str">
            <v>19X26.5</v>
          </cell>
          <cell r="P197">
            <v>16000</v>
          </cell>
          <cell r="AG197">
            <v>191</v>
          </cell>
        </row>
        <row r="198">
          <cell r="A198" t="str">
            <v>P022</v>
          </cell>
          <cell r="K198" t="str">
            <v>P022Cover 3FPFC</v>
          </cell>
          <cell r="L198" t="str">
            <v>Cover 3</v>
          </cell>
          <cell r="M198" t="str">
            <v>FPFC</v>
          </cell>
          <cell r="N198" t="str">
            <v>19X26.5</v>
          </cell>
          <cell r="P198">
            <v>16000</v>
          </cell>
          <cell r="AG198">
            <v>192</v>
          </cell>
        </row>
        <row r="199">
          <cell r="A199" t="str">
            <v>P022</v>
          </cell>
          <cell r="K199" t="str">
            <v>P022FirstFPFC</v>
          </cell>
          <cell r="L199" t="str">
            <v>First</v>
          </cell>
          <cell r="M199" t="str">
            <v>FPFC</v>
          </cell>
          <cell r="N199" t="str">
            <v>19X26.5</v>
          </cell>
          <cell r="P199">
            <v>15000</v>
          </cell>
          <cell r="AG199">
            <v>193</v>
          </cell>
        </row>
        <row r="200">
          <cell r="A200" t="str">
            <v>P022</v>
          </cell>
          <cell r="K200" t="str">
            <v>P022InsideDPFC</v>
          </cell>
          <cell r="L200" t="str">
            <v>Inside</v>
          </cell>
          <cell r="M200" t="str">
            <v>DPFC</v>
          </cell>
          <cell r="N200" t="str">
            <v>6.5X28.5</v>
          </cell>
          <cell r="P200">
            <v>26000</v>
          </cell>
          <cell r="AG200">
            <v>194</v>
          </cell>
        </row>
        <row r="201">
          <cell r="A201" t="str">
            <v>P022</v>
          </cell>
          <cell r="K201" t="str">
            <v>P022InsideFPFC</v>
          </cell>
          <cell r="L201" t="str">
            <v>Inside</v>
          </cell>
          <cell r="M201" t="str">
            <v>FPFC</v>
          </cell>
          <cell r="N201" t="str">
            <v>19X26.5</v>
          </cell>
          <cell r="P201">
            <v>13000</v>
          </cell>
          <cell r="AG201">
            <v>195</v>
          </cell>
        </row>
        <row r="202">
          <cell r="A202" t="str">
            <v>P022</v>
          </cell>
          <cell r="K202" t="str">
            <v>P022InsideJPFC</v>
          </cell>
          <cell r="L202" t="str">
            <v>Inside</v>
          </cell>
          <cell r="M202" t="str">
            <v>JPFC</v>
          </cell>
          <cell r="N202" t="str">
            <v>12.5X18</v>
          </cell>
          <cell r="P202">
            <v>7200</v>
          </cell>
          <cell r="AG202">
            <v>196</v>
          </cell>
        </row>
        <row r="203">
          <cell r="A203" t="str">
            <v>P022</v>
          </cell>
          <cell r="B203" t="str">
            <v>TIEN PHONG CUOI THANG</v>
          </cell>
          <cell r="C203">
            <v>8481068</v>
          </cell>
          <cell r="D203">
            <v>8469495</v>
          </cell>
          <cell r="E203" t="str">
            <v>384/54 NKKN Q3 HCM</v>
          </cell>
          <cell r="F203" t="str">
            <v>Ms Nghi 0903844224</v>
          </cell>
          <cell r="G203" t="str">
            <v>20/ Monthly</v>
          </cell>
          <cell r="H203">
            <v>70000</v>
          </cell>
          <cell r="K203" t="str">
            <v>P022InsideVPFC</v>
          </cell>
          <cell r="L203" t="str">
            <v>Inside</v>
          </cell>
          <cell r="M203" t="str">
            <v>VPFC</v>
          </cell>
          <cell r="N203" t="str">
            <v>9X27.5</v>
          </cell>
          <cell r="P203">
            <v>7200</v>
          </cell>
          <cell r="AC203">
            <v>15</v>
          </cell>
          <cell r="AD203">
            <v>10</v>
          </cell>
          <cell r="AE203">
            <v>175</v>
          </cell>
          <cell r="AF203" t="str">
            <v>CD</v>
          </cell>
          <cell r="AG203">
            <v>197</v>
          </cell>
        </row>
        <row r="204">
          <cell r="A204" t="str">
            <v>P022</v>
          </cell>
          <cell r="B204" t="str">
            <v>TIEN PHONG CUOI THANG</v>
          </cell>
          <cell r="C204">
            <v>8481068</v>
          </cell>
          <cell r="D204">
            <v>8469495</v>
          </cell>
          <cell r="E204" t="str">
            <v>384/54 NKKN Q3 HCM</v>
          </cell>
          <cell r="F204" t="str">
            <v>Ms Nghi 0903844224</v>
          </cell>
          <cell r="G204" t="str">
            <v>20/ Monthly</v>
          </cell>
          <cell r="H204">
            <v>70000</v>
          </cell>
          <cell r="K204" t="str">
            <v>P022InsideHPFC</v>
          </cell>
          <cell r="L204" t="str">
            <v>Inside</v>
          </cell>
          <cell r="M204" t="str">
            <v>HPFC</v>
          </cell>
          <cell r="N204" t="str">
            <v>19X26.5</v>
          </cell>
          <cell r="P204">
            <v>6500</v>
          </cell>
          <cell r="AC204">
            <v>15</v>
          </cell>
          <cell r="AD204">
            <v>10</v>
          </cell>
          <cell r="AE204">
            <v>175</v>
          </cell>
          <cell r="AF204" t="str">
            <v>CD</v>
          </cell>
          <cell r="AG204">
            <v>198</v>
          </cell>
        </row>
        <row r="205">
          <cell r="A205" t="str">
            <v>P022</v>
          </cell>
          <cell r="B205" t="str">
            <v>5G</v>
          </cell>
          <cell r="C205">
            <v>8481068</v>
          </cell>
          <cell r="D205">
            <v>8469495</v>
          </cell>
          <cell r="E205" t="str">
            <v>384/54 NKKN Q3 HCM</v>
          </cell>
          <cell r="F205" t="str">
            <v>Ms Nghi 0903844224</v>
          </cell>
          <cell r="G205" t="str">
            <v>20/ Monthly</v>
          </cell>
          <cell r="H205">
            <v>70000</v>
          </cell>
          <cell r="K205" t="str">
            <v>P022Inside1/3VPFC</v>
          </cell>
          <cell r="L205" t="str">
            <v>Inside</v>
          </cell>
          <cell r="M205" t="str">
            <v>1/3VPFC</v>
          </cell>
          <cell r="N205" t="str">
            <v>6.5X28.5</v>
          </cell>
          <cell r="P205">
            <v>4800</v>
          </cell>
          <cell r="AC205">
            <v>15</v>
          </cell>
          <cell r="AD205">
            <v>14</v>
          </cell>
          <cell r="AE205">
            <v>175</v>
          </cell>
          <cell r="AF205" t="str">
            <v>CD</v>
          </cell>
          <cell r="AG205">
            <v>199</v>
          </cell>
        </row>
        <row r="206">
          <cell r="A206" t="str">
            <v>P022</v>
          </cell>
          <cell r="B206" t="str">
            <v>5G</v>
          </cell>
          <cell r="K206" t="str">
            <v>P022Inside1/3HPFC</v>
          </cell>
          <cell r="L206" t="str">
            <v>Inside</v>
          </cell>
          <cell r="M206" t="str">
            <v>1/3HPFC</v>
          </cell>
          <cell r="N206" t="str">
            <v>19X12.5</v>
          </cell>
          <cell r="P206">
            <v>4800</v>
          </cell>
          <cell r="AG206">
            <v>200</v>
          </cell>
        </row>
        <row r="207">
          <cell r="A207" t="str">
            <v>P022</v>
          </cell>
          <cell r="K207" t="str">
            <v>P022Strip adFC</v>
          </cell>
          <cell r="L207" t="str">
            <v>Strip ad</v>
          </cell>
          <cell r="M207" t="str">
            <v>FC</v>
          </cell>
          <cell r="N207" t="str">
            <v>19X5</v>
          </cell>
          <cell r="P207">
            <v>3600</v>
          </cell>
          <cell r="AG207">
            <v>201</v>
          </cell>
        </row>
        <row r="208">
          <cell r="A208" t="str">
            <v>NGUOI DEP VN</v>
          </cell>
          <cell r="K208" t="str">
            <v>NGUOI DEP VN</v>
          </cell>
          <cell r="L208" t="str">
            <v>Inside</v>
          </cell>
          <cell r="M208" t="str">
            <v>DPFC</v>
          </cell>
          <cell r="N208" t="str">
            <v>19X26.5</v>
          </cell>
          <cell r="P208">
            <v>17000</v>
          </cell>
          <cell r="AG208">
            <v>202</v>
          </cell>
        </row>
        <row r="209">
          <cell r="A209" t="str">
            <v>P023</v>
          </cell>
          <cell r="B209" t="str">
            <v>TIEN PHONG CUOI THANG</v>
          </cell>
          <cell r="C209">
            <v>8481068</v>
          </cell>
          <cell r="D209">
            <v>8469495</v>
          </cell>
          <cell r="E209" t="str">
            <v>384/54 NKKN Q3 HCM</v>
          </cell>
          <cell r="F209" t="str">
            <v>Ms Nghi 0903844224</v>
          </cell>
          <cell r="G209" t="str">
            <v>20/ Monthly</v>
          </cell>
          <cell r="H209">
            <v>70000</v>
          </cell>
          <cell r="K209" t="str">
            <v>P023Cover 4FPFC</v>
          </cell>
          <cell r="L209" t="str">
            <v>Cover 4</v>
          </cell>
          <cell r="M209" t="str">
            <v>FPFC</v>
          </cell>
          <cell r="N209" t="str">
            <v>19X26.5</v>
          </cell>
          <cell r="P209">
            <v>18000</v>
          </cell>
          <cell r="AC209">
            <v>15</v>
          </cell>
          <cell r="AD209">
            <v>14</v>
          </cell>
          <cell r="AE209">
            <v>175</v>
          </cell>
          <cell r="AF209" t="str">
            <v>CD</v>
          </cell>
          <cell r="AG209">
            <v>203</v>
          </cell>
        </row>
        <row r="210">
          <cell r="A210" t="str">
            <v>P023</v>
          </cell>
          <cell r="B210" t="str">
            <v>5G</v>
          </cell>
          <cell r="K210" t="str">
            <v>P023Cover 2FPFC</v>
          </cell>
          <cell r="L210" t="str">
            <v>Cover 2</v>
          </cell>
          <cell r="M210" t="str">
            <v>FPFC</v>
          </cell>
          <cell r="N210" t="str">
            <v>19X26.5</v>
          </cell>
          <cell r="P210">
            <v>12000</v>
          </cell>
          <cell r="AG210">
            <v>204</v>
          </cell>
        </row>
        <row r="211">
          <cell r="A211" t="str">
            <v>P023</v>
          </cell>
          <cell r="K211" t="str">
            <v>P023Cover 3FPFC</v>
          </cell>
          <cell r="L211" t="str">
            <v>Cover 3</v>
          </cell>
          <cell r="M211" t="str">
            <v>FPFC</v>
          </cell>
          <cell r="N211" t="str">
            <v>19X26.5</v>
          </cell>
          <cell r="P211">
            <v>12000</v>
          </cell>
          <cell r="AG211">
            <v>205</v>
          </cell>
        </row>
        <row r="212">
          <cell r="A212" t="str">
            <v>P023</v>
          </cell>
          <cell r="K212" t="str">
            <v>P023FirstFPFC</v>
          </cell>
          <cell r="L212" t="str">
            <v>First</v>
          </cell>
          <cell r="M212" t="str">
            <v>FPFC</v>
          </cell>
          <cell r="N212" t="str">
            <v>19X26.5</v>
          </cell>
          <cell r="P212">
            <v>11000</v>
          </cell>
          <cell r="AG212">
            <v>206</v>
          </cell>
        </row>
        <row r="213">
          <cell r="A213" t="str">
            <v>P023</v>
          </cell>
          <cell r="K213" t="str">
            <v>P023InsideDPFC</v>
          </cell>
          <cell r="L213" t="str">
            <v>Inside</v>
          </cell>
          <cell r="M213" t="str">
            <v>DPFC</v>
          </cell>
          <cell r="N213" t="str">
            <v>6.5X28.5</v>
          </cell>
          <cell r="P213">
            <v>17000</v>
          </cell>
          <cell r="AG213">
            <v>207</v>
          </cell>
        </row>
        <row r="214">
          <cell r="A214" t="str">
            <v>P023</v>
          </cell>
          <cell r="K214" t="str">
            <v>P023InsideFPFC</v>
          </cell>
          <cell r="L214" t="str">
            <v>Inside</v>
          </cell>
          <cell r="M214" t="str">
            <v>FPFC</v>
          </cell>
          <cell r="N214" t="str">
            <v>19X26.5</v>
          </cell>
          <cell r="P214">
            <v>9000</v>
          </cell>
          <cell r="AG214">
            <v>208</v>
          </cell>
        </row>
        <row r="215">
          <cell r="A215" t="str">
            <v>P023</v>
          </cell>
          <cell r="K215" t="str">
            <v>P023InsideJPFC</v>
          </cell>
          <cell r="L215" t="str">
            <v>Inside</v>
          </cell>
          <cell r="M215" t="str">
            <v>JPFC</v>
          </cell>
          <cell r="N215" t="str">
            <v>12.5X18</v>
          </cell>
          <cell r="P215">
            <v>5000</v>
          </cell>
          <cell r="AG215">
            <v>209</v>
          </cell>
        </row>
        <row r="216">
          <cell r="A216" t="str">
            <v>P023</v>
          </cell>
          <cell r="B216" t="str">
            <v>TIEN PHONG Daily</v>
          </cell>
          <cell r="C216">
            <v>8481068</v>
          </cell>
          <cell r="D216">
            <v>8469495</v>
          </cell>
          <cell r="E216" t="str">
            <v>384/54 NKKN Q3 HCM</v>
          </cell>
          <cell r="F216" t="str">
            <v>Ms Nghi 0903844224</v>
          </cell>
          <cell r="G216" t="str">
            <v>Daily</v>
          </cell>
          <cell r="H216">
            <v>100000</v>
          </cell>
          <cell r="K216" t="str">
            <v>P023InsideVPFC</v>
          </cell>
          <cell r="L216" t="str">
            <v>Inside</v>
          </cell>
          <cell r="M216" t="str">
            <v>VPFC</v>
          </cell>
          <cell r="N216" t="str">
            <v>9X27.5</v>
          </cell>
          <cell r="P216">
            <v>5000</v>
          </cell>
          <cell r="AC216">
            <v>15</v>
          </cell>
          <cell r="AD216">
            <v>10</v>
          </cell>
          <cell r="AE216">
            <v>100</v>
          </cell>
          <cell r="AF216" t="str">
            <v>CD</v>
          </cell>
          <cell r="AG216">
            <v>210</v>
          </cell>
        </row>
        <row r="217">
          <cell r="A217" t="str">
            <v>P023</v>
          </cell>
          <cell r="B217" t="str">
            <v>TIEN PHONG Daily</v>
          </cell>
          <cell r="C217">
            <v>8481068</v>
          </cell>
          <cell r="D217">
            <v>8469495</v>
          </cell>
          <cell r="E217" t="str">
            <v>384/54 NKKN Q3 HCM</v>
          </cell>
          <cell r="F217" t="str">
            <v>Ms Nghi 0903844224</v>
          </cell>
          <cell r="G217" t="str">
            <v>Daily</v>
          </cell>
          <cell r="H217">
            <v>100000</v>
          </cell>
          <cell r="K217" t="str">
            <v>P023InsideHPFC</v>
          </cell>
          <cell r="L217" t="str">
            <v>Inside</v>
          </cell>
          <cell r="M217" t="str">
            <v>HPFC</v>
          </cell>
          <cell r="N217" t="str">
            <v>25.5X38.5</v>
          </cell>
          <cell r="P217">
            <v>4500</v>
          </cell>
          <cell r="AC217">
            <v>15</v>
          </cell>
          <cell r="AD217">
            <v>10</v>
          </cell>
          <cell r="AE217">
            <v>100</v>
          </cell>
          <cell r="AF217" t="str">
            <v>CD</v>
          </cell>
          <cell r="AG217">
            <v>211</v>
          </cell>
        </row>
        <row r="218">
          <cell r="A218" t="str">
            <v>P023</v>
          </cell>
          <cell r="B218" t="str">
            <v>5G</v>
          </cell>
          <cell r="C218">
            <v>8481068</v>
          </cell>
          <cell r="D218">
            <v>8469495</v>
          </cell>
          <cell r="E218" t="str">
            <v>384/54 NKKN Q3 HCM</v>
          </cell>
          <cell r="F218" t="str">
            <v>Ms Nghi 0903844224</v>
          </cell>
          <cell r="G218" t="str">
            <v>Daily</v>
          </cell>
          <cell r="H218">
            <v>100000</v>
          </cell>
          <cell r="K218" t="str">
            <v>P023Inside1/3VPFC</v>
          </cell>
          <cell r="L218" t="str">
            <v>Inside</v>
          </cell>
          <cell r="M218" t="str">
            <v>1/3VPFC</v>
          </cell>
          <cell r="N218" t="str">
            <v>6.5X28.5</v>
          </cell>
          <cell r="P218">
            <v>3300</v>
          </cell>
          <cell r="AC218">
            <v>15</v>
          </cell>
          <cell r="AD218">
            <v>10</v>
          </cell>
          <cell r="AE218">
            <v>100</v>
          </cell>
          <cell r="AF218" t="str">
            <v>CD</v>
          </cell>
          <cell r="AG218">
            <v>212</v>
          </cell>
        </row>
        <row r="219">
          <cell r="A219" t="str">
            <v>P023</v>
          </cell>
          <cell r="B219" t="str">
            <v>5G</v>
          </cell>
          <cell r="K219" t="str">
            <v>P023Inside1/3HPFC</v>
          </cell>
          <cell r="L219" t="str">
            <v>Inside</v>
          </cell>
          <cell r="M219" t="str">
            <v>1/3HPFC</v>
          </cell>
          <cell r="N219" t="str">
            <v>19X12.5</v>
          </cell>
          <cell r="P219">
            <v>3300</v>
          </cell>
          <cell r="AG219">
            <v>213</v>
          </cell>
        </row>
        <row r="220">
          <cell r="A220" t="str">
            <v>P023</v>
          </cell>
          <cell r="K220" t="str">
            <v>P023Strip adFC</v>
          </cell>
          <cell r="L220" t="str">
            <v>Strip ad</v>
          </cell>
          <cell r="M220" t="str">
            <v>FC</v>
          </cell>
          <cell r="N220" t="str">
            <v>19X5</v>
          </cell>
          <cell r="P220">
            <v>2600</v>
          </cell>
          <cell r="AG220">
            <v>214</v>
          </cell>
        </row>
        <row r="221">
          <cell r="A221" t="str">
            <v>TIEN PHONG CUOI THANG</v>
          </cell>
          <cell r="K221" t="str">
            <v>TIEN PHONG CUOI THANG</v>
          </cell>
          <cell r="L221" t="str">
            <v>Inside</v>
          </cell>
          <cell r="M221" t="str">
            <v>JPBW</v>
          </cell>
          <cell r="N221" t="str">
            <v>18.5X25.5</v>
          </cell>
          <cell r="P221">
            <v>8400</v>
          </cell>
          <cell r="AG221">
            <v>215</v>
          </cell>
        </row>
        <row r="222">
          <cell r="A222" t="str">
            <v>P024</v>
          </cell>
          <cell r="B222" t="str">
            <v>TIEN PHONG Daily</v>
          </cell>
          <cell r="C222">
            <v>8481068</v>
          </cell>
          <cell r="D222">
            <v>8469495</v>
          </cell>
          <cell r="E222" t="str">
            <v>384/54 NKKN Q3 HCM</v>
          </cell>
          <cell r="F222" t="str">
            <v>Ms Nghi 0903844224</v>
          </cell>
          <cell r="G222" t="str">
            <v>Daily</v>
          </cell>
          <cell r="H222">
            <v>100000</v>
          </cell>
          <cell r="K222" t="str">
            <v>P024LastFPFC</v>
          </cell>
          <cell r="L222" t="str">
            <v>Last</v>
          </cell>
          <cell r="M222" t="str">
            <v>FPFC</v>
          </cell>
          <cell r="N222" t="str">
            <v>25.5X38.5</v>
          </cell>
          <cell r="P222">
            <v>26400</v>
          </cell>
          <cell r="AC222">
            <v>15</v>
          </cell>
          <cell r="AD222">
            <v>10</v>
          </cell>
          <cell r="AE222">
            <v>100</v>
          </cell>
          <cell r="AF222" t="str">
            <v>CD</v>
          </cell>
          <cell r="AG222">
            <v>216</v>
          </cell>
        </row>
        <row r="223">
          <cell r="A223" t="str">
            <v>P024</v>
          </cell>
          <cell r="B223" t="str">
            <v>5G</v>
          </cell>
          <cell r="K223" t="str">
            <v>P024InsideFPFC</v>
          </cell>
          <cell r="L223" t="str">
            <v>Inside</v>
          </cell>
          <cell r="M223" t="str">
            <v>FPFC</v>
          </cell>
          <cell r="N223" t="str">
            <v>25.5X38.5</v>
          </cell>
          <cell r="P223">
            <v>22000</v>
          </cell>
          <cell r="AG223">
            <v>217</v>
          </cell>
        </row>
        <row r="224">
          <cell r="A224" t="str">
            <v>P024</v>
          </cell>
          <cell r="K224" t="str">
            <v>P024InsideFPBW</v>
          </cell>
          <cell r="L224" t="str">
            <v>Inside</v>
          </cell>
          <cell r="M224" t="str">
            <v>FPBW</v>
          </cell>
          <cell r="N224" t="str">
            <v>25.5X38.5</v>
          </cell>
          <cell r="P224">
            <v>14000</v>
          </cell>
          <cell r="AG224">
            <v>218</v>
          </cell>
        </row>
        <row r="225">
          <cell r="A225" t="str">
            <v>P024</v>
          </cell>
          <cell r="K225" t="str">
            <v>P024InsideJPFC</v>
          </cell>
          <cell r="L225" t="str">
            <v>Inside</v>
          </cell>
          <cell r="M225" t="str">
            <v>JPFC</v>
          </cell>
          <cell r="N225" t="str">
            <v>18.5X25.5</v>
          </cell>
          <cell r="P225">
            <v>13200</v>
          </cell>
          <cell r="AG225">
            <v>219</v>
          </cell>
        </row>
        <row r="226">
          <cell r="A226" t="str">
            <v>P024</v>
          </cell>
          <cell r="B226" t="str">
            <v>CONG AN DA NANG News.</v>
          </cell>
          <cell r="C226">
            <v>9967066</v>
          </cell>
          <cell r="D226">
            <v>9967066</v>
          </cell>
          <cell r="E226" t="str">
            <v>40 C5 Chu Van An P 26 Binh Thanh</v>
          </cell>
          <cell r="F226" t="str">
            <v>Mr Mai Phuc 0903924405</v>
          </cell>
          <cell r="G226" t="str">
            <v>2,4,6/ Weekly</v>
          </cell>
          <cell r="H226">
            <v>40000</v>
          </cell>
          <cell r="I226">
            <v>0.15</v>
          </cell>
          <cell r="K226" t="str">
            <v>P024InsideJPBW</v>
          </cell>
          <cell r="L226" t="str">
            <v>Inside</v>
          </cell>
          <cell r="M226" t="str">
            <v>JPBW</v>
          </cell>
          <cell r="N226" t="str">
            <v>18.5X25.5</v>
          </cell>
          <cell r="P226">
            <v>8400</v>
          </cell>
          <cell r="AC226">
            <v>15</v>
          </cell>
          <cell r="AD226">
            <v>10</v>
          </cell>
          <cell r="AE226">
            <v>100</v>
          </cell>
          <cell r="AF226" t="str">
            <v>CD</v>
          </cell>
          <cell r="AG226">
            <v>220</v>
          </cell>
        </row>
        <row r="227">
          <cell r="A227" t="str">
            <v>P024</v>
          </cell>
          <cell r="B227" t="str">
            <v>CONG AN DA NANG News.</v>
          </cell>
          <cell r="C227">
            <v>9967066</v>
          </cell>
          <cell r="D227">
            <v>9967066</v>
          </cell>
          <cell r="E227" t="str">
            <v>40 C5 Chu Van An P 26 Binh Thanh</v>
          </cell>
          <cell r="F227" t="str">
            <v>Mr Mai Phuc 0903924405</v>
          </cell>
          <cell r="G227" t="str">
            <v>2,4,6/ Weekly</v>
          </cell>
          <cell r="H227">
            <v>40000</v>
          </cell>
          <cell r="I227">
            <v>0.15</v>
          </cell>
          <cell r="K227" t="str">
            <v>P024InsideHPFC</v>
          </cell>
          <cell r="L227" t="str">
            <v>Inside</v>
          </cell>
          <cell r="M227" t="str">
            <v>HPFC</v>
          </cell>
          <cell r="N227" t="str">
            <v>25.5X18.5</v>
          </cell>
          <cell r="P227">
            <v>11000</v>
          </cell>
          <cell r="AC227">
            <v>15</v>
          </cell>
          <cell r="AD227">
            <v>10</v>
          </cell>
          <cell r="AE227">
            <v>100</v>
          </cell>
          <cell r="AF227" t="str">
            <v>CD</v>
          </cell>
          <cell r="AG227">
            <v>221</v>
          </cell>
        </row>
        <row r="228">
          <cell r="A228" t="str">
            <v>P024</v>
          </cell>
          <cell r="B228" t="str">
            <v>11G</v>
          </cell>
          <cell r="C228">
            <v>9967066</v>
          </cell>
          <cell r="D228">
            <v>9967066</v>
          </cell>
          <cell r="E228" t="str">
            <v>40 C5 Chu Van An P 26 Binh Thanh</v>
          </cell>
          <cell r="F228" t="str">
            <v>Mr Mai Phuc 0903924405</v>
          </cell>
          <cell r="G228" t="str">
            <v>Mon, Wed, Fri/ Weekly</v>
          </cell>
          <cell r="H228">
            <v>40000</v>
          </cell>
          <cell r="I228">
            <v>0.15</v>
          </cell>
          <cell r="K228" t="str">
            <v>P024InsideHPBW</v>
          </cell>
          <cell r="L228" t="str">
            <v>Inside</v>
          </cell>
          <cell r="M228" t="str">
            <v>HPBW</v>
          </cell>
          <cell r="N228" t="str">
            <v>25.5X18.5</v>
          </cell>
          <cell r="P228">
            <v>7000</v>
          </cell>
          <cell r="Q228">
            <v>0.15</v>
          </cell>
          <cell r="AC228">
            <v>15</v>
          </cell>
          <cell r="AD228">
            <v>10</v>
          </cell>
          <cell r="AE228">
            <v>100</v>
          </cell>
          <cell r="AF228" t="str">
            <v>CD</v>
          </cell>
          <cell r="AG228">
            <v>222</v>
          </cell>
        </row>
        <row r="229">
          <cell r="A229" t="str">
            <v>P024</v>
          </cell>
          <cell r="B229" t="str">
            <v>11G</v>
          </cell>
          <cell r="C229">
            <v>2905337</v>
          </cell>
          <cell r="E229" t="str">
            <v>P309, Lau 3, 180-182 Ly Chinh Thang, P9, Q3</v>
          </cell>
          <cell r="F229" t="str">
            <v>Ms Xuan Anh 0913663227</v>
          </cell>
          <cell r="G229" t="str">
            <v>4,7/ weekly</v>
          </cell>
          <cell r="H229">
            <v>200000</v>
          </cell>
          <cell r="I229">
            <v>7.0000000000000007E-2</v>
          </cell>
          <cell r="K229" t="str">
            <v>P024Strip adFC</v>
          </cell>
          <cell r="L229" t="str">
            <v>Strip ad</v>
          </cell>
          <cell r="M229" t="str">
            <v>FC</v>
          </cell>
          <cell r="N229" t="str">
            <v>25.5X5</v>
          </cell>
          <cell r="P229">
            <v>3300</v>
          </cell>
          <cell r="AC229">
            <v>15</v>
          </cell>
          <cell r="AD229">
            <v>10</v>
          </cell>
          <cell r="AE229">
            <v>100</v>
          </cell>
          <cell r="AF229" t="str">
            <v>CD</v>
          </cell>
          <cell r="AG229">
            <v>223</v>
          </cell>
        </row>
        <row r="230">
          <cell r="A230" t="str">
            <v>P024</v>
          </cell>
          <cell r="B230" t="str">
            <v>AN NINH THE GIOI</v>
          </cell>
          <cell r="C230">
            <v>2905337</v>
          </cell>
          <cell r="E230" t="str">
            <v>P309, Lau 3, 180-182 Ly Chinh Thang, P9, Q3</v>
          </cell>
          <cell r="F230" t="str">
            <v>Ms Xuan Anh 0913663227</v>
          </cell>
          <cell r="G230" t="str">
            <v>4,7/ weekly</v>
          </cell>
          <cell r="H230">
            <v>200000</v>
          </cell>
          <cell r="I230">
            <v>7.0000000000000007E-2</v>
          </cell>
          <cell r="K230" t="str">
            <v>P024Strip adBW</v>
          </cell>
          <cell r="L230" t="str">
            <v>Strip ad</v>
          </cell>
          <cell r="M230" t="str">
            <v>BW</v>
          </cell>
          <cell r="N230" t="str">
            <v>25.5X5</v>
          </cell>
          <cell r="P230">
            <v>2000</v>
          </cell>
          <cell r="AC230">
            <v>15</v>
          </cell>
          <cell r="AD230">
            <v>10</v>
          </cell>
          <cell r="AE230">
            <v>100</v>
          </cell>
          <cell r="AF230" t="str">
            <v>CD</v>
          </cell>
          <cell r="AG230">
            <v>224</v>
          </cell>
        </row>
        <row r="231">
          <cell r="A231" t="str">
            <v>TIEN PHONG Daily</v>
          </cell>
          <cell r="B231" t="str">
            <v>3F</v>
          </cell>
          <cell r="K231" t="str">
            <v>TIEN PHONG Daily</v>
          </cell>
          <cell r="L231" t="str">
            <v>Inside</v>
          </cell>
          <cell r="M231" t="str">
            <v>HPFC</v>
          </cell>
          <cell r="N231" t="str">
            <v>18X13</v>
          </cell>
          <cell r="P231">
            <v>13000</v>
          </cell>
          <cell r="AG231">
            <v>225</v>
          </cell>
        </row>
        <row r="232">
          <cell r="A232" t="str">
            <v>P025</v>
          </cell>
          <cell r="B232" t="str">
            <v>CONG AN DA NANG News.</v>
          </cell>
          <cell r="C232">
            <v>9967066</v>
          </cell>
          <cell r="D232">
            <v>9967066</v>
          </cell>
          <cell r="E232" t="str">
            <v>40 C5 Chu Van An P 26 Binh Thanh</v>
          </cell>
          <cell r="F232" t="str">
            <v>Mr Mai Phuc 0903924405</v>
          </cell>
          <cell r="G232" t="str">
            <v>Mon, Wed, Fri/ Weekly</v>
          </cell>
          <cell r="H232">
            <v>40000</v>
          </cell>
          <cell r="I232">
            <v>0.15</v>
          </cell>
          <cell r="K232" t="str">
            <v>P025InsideFPFC</v>
          </cell>
          <cell r="L232" t="str">
            <v>Inside</v>
          </cell>
          <cell r="M232" t="str">
            <v>FPFC</v>
          </cell>
          <cell r="N232" t="str">
            <v>26X38</v>
          </cell>
          <cell r="P232">
            <v>15000</v>
          </cell>
          <cell r="Q232">
            <v>0.15</v>
          </cell>
          <cell r="AC232">
            <v>15</v>
          </cell>
          <cell r="AD232">
            <v>10</v>
          </cell>
          <cell r="AE232">
            <v>100</v>
          </cell>
          <cell r="AF232" t="str">
            <v>CD</v>
          </cell>
          <cell r="AG232">
            <v>226</v>
          </cell>
        </row>
        <row r="233">
          <cell r="A233" t="str">
            <v>P025</v>
          </cell>
          <cell r="B233" t="str">
            <v>11G</v>
          </cell>
          <cell r="C233">
            <v>9101766</v>
          </cell>
          <cell r="D233">
            <v>9101636</v>
          </cell>
          <cell r="E233" t="str">
            <v>Lau 6, P. 616, Me Linh Point- 2 Ngo Duc Ke, Q.1</v>
          </cell>
          <cell r="F233" t="str">
            <v>Ms Hoang Trang</v>
          </cell>
          <cell r="G233" t="str">
            <v>4/ weekly</v>
          </cell>
          <cell r="H233">
            <v>200000</v>
          </cell>
          <cell r="K233" t="str">
            <v>P025LastFPFC</v>
          </cell>
          <cell r="L233" t="str">
            <v>Last</v>
          </cell>
          <cell r="M233" t="str">
            <v>FPFC</v>
          </cell>
          <cell r="N233" t="str">
            <v>26X38</v>
          </cell>
          <cell r="P233">
            <v>15000</v>
          </cell>
          <cell r="AC233">
            <v>15</v>
          </cell>
          <cell r="AD233">
            <v>10</v>
          </cell>
          <cell r="AE233">
            <v>100</v>
          </cell>
          <cell r="AF233" t="str">
            <v>CD</v>
          </cell>
          <cell r="AG233">
            <v>227</v>
          </cell>
        </row>
        <row r="234">
          <cell r="A234" t="str">
            <v>P025</v>
          </cell>
          <cell r="B234" t="str">
            <v>3B</v>
          </cell>
          <cell r="K234" t="str">
            <v>P025InsideHPFC</v>
          </cell>
          <cell r="L234" t="str">
            <v>Inside</v>
          </cell>
          <cell r="M234" t="str">
            <v>HPFC</v>
          </cell>
          <cell r="N234" t="str">
            <v>26X19</v>
          </cell>
          <cell r="P234">
            <v>8000</v>
          </cell>
          <cell r="AG234">
            <v>228</v>
          </cell>
        </row>
        <row r="235">
          <cell r="A235" t="str">
            <v>CONG AN DA NANG News.</v>
          </cell>
          <cell r="B235" t="str">
            <v>CONG AN TPHCM News.</v>
          </cell>
          <cell r="C235">
            <v>9101766</v>
          </cell>
          <cell r="D235">
            <v>9101636</v>
          </cell>
          <cell r="E235" t="str">
            <v>Lau 6, P. 616, Me Linh Point- 2 Ngo Duc Ke, Q.1</v>
          </cell>
          <cell r="F235" t="str">
            <v>Ms Hoang Trang</v>
          </cell>
          <cell r="G235" t="str">
            <v>Wed/ Weekly</v>
          </cell>
          <cell r="H235">
            <v>200000</v>
          </cell>
          <cell r="K235" t="str">
            <v>CONG AN DA NANG News.</v>
          </cell>
          <cell r="L235" t="str">
            <v>Inside</v>
          </cell>
          <cell r="M235" t="str">
            <v>HPFC</v>
          </cell>
          <cell r="N235" t="str">
            <v>25.1X18.45</v>
          </cell>
          <cell r="P235">
            <v>29000</v>
          </cell>
          <cell r="AC235">
            <v>15</v>
          </cell>
          <cell r="AD235">
            <v>10</v>
          </cell>
          <cell r="AE235">
            <v>100</v>
          </cell>
          <cell r="AF235" t="str">
            <v>CD</v>
          </cell>
          <cell r="AG235">
            <v>229</v>
          </cell>
        </row>
        <row r="236">
          <cell r="A236" t="str">
            <v>P026</v>
          </cell>
          <cell r="B236" t="str">
            <v>AN NINH THE GIOI</v>
          </cell>
          <cell r="C236">
            <v>2905337</v>
          </cell>
          <cell r="D236">
            <v>2905339</v>
          </cell>
          <cell r="E236" t="str">
            <v>P309, Lau 3, 180-182 Ly Chinh Thang, P9, Q3</v>
          </cell>
          <cell r="F236" t="str">
            <v>Ms Xuan Anh 0913663227</v>
          </cell>
          <cell r="G236" t="str">
            <v>Wed, Sat/ Weekly</v>
          </cell>
          <cell r="H236">
            <v>200000</v>
          </cell>
          <cell r="I236">
            <v>7.0000000000000007E-2</v>
          </cell>
          <cell r="K236" t="str">
            <v>P026InsideFPFC</v>
          </cell>
          <cell r="L236" t="str">
            <v>Inside</v>
          </cell>
          <cell r="M236" t="str">
            <v>FPFC</v>
          </cell>
          <cell r="N236" t="str">
            <v>18X26</v>
          </cell>
          <cell r="P236">
            <v>25000</v>
          </cell>
          <cell r="Q236">
            <v>7.0000000000000007E-2</v>
          </cell>
          <cell r="AC236">
            <v>15</v>
          </cell>
          <cell r="AD236">
            <v>10</v>
          </cell>
          <cell r="AE236">
            <v>100</v>
          </cell>
          <cell r="AF236" t="str">
            <v>CD</v>
          </cell>
          <cell r="AG236">
            <v>230</v>
          </cell>
        </row>
        <row r="237">
          <cell r="A237" t="str">
            <v>P026</v>
          </cell>
          <cell r="B237" t="str">
            <v>3F</v>
          </cell>
          <cell r="K237" t="str">
            <v>P026InsideHPFC</v>
          </cell>
          <cell r="L237" t="str">
            <v>Inside</v>
          </cell>
          <cell r="M237" t="str">
            <v>HPFC</v>
          </cell>
          <cell r="N237" t="str">
            <v>18X13</v>
          </cell>
          <cell r="P237">
            <v>13000</v>
          </cell>
          <cell r="AG237">
            <v>231</v>
          </cell>
        </row>
        <row r="238">
          <cell r="A238" t="str">
            <v>AN NINH THE GIOI</v>
          </cell>
          <cell r="K238" t="str">
            <v>AN NINH THE GIOI</v>
          </cell>
          <cell r="L238" t="str">
            <v>Last</v>
          </cell>
          <cell r="M238" t="str">
            <v>FPFC</v>
          </cell>
          <cell r="N238" t="str">
            <v>25.1X37.4</v>
          </cell>
          <cell r="P238">
            <v>55650</v>
          </cell>
          <cell r="AG238">
            <v>232</v>
          </cell>
        </row>
        <row r="239">
          <cell r="A239" t="str">
            <v>P027</v>
          </cell>
          <cell r="B239" t="str">
            <v>CONG AN TPHCM News.</v>
          </cell>
          <cell r="C239">
            <v>9101766</v>
          </cell>
          <cell r="D239">
            <v>9101636</v>
          </cell>
          <cell r="E239" t="str">
            <v>Lau 6, P. 616, Me Linh Point- 2 Ngo Duc Ke, Q.1</v>
          </cell>
          <cell r="F239" t="str">
            <v>Ms Hoang Trang</v>
          </cell>
          <cell r="G239" t="str">
            <v>Wed/ Weekly</v>
          </cell>
          <cell r="H239">
            <v>200000</v>
          </cell>
          <cell r="I239">
            <v>0.1</v>
          </cell>
          <cell r="K239" t="str">
            <v>P027FirstFPFC</v>
          </cell>
          <cell r="L239" t="str">
            <v>First</v>
          </cell>
          <cell r="M239" t="str">
            <v>FPFC</v>
          </cell>
          <cell r="N239" t="str">
            <v>25.1X33.1</v>
          </cell>
          <cell r="P239">
            <v>58300.000000000007</v>
          </cell>
          <cell r="AC239">
            <v>15</v>
          </cell>
          <cell r="AD239">
            <v>10</v>
          </cell>
          <cell r="AE239">
            <v>100</v>
          </cell>
          <cell r="AF239" t="str">
            <v>CD</v>
          </cell>
          <cell r="AG239">
            <v>233</v>
          </cell>
        </row>
        <row r="240">
          <cell r="A240" t="str">
            <v>P027</v>
          </cell>
          <cell r="B240" t="str">
            <v>3B</v>
          </cell>
          <cell r="C240">
            <v>8468715</v>
          </cell>
          <cell r="D240">
            <v>9316723</v>
          </cell>
          <cell r="E240" t="str">
            <v>188 Ly Chinh Thang, Q.3, Tp. HCM</v>
          </cell>
          <cell r="F240" t="str">
            <v>Ms Ngoc Lan 0903773206</v>
          </cell>
          <cell r="G240" t="str">
            <v>3,6/week</v>
          </cell>
          <cell r="I240">
            <v>0.1</v>
          </cell>
          <cell r="K240" t="str">
            <v>P027InsideFPFC</v>
          </cell>
          <cell r="L240" t="str">
            <v>Inside</v>
          </cell>
          <cell r="M240" t="str">
            <v>FPFC</v>
          </cell>
          <cell r="N240" t="str">
            <v>25.1X37.4</v>
          </cell>
          <cell r="P240">
            <v>53000</v>
          </cell>
          <cell r="AC240">
            <v>15</v>
          </cell>
          <cell r="AD240">
            <v>10</v>
          </cell>
          <cell r="AE240">
            <v>100</v>
          </cell>
          <cell r="AF240" t="str">
            <v>CD</v>
          </cell>
          <cell r="AG240">
            <v>234</v>
          </cell>
        </row>
        <row r="241">
          <cell r="A241" t="str">
            <v>P027</v>
          </cell>
          <cell r="B241" t="str">
            <v>7F</v>
          </cell>
          <cell r="K241" t="str">
            <v>P027InsideHPFC</v>
          </cell>
          <cell r="L241" t="str">
            <v>Inside</v>
          </cell>
          <cell r="M241" t="str">
            <v>HPFC</v>
          </cell>
          <cell r="N241" t="str">
            <v>25.1X18.45</v>
          </cell>
          <cell r="P241">
            <v>29000</v>
          </cell>
          <cell r="AG241">
            <v>235</v>
          </cell>
        </row>
        <row r="242">
          <cell r="A242" t="str">
            <v>P027</v>
          </cell>
          <cell r="B242" t="str">
            <v>PHU NU HCM</v>
          </cell>
          <cell r="C242">
            <v>8468715</v>
          </cell>
          <cell r="D242">
            <v>8468523</v>
          </cell>
          <cell r="E242" t="str">
            <v>188 Ly Chinh Thang, Q.3, Tp. HCM</v>
          </cell>
          <cell r="F242" t="str">
            <v>Ms Ngoc Lan 0903773206</v>
          </cell>
          <cell r="G242" t="str">
            <v>Tue, Fri/ Week</v>
          </cell>
          <cell r="I242">
            <v>0.1</v>
          </cell>
          <cell r="K242" t="str">
            <v>P027FirstHPFC</v>
          </cell>
          <cell r="L242" t="str">
            <v>First</v>
          </cell>
          <cell r="M242" t="str">
            <v>HPFC</v>
          </cell>
          <cell r="N242" t="str">
            <v>25.1X16.3</v>
          </cell>
          <cell r="P242">
            <v>29000</v>
          </cell>
          <cell r="Q242">
            <v>0.1</v>
          </cell>
          <cell r="AC242">
            <v>15</v>
          </cell>
          <cell r="AD242">
            <v>10</v>
          </cell>
          <cell r="AE242">
            <v>100</v>
          </cell>
          <cell r="AF242" t="str">
            <v>CD</v>
          </cell>
          <cell r="AG242">
            <v>236</v>
          </cell>
        </row>
        <row r="243">
          <cell r="A243" t="str">
            <v>P027</v>
          </cell>
          <cell r="B243" t="str">
            <v>7F</v>
          </cell>
          <cell r="K243" t="str">
            <v>P027InsideQPFC</v>
          </cell>
          <cell r="L243" t="str">
            <v>Inside</v>
          </cell>
          <cell r="M243" t="str">
            <v>QPFC</v>
          </cell>
          <cell r="N243" t="str">
            <v>12.3X18.45</v>
          </cell>
          <cell r="P243">
            <v>16000</v>
          </cell>
          <cell r="AG243">
            <v>237</v>
          </cell>
        </row>
        <row r="244">
          <cell r="A244" t="str">
            <v>P027</v>
          </cell>
          <cell r="K244" t="str">
            <v>P027LastFPFC</v>
          </cell>
          <cell r="L244" t="str">
            <v>Last</v>
          </cell>
          <cell r="M244" t="str">
            <v>FPFC</v>
          </cell>
          <cell r="N244" t="str">
            <v>25.1X37.4</v>
          </cell>
          <cell r="P244">
            <v>55650</v>
          </cell>
          <cell r="AG244">
            <v>238</v>
          </cell>
        </row>
        <row r="245">
          <cell r="A245" t="str">
            <v>CONG AN TPHCM News.</v>
          </cell>
          <cell r="B245" t="str">
            <v>PHU NU CN- COST WILL BE INCREASED FROM OCT'06</v>
          </cell>
          <cell r="C245">
            <v>8468715</v>
          </cell>
          <cell r="D245">
            <v>9316723</v>
          </cell>
          <cell r="E245" t="str">
            <v>188 Ly Chinh Thang, Q.3, Tp. HCM</v>
          </cell>
          <cell r="F245" t="str">
            <v>Ms Ngoc Lan 0903773206</v>
          </cell>
          <cell r="G245" t="str">
            <v>weekly</v>
          </cell>
          <cell r="H245">
            <v>152000</v>
          </cell>
          <cell r="I245">
            <v>0.1</v>
          </cell>
          <cell r="K245" t="str">
            <v>CONG AN TPHCM News.</v>
          </cell>
          <cell r="L245" t="str">
            <v>Inside</v>
          </cell>
          <cell r="M245" t="str">
            <v>HPFC</v>
          </cell>
          <cell r="N245" t="str">
            <v>24.5X18</v>
          </cell>
          <cell r="O245" t="str">
            <v>20.5X28.5</v>
          </cell>
          <cell r="P245">
            <v>11000</v>
          </cell>
          <cell r="AC245">
            <v>15</v>
          </cell>
          <cell r="AD245">
            <v>10</v>
          </cell>
          <cell r="AE245">
            <v>100</v>
          </cell>
          <cell r="AF245" t="str">
            <v>CD</v>
          </cell>
          <cell r="AG245">
            <v>239</v>
          </cell>
        </row>
        <row r="246">
          <cell r="A246" t="str">
            <v>P028</v>
          </cell>
          <cell r="B246" t="str">
            <v>PHU NU HCM</v>
          </cell>
          <cell r="C246">
            <v>8468715</v>
          </cell>
          <cell r="D246">
            <v>8468523</v>
          </cell>
          <cell r="E246" t="str">
            <v>188 Ly Chinh Thang, Q.3, Tp. HCM</v>
          </cell>
          <cell r="F246" t="str">
            <v>Ms Ngoc Lan 0903773206</v>
          </cell>
          <cell r="G246" t="str">
            <v>Tue, Fri/ Week</v>
          </cell>
          <cell r="H246">
            <v>152000</v>
          </cell>
          <cell r="I246">
            <v>0.1</v>
          </cell>
          <cell r="K246" t="str">
            <v>P028InsideFPFC</v>
          </cell>
          <cell r="L246" t="str">
            <v>Inside</v>
          </cell>
          <cell r="M246" t="str">
            <v>FPFC</v>
          </cell>
          <cell r="N246" t="str">
            <v>24.5X36.5</v>
          </cell>
          <cell r="O246" t="str">
            <v>20.5X28.5</v>
          </cell>
          <cell r="P246">
            <v>21000</v>
          </cell>
          <cell r="Q246">
            <v>0.1</v>
          </cell>
          <cell r="AC246">
            <v>15</v>
          </cell>
          <cell r="AD246">
            <v>10</v>
          </cell>
          <cell r="AE246">
            <v>100</v>
          </cell>
          <cell r="AF246" t="str">
            <v>CD</v>
          </cell>
          <cell r="AG246">
            <v>240</v>
          </cell>
        </row>
        <row r="247">
          <cell r="A247" t="str">
            <v>P028</v>
          </cell>
          <cell r="B247" t="str">
            <v>7F</v>
          </cell>
          <cell r="K247" t="str">
            <v>P028FirstFPFC</v>
          </cell>
          <cell r="L247" t="str">
            <v>First</v>
          </cell>
          <cell r="M247" t="str">
            <v>FPFC</v>
          </cell>
          <cell r="N247" t="str">
            <v>24.5X36.5</v>
          </cell>
          <cell r="P247">
            <v>25200</v>
          </cell>
          <cell r="AG247">
            <v>241</v>
          </cell>
        </row>
        <row r="248">
          <cell r="A248" t="str">
            <v>P028</v>
          </cell>
          <cell r="K248" t="str">
            <v>P028LastFPFC</v>
          </cell>
          <cell r="L248" t="str">
            <v>Last</v>
          </cell>
          <cell r="M248" t="str">
            <v>FPFC</v>
          </cell>
          <cell r="N248" t="str">
            <v>24.5X36.5</v>
          </cell>
          <cell r="P248">
            <v>25200</v>
          </cell>
          <cell r="AG248">
            <v>242</v>
          </cell>
        </row>
        <row r="249">
          <cell r="A249" t="str">
            <v>P028</v>
          </cell>
          <cell r="B249" t="str">
            <v>PHU NU CN</v>
          </cell>
          <cell r="C249">
            <v>8468715</v>
          </cell>
          <cell r="D249">
            <v>9316723</v>
          </cell>
          <cell r="E249" t="str">
            <v>188 Ly Chinh Thang, Q.3, Tp. HCM</v>
          </cell>
          <cell r="F249" t="str">
            <v>Ms Ngoc Lan 0903773206</v>
          </cell>
          <cell r="G249" t="str">
            <v>Weekly</v>
          </cell>
          <cell r="H249">
            <v>152000</v>
          </cell>
          <cell r="I249">
            <v>0.1</v>
          </cell>
          <cell r="K249" t="str">
            <v>P028InsideHPFC</v>
          </cell>
          <cell r="L249" t="str">
            <v>Inside</v>
          </cell>
          <cell r="M249" t="str">
            <v>HPFC</v>
          </cell>
          <cell r="N249" t="str">
            <v>24.5X18</v>
          </cell>
          <cell r="O249" t="str">
            <v>20.5X28.5</v>
          </cell>
          <cell r="P249">
            <v>11000</v>
          </cell>
          <cell r="AC249">
            <v>15</v>
          </cell>
          <cell r="AD249">
            <v>10</v>
          </cell>
          <cell r="AE249">
            <v>100</v>
          </cell>
          <cell r="AF249" t="str">
            <v>CD</v>
          </cell>
          <cell r="AG249">
            <v>243</v>
          </cell>
        </row>
        <row r="250">
          <cell r="A250" t="str">
            <v>P028</v>
          </cell>
          <cell r="B250" t="str">
            <v>7F</v>
          </cell>
          <cell r="K250" t="str">
            <v>P028First- AppendixFPFC</v>
          </cell>
          <cell r="L250" t="str">
            <v>First- Appendix</v>
          </cell>
          <cell r="M250" t="str">
            <v>FPFC</v>
          </cell>
          <cell r="N250" t="str">
            <v>24.5X33</v>
          </cell>
          <cell r="P250">
            <v>4950</v>
          </cell>
          <cell r="AG250">
            <v>244</v>
          </cell>
        </row>
        <row r="251">
          <cell r="A251" t="str">
            <v>P028</v>
          </cell>
          <cell r="K251" t="str">
            <v>P028Advertorial200 words</v>
          </cell>
          <cell r="L251" t="str">
            <v>Advertorial</v>
          </cell>
          <cell r="M251" t="str">
            <v>200 words</v>
          </cell>
          <cell r="N251" t="str">
            <v>18X26</v>
          </cell>
          <cell r="P251">
            <v>2530</v>
          </cell>
          <cell r="AG251">
            <v>245</v>
          </cell>
        </row>
        <row r="252">
          <cell r="A252" t="str">
            <v>PHU NU HCM</v>
          </cell>
          <cell r="K252" t="str">
            <v>PHU NU HCM</v>
          </cell>
          <cell r="L252" t="str">
            <v>Strip ad</v>
          </cell>
          <cell r="M252" t="str">
            <v>FPFC</v>
          </cell>
          <cell r="N252" t="str">
            <v>17X3</v>
          </cell>
          <cell r="P252">
            <v>1760</v>
          </cell>
          <cell r="AG252">
            <v>246</v>
          </cell>
        </row>
        <row r="253">
          <cell r="A253" t="str">
            <v>P029</v>
          </cell>
          <cell r="B253" t="str">
            <v>PHU NU CN</v>
          </cell>
          <cell r="C253">
            <v>8468715</v>
          </cell>
          <cell r="D253">
            <v>9316723</v>
          </cell>
          <cell r="E253" t="str">
            <v>188 Ly Chinh Thang, Q.3, Tp. HCM</v>
          </cell>
          <cell r="F253" t="str">
            <v>Ms Ngoc Lan 0903773206</v>
          </cell>
          <cell r="G253" t="str">
            <v>Weekly</v>
          </cell>
          <cell r="H253">
            <v>152000</v>
          </cell>
          <cell r="I253">
            <v>0.1</v>
          </cell>
          <cell r="K253" t="str">
            <v>P029InsideFPFC</v>
          </cell>
          <cell r="L253" t="str">
            <v>Inside</v>
          </cell>
          <cell r="M253" t="str">
            <v>FPFC</v>
          </cell>
          <cell r="N253" t="str">
            <v>18X26</v>
          </cell>
          <cell r="O253" t="str">
            <v>20.5X28.5</v>
          </cell>
          <cell r="P253">
            <v>12000</v>
          </cell>
          <cell r="Q253">
            <v>0.4</v>
          </cell>
          <cell r="AC253">
            <v>15</v>
          </cell>
          <cell r="AD253">
            <v>10</v>
          </cell>
          <cell r="AE253">
            <v>100</v>
          </cell>
          <cell r="AF253" t="str">
            <v>CD</v>
          </cell>
          <cell r="AG253">
            <v>247</v>
          </cell>
        </row>
        <row r="254">
          <cell r="A254" t="str">
            <v>P029</v>
          </cell>
          <cell r="B254" t="str">
            <v>7F</v>
          </cell>
          <cell r="C254">
            <v>8238198</v>
          </cell>
          <cell r="D254">
            <v>8238200</v>
          </cell>
          <cell r="E254" t="str">
            <v>18 Ter Nguyen Thi Minh Khai, Q.1, Tp. HCM</v>
          </cell>
          <cell r="F254" t="str">
            <v>Ngoc Anh 0908496247 (ext 107)</v>
          </cell>
          <cell r="G254" t="str">
            <v>Fri/ Weekly</v>
          </cell>
          <cell r="H254">
            <v>30000</v>
          </cell>
          <cell r="I254">
            <v>0.4</v>
          </cell>
          <cell r="K254" t="str">
            <v>P029Cover 4FPFC</v>
          </cell>
          <cell r="L254" t="str">
            <v>Cover 4</v>
          </cell>
          <cell r="M254" t="str">
            <v>FPFC</v>
          </cell>
          <cell r="N254" t="str">
            <v>18X26</v>
          </cell>
          <cell r="P254">
            <v>17000</v>
          </cell>
          <cell r="Q254">
            <v>0.4</v>
          </cell>
          <cell r="AC254">
            <v>15</v>
          </cell>
          <cell r="AD254">
            <v>10</v>
          </cell>
          <cell r="AE254" t="str">
            <v>300 DPI</v>
          </cell>
          <cell r="AF254" t="str">
            <v>CD</v>
          </cell>
          <cell r="AG254">
            <v>248</v>
          </cell>
        </row>
        <row r="255">
          <cell r="A255" t="str">
            <v>P029</v>
          </cell>
          <cell r="B255" t="str">
            <v>5E</v>
          </cell>
          <cell r="K255" t="str">
            <v>P029Cover 2FPFC</v>
          </cell>
          <cell r="L255" t="str">
            <v>Cover 2</v>
          </cell>
          <cell r="M255" t="str">
            <v>FPFC</v>
          </cell>
          <cell r="N255" t="str">
            <v>18X26</v>
          </cell>
          <cell r="P255">
            <v>14000</v>
          </cell>
          <cell r="AG255">
            <v>249</v>
          </cell>
        </row>
        <row r="256">
          <cell r="A256" t="str">
            <v>P029</v>
          </cell>
          <cell r="K256" t="str">
            <v>P029Cover 3FPFC</v>
          </cell>
          <cell r="L256" t="str">
            <v>Cover 3</v>
          </cell>
          <cell r="M256" t="str">
            <v>FPFC</v>
          </cell>
          <cell r="N256" t="str">
            <v>18X26</v>
          </cell>
          <cell r="P256">
            <v>14000</v>
          </cell>
          <cell r="AG256">
            <v>250</v>
          </cell>
        </row>
        <row r="257">
          <cell r="A257" t="str">
            <v>P029</v>
          </cell>
          <cell r="B257" t="str">
            <v>SAI GON DOANH NHAN CUOI TUAN</v>
          </cell>
          <cell r="C257">
            <v>8238198</v>
          </cell>
          <cell r="D257">
            <v>8238200</v>
          </cell>
          <cell r="E257" t="str">
            <v>18 Ter Nguyen Thi Minh Khai, Q.1, Tp. HCM</v>
          </cell>
          <cell r="F257" t="str">
            <v>Ngoc Anh 0908496247 (ext 107)</v>
          </cell>
          <cell r="G257" t="str">
            <v>Fri/ Weekly</v>
          </cell>
          <cell r="H257">
            <v>30000</v>
          </cell>
          <cell r="I257">
            <v>0.4</v>
          </cell>
          <cell r="K257" t="str">
            <v>P029InsideHPFC</v>
          </cell>
          <cell r="L257" t="str">
            <v>Inside</v>
          </cell>
          <cell r="M257" t="str">
            <v>HPFC</v>
          </cell>
          <cell r="N257" t="str">
            <v>18X12.5</v>
          </cell>
          <cell r="P257">
            <v>6500</v>
          </cell>
          <cell r="Q257">
            <v>0.4</v>
          </cell>
          <cell r="AC257">
            <v>15</v>
          </cell>
          <cell r="AD257">
            <v>10</v>
          </cell>
          <cell r="AE257" t="str">
            <v>300 DPI</v>
          </cell>
          <cell r="AF257" t="str">
            <v>CD</v>
          </cell>
          <cell r="AG257">
            <v>251</v>
          </cell>
        </row>
        <row r="258">
          <cell r="A258" t="str">
            <v>P029</v>
          </cell>
          <cell r="B258" t="str">
            <v>5E</v>
          </cell>
          <cell r="K258" t="str">
            <v>P029Advertorial200 words</v>
          </cell>
          <cell r="L258" t="str">
            <v>Advertorial</v>
          </cell>
          <cell r="M258" t="str">
            <v>200 words</v>
          </cell>
          <cell r="N258" t="str">
            <v>27.5X35</v>
          </cell>
          <cell r="P258">
            <v>3000</v>
          </cell>
          <cell r="AG258">
            <v>252</v>
          </cell>
        </row>
        <row r="259">
          <cell r="A259" t="str">
            <v>P029</v>
          </cell>
          <cell r="K259" t="str">
            <v>P029Strip ad</v>
          </cell>
          <cell r="L259" t="str">
            <v>Strip ad</v>
          </cell>
          <cell r="M259" t="str">
            <v>JPFC</v>
          </cell>
          <cell r="N259" t="str">
            <v>17X3</v>
          </cell>
          <cell r="P259">
            <v>2500</v>
          </cell>
          <cell r="AG259">
            <v>253</v>
          </cell>
        </row>
        <row r="260">
          <cell r="A260" t="str">
            <v>PHU NU CN</v>
          </cell>
          <cell r="K260" t="str">
            <v>PHU NU CN</v>
          </cell>
          <cell r="L260" t="str">
            <v>Inside</v>
          </cell>
          <cell r="M260" t="str">
            <v>DPFC</v>
          </cell>
          <cell r="N260" t="str">
            <v>54.7X33</v>
          </cell>
          <cell r="P260">
            <v>42000</v>
          </cell>
          <cell r="AG260">
            <v>254</v>
          </cell>
        </row>
        <row r="261">
          <cell r="A261" t="str">
            <v>P030</v>
          </cell>
          <cell r="B261" t="str">
            <v>SAI GON DOANH NHAN CUOI TUAN</v>
          </cell>
          <cell r="C261">
            <v>8238198</v>
          </cell>
          <cell r="D261">
            <v>8238200</v>
          </cell>
          <cell r="E261" t="str">
            <v>18 Ter Nguyen Thi Minh Khai, Q.1, Tp. HCM</v>
          </cell>
          <cell r="F261" t="str">
            <v>Ngoc Anh 0908496247 (ext 107)</v>
          </cell>
          <cell r="G261" t="str">
            <v>Fri/ Weekly</v>
          </cell>
          <cell r="H261">
            <v>30000</v>
          </cell>
          <cell r="I261">
            <v>0.4</v>
          </cell>
          <cell r="K261" t="str">
            <v>P030Cover 4FPFC</v>
          </cell>
          <cell r="L261" t="str">
            <v>Cover 4</v>
          </cell>
          <cell r="M261" t="str">
            <v>FPFC</v>
          </cell>
          <cell r="N261" t="str">
            <v>27.5X35</v>
          </cell>
          <cell r="P261">
            <v>26400</v>
          </cell>
          <cell r="Q261">
            <v>0.4</v>
          </cell>
          <cell r="AC261">
            <v>15</v>
          </cell>
          <cell r="AD261">
            <v>10</v>
          </cell>
          <cell r="AE261" t="str">
            <v>300 DPI</v>
          </cell>
          <cell r="AF261" t="str">
            <v>CD</v>
          </cell>
          <cell r="AG261">
            <v>255</v>
          </cell>
        </row>
        <row r="262">
          <cell r="A262" t="str">
            <v>P030</v>
          </cell>
          <cell r="B262" t="str">
            <v>5E</v>
          </cell>
          <cell r="K262" t="str">
            <v>P030Cover 2FPFC</v>
          </cell>
          <cell r="L262" t="str">
            <v>Cover 2</v>
          </cell>
          <cell r="M262" t="str">
            <v>FPFC</v>
          </cell>
          <cell r="N262" t="str">
            <v>27.5X35</v>
          </cell>
          <cell r="O262" t="str">
            <v>21.2X29.4</v>
          </cell>
          <cell r="P262">
            <v>24000</v>
          </cell>
          <cell r="AC262">
            <v>15</v>
          </cell>
          <cell r="AD262">
            <v>10</v>
          </cell>
          <cell r="AE262" t="str">
            <v>300 DPI</v>
          </cell>
          <cell r="AF262" t="str">
            <v>CD</v>
          </cell>
          <cell r="AG262">
            <v>256</v>
          </cell>
        </row>
        <row r="263">
          <cell r="A263" t="str">
            <v>P030</v>
          </cell>
          <cell r="B263" t="str">
            <v>10F</v>
          </cell>
          <cell r="K263" t="str">
            <v>P030Cover 3FPFC</v>
          </cell>
          <cell r="L263" t="str">
            <v>Cover 3</v>
          </cell>
          <cell r="M263" t="str">
            <v>FPFC</v>
          </cell>
          <cell r="N263" t="str">
            <v>27.5X35</v>
          </cell>
          <cell r="O263" t="str">
            <v>21.2X29.4</v>
          </cell>
          <cell r="P263">
            <v>24000</v>
          </cell>
          <cell r="AC263">
            <v>15</v>
          </cell>
          <cell r="AD263">
            <v>10</v>
          </cell>
          <cell r="AE263" t="str">
            <v>300 DPI</v>
          </cell>
          <cell r="AF263" t="str">
            <v>CD</v>
          </cell>
          <cell r="AG263">
            <v>257</v>
          </cell>
        </row>
        <row r="264">
          <cell r="A264" t="str">
            <v>P030</v>
          </cell>
          <cell r="B264" t="str">
            <v>10F</v>
          </cell>
          <cell r="K264" t="str">
            <v>P030InsideFPFC</v>
          </cell>
          <cell r="L264" t="str">
            <v>Inside</v>
          </cell>
          <cell r="M264" t="str">
            <v>FPFC</v>
          </cell>
          <cell r="N264" t="str">
            <v>27.5X35</v>
          </cell>
          <cell r="O264" t="str">
            <v>21.2X29.4</v>
          </cell>
          <cell r="P264">
            <v>21600</v>
          </cell>
          <cell r="AG264">
            <v>258</v>
          </cell>
        </row>
        <row r="265">
          <cell r="A265" t="str">
            <v>P030</v>
          </cell>
          <cell r="K265" t="str">
            <v>P030FirstFPFC</v>
          </cell>
          <cell r="L265" t="str">
            <v>First</v>
          </cell>
          <cell r="M265" t="str">
            <v>FPFC</v>
          </cell>
          <cell r="N265" t="str">
            <v>20X28</v>
          </cell>
          <cell r="O265" t="str">
            <v>21.2X29.4</v>
          </cell>
          <cell r="P265">
            <v>25920</v>
          </cell>
          <cell r="AG265">
            <v>259</v>
          </cell>
        </row>
        <row r="266">
          <cell r="A266" t="str">
            <v>P030</v>
          </cell>
          <cell r="B266" t="str">
            <v>SANH DIEU</v>
          </cell>
          <cell r="C266">
            <v>5173073</v>
          </cell>
          <cell r="D266">
            <v>5173110</v>
          </cell>
          <cell r="E266" t="str">
            <v>12 Lo C 10B Nhieu Loc 1, F2, PN</v>
          </cell>
          <cell r="F266" t="str">
            <v>Ms Trinh 0908182487</v>
          </cell>
          <cell r="G266" t="str">
            <v>5/ Monthly</v>
          </cell>
          <cell r="H266">
            <v>40000</v>
          </cell>
          <cell r="I266">
            <v>0.5</v>
          </cell>
          <cell r="K266" t="str">
            <v>P030InsideJPFC</v>
          </cell>
          <cell r="L266" t="str">
            <v>Inside</v>
          </cell>
          <cell r="M266" t="str">
            <v>JPFC</v>
          </cell>
          <cell r="N266" t="str">
            <v>19X27.5</v>
          </cell>
          <cell r="O266" t="str">
            <v>21.2X29.4</v>
          </cell>
          <cell r="P266">
            <v>14400</v>
          </cell>
          <cell r="Q266">
            <v>0.5</v>
          </cell>
          <cell r="AC266">
            <v>15</v>
          </cell>
          <cell r="AD266">
            <v>10</v>
          </cell>
          <cell r="AE266" t="str">
            <v>300 DPI</v>
          </cell>
          <cell r="AF266" t="str">
            <v>CD</v>
          </cell>
          <cell r="AG266">
            <v>260</v>
          </cell>
        </row>
        <row r="267">
          <cell r="A267" t="str">
            <v>P030</v>
          </cell>
          <cell r="B267" t="str">
            <v>10F</v>
          </cell>
          <cell r="K267" t="str">
            <v>P030InsideDPFC</v>
          </cell>
          <cell r="L267" t="str">
            <v>Inside</v>
          </cell>
          <cell r="M267" t="str">
            <v>DPFC</v>
          </cell>
          <cell r="N267" t="str">
            <v>54.7X33</v>
          </cell>
          <cell r="O267" t="str">
            <v>21.2X29.4</v>
          </cell>
          <cell r="P267">
            <v>42000</v>
          </cell>
          <cell r="AG267">
            <v>261</v>
          </cell>
        </row>
        <row r="268">
          <cell r="A268" t="str">
            <v>P030</v>
          </cell>
          <cell r="K268" t="str">
            <v>P030Strip ad</v>
          </cell>
          <cell r="L268" t="str">
            <v>Strip ad</v>
          </cell>
          <cell r="M268" t="str">
            <v>FPFC</v>
          </cell>
          <cell r="N268" t="str">
            <v>25.7X4</v>
          </cell>
          <cell r="O268" t="str">
            <v>21.2X29.4</v>
          </cell>
          <cell r="P268">
            <v>3000</v>
          </cell>
          <cell r="AG268">
            <v>262</v>
          </cell>
        </row>
        <row r="269">
          <cell r="A269" t="str">
            <v>SAI GON DOANH NHAN CUOI TUAN</v>
          </cell>
          <cell r="K269" t="str">
            <v>SAI GON DOANH NHAN CUOI TUAN</v>
          </cell>
          <cell r="L269" t="str">
            <v>Inside</v>
          </cell>
          <cell r="M269" t="str">
            <v>HPFC</v>
          </cell>
          <cell r="N269" t="str">
            <v>19.5X13</v>
          </cell>
          <cell r="O269" t="str">
            <v>21.2X29.4</v>
          </cell>
          <cell r="P269">
            <v>17600</v>
          </cell>
          <cell r="AG269">
            <v>263</v>
          </cell>
        </row>
        <row r="270">
          <cell r="A270" t="str">
            <v>P031</v>
          </cell>
          <cell r="B270" t="str">
            <v>SANH DIEU</v>
          </cell>
          <cell r="C270">
            <v>5173073</v>
          </cell>
          <cell r="D270">
            <v>5173110</v>
          </cell>
          <cell r="E270" t="str">
            <v>12 Lo C 10B Nhieu Loc 1, F2, PN</v>
          </cell>
          <cell r="F270" t="str">
            <v>Ms Trinh 0908182487</v>
          </cell>
          <cell r="G270" t="str">
            <v>5/ Monthly</v>
          </cell>
          <cell r="H270">
            <v>40000</v>
          </cell>
          <cell r="I270">
            <v>0.5</v>
          </cell>
          <cell r="K270" t="str">
            <v>P031InsideFPFC</v>
          </cell>
          <cell r="L270" t="str">
            <v>Inside</v>
          </cell>
          <cell r="M270" t="str">
            <v>FPFC</v>
          </cell>
          <cell r="N270" t="str">
            <v>20X28</v>
          </cell>
          <cell r="O270" t="str">
            <v>21.2X29.4</v>
          </cell>
          <cell r="P270">
            <v>29700.000000000004</v>
          </cell>
          <cell r="Q270">
            <v>0.5</v>
          </cell>
          <cell r="AC270">
            <v>15</v>
          </cell>
          <cell r="AD270">
            <v>10</v>
          </cell>
          <cell r="AE270" t="str">
            <v>300 DPI</v>
          </cell>
          <cell r="AF270" t="str">
            <v>CD</v>
          </cell>
          <cell r="AG270">
            <v>264</v>
          </cell>
        </row>
        <row r="271">
          <cell r="A271" t="str">
            <v>P031</v>
          </cell>
          <cell r="B271" t="str">
            <v>10F</v>
          </cell>
          <cell r="K271" t="str">
            <v>P031Cover 2FPFC</v>
          </cell>
          <cell r="L271" t="str">
            <v>Cover 2</v>
          </cell>
          <cell r="M271" t="str">
            <v>FPFC</v>
          </cell>
          <cell r="N271" t="str">
            <v>20X28</v>
          </cell>
          <cell r="O271" t="str">
            <v>21.2X29.4</v>
          </cell>
          <cell r="P271">
            <v>51700.000000000007</v>
          </cell>
          <cell r="AG271">
            <v>265</v>
          </cell>
        </row>
        <row r="272">
          <cell r="A272" t="str">
            <v>P031</v>
          </cell>
          <cell r="K272" t="str">
            <v>P031Cover 3FPFC</v>
          </cell>
          <cell r="L272" t="str">
            <v>Cover 3</v>
          </cell>
          <cell r="M272" t="str">
            <v>FPFC</v>
          </cell>
          <cell r="N272" t="str">
            <v>20X28</v>
          </cell>
          <cell r="O272" t="str">
            <v>21.2X29.4</v>
          </cell>
          <cell r="P272">
            <v>37400</v>
          </cell>
          <cell r="AG272">
            <v>266</v>
          </cell>
        </row>
        <row r="273">
          <cell r="A273" t="str">
            <v>P031</v>
          </cell>
          <cell r="K273" t="str">
            <v>P031Cover 4FPFC</v>
          </cell>
          <cell r="L273" t="str">
            <v>Cover 4</v>
          </cell>
          <cell r="M273" t="str">
            <v>FPFC</v>
          </cell>
          <cell r="N273" t="str">
            <v>20X28</v>
          </cell>
          <cell r="O273" t="str">
            <v>21.2X29.4</v>
          </cell>
          <cell r="P273">
            <v>66000</v>
          </cell>
          <cell r="AG273">
            <v>267</v>
          </cell>
        </row>
        <row r="274">
          <cell r="A274" t="str">
            <v>P031</v>
          </cell>
          <cell r="K274" t="str">
            <v>P031FirstFPFC</v>
          </cell>
          <cell r="L274" t="str">
            <v>First</v>
          </cell>
          <cell r="M274" t="str">
            <v>FPFC</v>
          </cell>
          <cell r="N274" t="str">
            <v>20X28</v>
          </cell>
          <cell r="O274" t="str">
            <v>21.2X29.4</v>
          </cell>
          <cell r="P274">
            <v>41800</v>
          </cell>
          <cell r="AG274">
            <v>268</v>
          </cell>
        </row>
        <row r="275">
          <cell r="A275" t="str">
            <v>P031</v>
          </cell>
          <cell r="B275" t="str">
            <v>DAT MUI</v>
          </cell>
          <cell r="C275">
            <v>8578163</v>
          </cell>
          <cell r="D275">
            <v>8538500</v>
          </cell>
          <cell r="E275" t="str">
            <v>161/B1 Nguyen Tri Phuong, P8, Q5</v>
          </cell>
          <cell r="F275" t="str">
            <v>Ms Anh Thu 0903713688</v>
          </cell>
          <cell r="G275" t="str">
            <v>Thu/ weekly</v>
          </cell>
          <cell r="H275">
            <v>40000</v>
          </cell>
          <cell r="I275">
            <v>0.2</v>
          </cell>
          <cell r="K275" t="str">
            <v>P031SecondFPFC</v>
          </cell>
          <cell r="L275" t="str">
            <v>Second</v>
          </cell>
          <cell r="M275" t="str">
            <v>FPFC</v>
          </cell>
          <cell r="N275" t="str">
            <v>20X28</v>
          </cell>
          <cell r="O275" t="str">
            <v>21.2X29.4</v>
          </cell>
          <cell r="P275">
            <v>37400</v>
          </cell>
          <cell r="AC275">
            <v>15</v>
          </cell>
          <cell r="AD275">
            <v>10</v>
          </cell>
          <cell r="AE275">
            <v>150</v>
          </cell>
          <cell r="AF275" t="str">
            <v>CD</v>
          </cell>
          <cell r="AG275">
            <v>269</v>
          </cell>
        </row>
        <row r="276">
          <cell r="A276" t="str">
            <v>P031</v>
          </cell>
          <cell r="B276" t="str">
            <v>DAT MUI</v>
          </cell>
          <cell r="C276">
            <v>8578163</v>
          </cell>
          <cell r="D276">
            <v>8538500</v>
          </cell>
          <cell r="E276" t="str">
            <v>161/B1 Nguyen Tri Phuong, P8, Q5</v>
          </cell>
          <cell r="F276" t="str">
            <v>Ms Anh Thu 0903713688</v>
          </cell>
          <cell r="G276" t="str">
            <v>Thu/ weekly</v>
          </cell>
          <cell r="H276">
            <v>40000</v>
          </cell>
          <cell r="I276">
            <v>0.2</v>
          </cell>
          <cell r="K276" t="str">
            <v>P031InsideHPFC</v>
          </cell>
          <cell r="L276" t="str">
            <v>Inside</v>
          </cell>
          <cell r="M276" t="str">
            <v>HPFC</v>
          </cell>
          <cell r="N276" t="str">
            <v>19.5X13</v>
          </cell>
          <cell r="P276">
            <v>17600</v>
          </cell>
          <cell r="AC276">
            <v>15</v>
          </cell>
          <cell r="AD276">
            <v>10</v>
          </cell>
          <cell r="AE276">
            <v>150</v>
          </cell>
          <cell r="AF276" t="str">
            <v>CD</v>
          </cell>
          <cell r="AG276">
            <v>270</v>
          </cell>
        </row>
        <row r="277">
          <cell r="A277" t="str">
            <v>P031</v>
          </cell>
          <cell r="B277" t="str">
            <v>4E</v>
          </cell>
          <cell r="K277" t="str">
            <v>P031InsideVPFC</v>
          </cell>
          <cell r="L277" t="str">
            <v>Inside</v>
          </cell>
          <cell r="M277" t="str">
            <v>VPFC</v>
          </cell>
          <cell r="N277" t="str">
            <v>9.4X28</v>
          </cell>
          <cell r="O277" t="str">
            <v>42.4X29.4</v>
          </cell>
          <cell r="P277">
            <v>17600</v>
          </cell>
          <cell r="AG277">
            <v>271</v>
          </cell>
        </row>
        <row r="278">
          <cell r="A278" t="str">
            <v>P031</v>
          </cell>
          <cell r="K278" t="str">
            <v>P031Inside1/3HPFC</v>
          </cell>
          <cell r="L278" t="str">
            <v>Inside</v>
          </cell>
          <cell r="M278" t="str">
            <v>1/3HPFC</v>
          </cell>
          <cell r="N278" t="str">
            <v>19.5X8.8</v>
          </cell>
          <cell r="P278">
            <v>14300.000000000002</v>
          </cell>
          <cell r="AG278">
            <v>272</v>
          </cell>
        </row>
        <row r="279">
          <cell r="A279" t="str">
            <v>P031</v>
          </cell>
          <cell r="B279" t="str">
            <v>DAT MUI</v>
          </cell>
          <cell r="C279">
            <v>8578163</v>
          </cell>
          <cell r="D279">
            <v>8538500</v>
          </cell>
          <cell r="E279" t="str">
            <v>161/B1 Nguyen Tri Phuong, P8, Q5</v>
          </cell>
          <cell r="F279" t="str">
            <v>Ms Anh Thu 0903713688</v>
          </cell>
          <cell r="G279" t="str">
            <v>Thu/ Weekly</v>
          </cell>
          <cell r="H279">
            <v>40000</v>
          </cell>
          <cell r="I279">
            <v>0.2</v>
          </cell>
          <cell r="K279" t="str">
            <v>P031Inside1/3VPFC</v>
          </cell>
          <cell r="L279" t="str">
            <v>Inside</v>
          </cell>
          <cell r="M279" t="str">
            <v>1/3VPFC</v>
          </cell>
          <cell r="N279" t="str">
            <v>6X28</v>
          </cell>
          <cell r="P279">
            <v>14300.000000000002</v>
          </cell>
          <cell r="Q279">
            <v>0.2</v>
          </cell>
          <cell r="AC279">
            <v>15</v>
          </cell>
          <cell r="AD279">
            <v>10</v>
          </cell>
          <cell r="AE279">
            <v>150</v>
          </cell>
          <cell r="AF279" t="str">
            <v>CD</v>
          </cell>
          <cell r="AG279">
            <v>273</v>
          </cell>
        </row>
        <row r="280">
          <cell r="A280" t="str">
            <v>P031</v>
          </cell>
          <cell r="B280" t="str">
            <v>4E</v>
          </cell>
          <cell r="K280" t="str">
            <v>P031Inside2/3VPFC</v>
          </cell>
          <cell r="L280" t="str">
            <v>Inside</v>
          </cell>
          <cell r="M280" t="str">
            <v>2/3VPFC</v>
          </cell>
          <cell r="N280" t="str">
            <v>12X28</v>
          </cell>
          <cell r="P280">
            <v>24200.000000000004</v>
          </cell>
          <cell r="AG280">
            <v>274</v>
          </cell>
        </row>
        <row r="281">
          <cell r="A281" t="str">
            <v>P031</v>
          </cell>
          <cell r="K281" t="str">
            <v>P031InsideDPFC</v>
          </cell>
          <cell r="L281" t="str">
            <v>Inside</v>
          </cell>
          <cell r="M281" t="str">
            <v>DPFC</v>
          </cell>
          <cell r="N281" t="str">
            <v>41X28</v>
          </cell>
          <cell r="O281" t="str">
            <v>42.4X29.4</v>
          </cell>
          <cell r="P281">
            <v>60500.000000000007</v>
          </cell>
          <cell r="AG281">
            <v>275</v>
          </cell>
        </row>
        <row r="282">
          <cell r="A282" t="str">
            <v>SAI GON DOANH NHAN CUOI TUAN</v>
          </cell>
          <cell r="B282" t="str">
            <v>BAC SI GIA DINH</v>
          </cell>
          <cell r="E282" t="str">
            <v>50C Dang Dung, Q.1</v>
          </cell>
          <cell r="F282" t="str">
            <v>Ms Tam 0908171837</v>
          </cell>
          <cell r="G282" t="str">
            <v>Mon/ Monthly</v>
          </cell>
          <cell r="I282">
            <v>0.2</v>
          </cell>
          <cell r="K282" t="str">
            <v>SAI GON DOANH NHAN CUOI TUAN</v>
          </cell>
          <cell r="L282" t="str">
            <v>Inside</v>
          </cell>
          <cell r="M282" t="str">
            <v>FPFC</v>
          </cell>
          <cell r="N282" t="str">
            <v>18.5X26.5</v>
          </cell>
          <cell r="P282">
            <v>17500</v>
          </cell>
          <cell r="AC282">
            <v>15</v>
          </cell>
          <cell r="AD282">
            <v>10</v>
          </cell>
          <cell r="AE282">
            <v>175</v>
          </cell>
          <cell r="AF282" t="str">
            <v>CD</v>
          </cell>
          <cell r="AG282">
            <v>276</v>
          </cell>
        </row>
        <row r="283">
          <cell r="A283" t="str">
            <v>P032</v>
          </cell>
          <cell r="B283" t="str">
            <v>DAT MUI</v>
          </cell>
          <cell r="C283">
            <v>8578163</v>
          </cell>
          <cell r="D283">
            <v>8538500</v>
          </cell>
          <cell r="E283" t="str">
            <v>161/B1 Nguyen Tri Phuong, P8, Q5</v>
          </cell>
          <cell r="F283" t="str">
            <v>Ms Anh Thu 0903713688</v>
          </cell>
          <cell r="G283" t="str">
            <v>Thu/ Weekly</v>
          </cell>
          <cell r="H283">
            <v>40000</v>
          </cell>
          <cell r="I283">
            <v>0.2</v>
          </cell>
          <cell r="K283" t="str">
            <v>P032Cover 4FPFC</v>
          </cell>
          <cell r="L283" t="str">
            <v>Cover 4</v>
          </cell>
          <cell r="M283" t="str">
            <v>FPFC</v>
          </cell>
          <cell r="N283" t="str">
            <v>18.5X26.5</v>
          </cell>
          <cell r="P283">
            <v>26000</v>
          </cell>
          <cell r="Q283">
            <v>0.2</v>
          </cell>
          <cell r="AC283">
            <v>15</v>
          </cell>
          <cell r="AD283">
            <v>10</v>
          </cell>
          <cell r="AE283">
            <v>150</v>
          </cell>
          <cell r="AF283" t="str">
            <v>CD</v>
          </cell>
          <cell r="AG283">
            <v>277</v>
          </cell>
        </row>
        <row r="284">
          <cell r="A284" t="str">
            <v>P032</v>
          </cell>
          <cell r="B284" t="str">
            <v>4E</v>
          </cell>
          <cell r="K284" t="str">
            <v>P032Cover 2FPFC</v>
          </cell>
          <cell r="L284" t="str">
            <v>Cover 2</v>
          </cell>
          <cell r="M284" t="str">
            <v>FPFC</v>
          </cell>
          <cell r="N284" t="str">
            <v>18.5X26.5</v>
          </cell>
          <cell r="P284">
            <v>22000</v>
          </cell>
          <cell r="AG284">
            <v>278</v>
          </cell>
        </row>
        <row r="285">
          <cell r="A285" t="str">
            <v>P032</v>
          </cell>
          <cell r="K285" t="str">
            <v>P032Cover 3FPFC</v>
          </cell>
          <cell r="L285" t="str">
            <v>Cover 3</v>
          </cell>
          <cell r="M285" t="str">
            <v>FPFC</v>
          </cell>
          <cell r="N285" t="str">
            <v>18.5X26.5</v>
          </cell>
          <cell r="P285">
            <v>22000</v>
          </cell>
          <cell r="AG285">
            <v>279</v>
          </cell>
        </row>
        <row r="286">
          <cell r="A286" t="str">
            <v>P032</v>
          </cell>
          <cell r="B286" t="str">
            <v>BAC SI GIA DINH</v>
          </cell>
          <cell r="E286" t="str">
            <v>50C Dang Dung, Q.1</v>
          </cell>
          <cell r="F286" t="str">
            <v>Ms Tam 0908171837</v>
          </cell>
          <cell r="G286" t="str">
            <v>5/ Monthly</v>
          </cell>
          <cell r="I286">
            <v>0.2</v>
          </cell>
          <cell r="K286" t="str">
            <v>P032InsideFPFC</v>
          </cell>
          <cell r="L286" t="str">
            <v>Inside</v>
          </cell>
          <cell r="M286" t="str">
            <v>FPFC</v>
          </cell>
          <cell r="N286" t="str">
            <v>18.5X26.5</v>
          </cell>
          <cell r="P286">
            <v>17500</v>
          </cell>
          <cell r="AC286">
            <v>15</v>
          </cell>
          <cell r="AD286">
            <v>14</v>
          </cell>
          <cell r="AE286">
            <v>175</v>
          </cell>
          <cell r="AF286" t="str">
            <v>CD</v>
          </cell>
          <cell r="AG286">
            <v>280</v>
          </cell>
        </row>
        <row r="287">
          <cell r="A287" t="str">
            <v>P032</v>
          </cell>
          <cell r="B287" t="str">
            <v>8E</v>
          </cell>
          <cell r="K287" t="str">
            <v>P032InsideVPFC</v>
          </cell>
          <cell r="L287" t="str">
            <v>Inside</v>
          </cell>
          <cell r="M287" t="str">
            <v>VPFC</v>
          </cell>
          <cell r="N287" t="str">
            <v>12X17.5</v>
          </cell>
          <cell r="P287">
            <v>10000</v>
          </cell>
          <cell r="AG287">
            <v>281</v>
          </cell>
        </row>
        <row r="288">
          <cell r="A288" t="str">
            <v>P032</v>
          </cell>
          <cell r="K288" t="str">
            <v>P032InsideHPFC</v>
          </cell>
          <cell r="L288" t="str">
            <v>Inside</v>
          </cell>
          <cell r="M288" t="str">
            <v>HPFC</v>
          </cell>
          <cell r="N288" t="str">
            <v>18.5X13</v>
          </cell>
          <cell r="P288">
            <v>10000</v>
          </cell>
          <cell r="AG288">
            <v>282</v>
          </cell>
        </row>
        <row r="289">
          <cell r="A289" t="str">
            <v>DAT MUI</v>
          </cell>
          <cell r="B289" t="str">
            <v>PHU NU AP BAC</v>
          </cell>
          <cell r="C289">
            <v>8223040</v>
          </cell>
          <cell r="D289">
            <v>8232296</v>
          </cell>
          <cell r="E289" t="str">
            <v>94A Nguyen Thi Minh Khai Q3 TPHCM</v>
          </cell>
          <cell r="F289" t="str">
            <v>Mr Duc 0903724442</v>
          </cell>
          <cell r="G289" t="str">
            <v>26-30/ monthly</v>
          </cell>
          <cell r="H289">
            <v>130000</v>
          </cell>
          <cell r="K289" t="str">
            <v>DAT MUI</v>
          </cell>
          <cell r="L289" t="str">
            <v>Inside</v>
          </cell>
          <cell r="M289" t="str">
            <v>FPFC</v>
          </cell>
          <cell r="N289" t="str">
            <v>18X25</v>
          </cell>
          <cell r="P289">
            <v>13750.000000000002</v>
          </cell>
          <cell r="AC289">
            <v>15</v>
          </cell>
          <cell r="AD289">
            <v>10</v>
          </cell>
          <cell r="AE289">
            <v>150</v>
          </cell>
          <cell r="AF289" t="str">
            <v>CD</v>
          </cell>
          <cell r="AG289">
            <v>283</v>
          </cell>
        </row>
        <row r="290">
          <cell r="A290" t="str">
            <v>P033</v>
          </cell>
          <cell r="B290" t="str">
            <v>BAC SI GIA DINH</v>
          </cell>
          <cell r="C290">
            <v>8223040</v>
          </cell>
          <cell r="D290">
            <v>8232296</v>
          </cell>
          <cell r="E290" t="str">
            <v>50C Dang Dung, Q.1</v>
          </cell>
          <cell r="F290" t="str">
            <v>Ms Tam 0908171837</v>
          </cell>
          <cell r="G290" t="str">
            <v>5/ Monthly</v>
          </cell>
          <cell r="H290">
            <v>130000</v>
          </cell>
          <cell r="I290">
            <v>0.2</v>
          </cell>
          <cell r="K290" t="str">
            <v>P033Cover 4FPFC</v>
          </cell>
          <cell r="L290" t="str">
            <v>Cover 4</v>
          </cell>
          <cell r="M290" t="str">
            <v>FPFC</v>
          </cell>
          <cell r="N290" t="str">
            <v>18X25</v>
          </cell>
          <cell r="P290">
            <v>15400.000000000002</v>
          </cell>
          <cell r="AC290">
            <v>15</v>
          </cell>
          <cell r="AD290">
            <v>14</v>
          </cell>
          <cell r="AE290">
            <v>175</v>
          </cell>
          <cell r="AF290" t="str">
            <v>CD</v>
          </cell>
          <cell r="AG290">
            <v>284</v>
          </cell>
        </row>
        <row r="291">
          <cell r="A291" t="str">
            <v>P033</v>
          </cell>
          <cell r="B291" t="str">
            <v>8E</v>
          </cell>
          <cell r="K291" t="str">
            <v>P033Cover 2FPFC</v>
          </cell>
          <cell r="L291" t="str">
            <v>Cover 2</v>
          </cell>
          <cell r="M291" t="str">
            <v>FPFC</v>
          </cell>
          <cell r="N291" t="str">
            <v>18X25</v>
          </cell>
          <cell r="P291">
            <v>15400.000000000002</v>
          </cell>
          <cell r="AG291">
            <v>285</v>
          </cell>
        </row>
        <row r="292">
          <cell r="A292" t="str">
            <v>P033</v>
          </cell>
          <cell r="K292" t="str">
            <v>P033Cover 3FPFC</v>
          </cell>
          <cell r="L292" t="str">
            <v>Cover 3</v>
          </cell>
          <cell r="M292" t="str">
            <v>FPFC</v>
          </cell>
          <cell r="N292" t="str">
            <v>18X25</v>
          </cell>
          <cell r="P292">
            <v>15400.000000000002</v>
          </cell>
          <cell r="AG292">
            <v>286</v>
          </cell>
        </row>
        <row r="293">
          <cell r="A293" t="str">
            <v>P033</v>
          </cell>
          <cell r="B293" t="str">
            <v>PHU NU AP BAC</v>
          </cell>
          <cell r="C293">
            <v>8223040</v>
          </cell>
          <cell r="D293">
            <v>8232296</v>
          </cell>
          <cell r="E293" t="str">
            <v>94A Nguyen Thi Minh Khai Q3 TPHCM</v>
          </cell>
          <cell r="F293" t="str">
            <v>Mr Duc 0903724442</v>
          </cell>
          <cell r="G293" t="str">
            <v>26-30/ Monthly</v>
          </cell>
          <cell r="H293">
            <v>130000</v>
          </cell>
          <cell r="K293" t="str">
            <v>P033InsideFPFC</v>
          </cell>
          <cell r="L293" t="str">
            <v>Inside</v>
          </cell>
          <cell r="M293" t="str">
            <v>FPFC</v>
          </cell>
          <cell r="N293" t="str">
            <v>18X25</v>
          </cell>
          <cell r="P293">
            <v>13750.000000000002</v>
          </cell>
          <cell r="AC293">
            <v>15</v>
          </cell>
          <cell r="AD293">
            <v>10</v>
          </cell>
          <cell r="AE293">
            <v>150</v>
          </cell>
          <cell r="AF293" t="str">
            <v>CD</v>
          </cell>
          <cell r="AG293">
            <v>287</v>
          </cell>
        </row>
        <row r="294">
          <cell r="A294" t="str">
            <v>P033</v>
          </cell>
          <cell r="B294" t="str">
            <v>9E</v>
          </cell>
          <cell r="K294" t="str">
            <v>P033InsideQPFC</v>
          </cell>
          <cell r="L294" t="str">
            <v>Inside</v>
          </cell>
          <cell r="M294" t="str">
            <v>QPFC</v>
          </cell>
          <cell r="N294" t="str">
            <v>17X3</v>
          </cell>
          <cell r="P294">
            <v>2750</v>
          </cell>
          <cell r="AG294">
            <v>288</v>
          </cell>
        </row>
        <row r="295">
          <cell r="A295" t="str">
            <v>P033</v>
          </cell>
          <cell r="B295" t="str">
            <v>AN NINH THU DO</v>
          </cell>
          <cell r="C295" t="str">
            <v>04 9426355</v>
          </cell>
          <cell r="D295">
            <v>49426354</v>
          </cell>
          <cell r="E295" t="str">
            <v>82 Ly Thuong Kiet- Hoan Kiem HN</v>
          </cell>
          <cell r="F295" t="str">
            <v>Mr Hung 0903209895</v>
          </cell>
          <cell r="G295" t="str">
            <v>T2-T7</v>
          </cell>
          <cell r="H295">
            <v>80000</v>
          </cell>
          <cell r="I295">
            <v>0.25</v>
          </cell>
          <cell r="K295" t="str">
            <v>P033AdvertorialFPFC</v>
          </cell>
          <cell r="L295" t="str">
            <v>Advertorial</v>
          </cell>
          <cell r="M295" t="str">
            <v>FPFC</v>
          </cell>
          <cell r="N295" t="str">
            <v>18X25</v>
          </cell>
          <cell r="P295">
            <v>8250</v>
          </cell>
          <cell r="AC295">
            <v>15</v>
          </cell>
          <cell r="AD295">
            <v>10</v>
          </cell>
          <cell r="AE295">
            <v>150</v>
          </cell>
          <cell r="AF295" t="str">
            <v>CD</v>
          </cell>
          <cell r="AG295">
            <v>289</v>
          </cell>
        </row>
        <row r="296">
          <cell r="A296" t="str">
            <v>BAC SI GIA DINH</v>
          </cell>
          <cell r="B296" t="str">
            <v>AN NINH THU DO</v>
          </cell>
          <cell r="C296" t="str">
            <v>04 9426355</v>
          </cell>
          <cell r="D296">
            <v>49426354</v>
          </cell>
          <cell r="E296" t="str">
            <v>82 Ly Thuong Kiet- Hoan Kiem HN</v>
          </cell>
          <cell r="F296" t="str">
            <v>Mr Hung 0903209895</v>
          </cell>
          <cell r="G296" t="str">
            <v>T2-T7</v>
          </cell>
          <cell r="H296">
            <v>80000</v>
          </cell>
          <cell r="I296">
            <v>0.25</v>
          </cell>
          <cell r="K296" t="str">
            <v>BAC SI GIA DINH</v>
          </cell>
          <cell r="L296" t="str">
            <v>Inside</v>
          </cell>
          <cell r="M296" t="str">
            <v>FPFC</v>
          </cell>
          <cell r="N296" t="str">
            <v>26X38</v>
          </cell>
          <cell r="P296">
            <v>16000</v>
          </cell>
          <cell r="Q296">
            <v>0.25</v>
          </cell>
          <cell r="AC296">
            <v>15</v>
          </cell>
          <cell r="AD296">
            <v>10</v>
          </cell>
          <cell r="AE296">
            <v>150</v>
          </cell>
          <cell r="AF296" t="str">
            <v>CD</v>
          </cell>
          <cell r="AG296">
            <v>290</v>
          </cell>
        </row>
        <row r="297">
          <cell r="A297" t="str">
            <v>P034</v>
          </cell>
          <cell r="B297" t="str">
            <v>PHU NU AP BAC</v>
          </cell>
          <cell r="C297">
            <v>8223040</v>
          </cell>
          <cell r="D297">
            <v>8232296</v>
          </cell>
          <cell r="E297" t="str">
            <v>94A Nguyen Thi Minh Khai Q3 TPHCM</v>
          </cell>
          <cell r="F297" t="str">
            <v>Mr Duc 0903724442</v>
          </cell>
          <cell r="G297" t="str">
            <v>26-30/ Monthly</v>
          </cell>
          <cell r="H297">
            <v>130000</v>
          </cell>
          <cell r="K297" t="str">
            <v>P034Cover 4FPFC</v>
          </cell>
          <cell r="L297" t="str">
            <v>Cover 4</v>
          </cell>
          <cell r="M297" t="str">
            <v>FPFC</v>
          </cell>
          <cell r="N297" t="str">
            <v>13X24</v>
          </cell>
          <cell r="P297">
            <v>15400.000000000002</v>
          </cell>
          <cell r="AC297">
            <v>15</v>
          </cell>
          <cell r="AD297">
            <v>10</v>
          </cell>
          <cell r="AE297">
            <v>150</v>
          </cell>
          <cell r="AF297" t="str">
            <v>CD</v>
          </cell>
          <cell r="AG297">
            <v>291</v>
          </cell>
        </row>
        <row r="298">
          <cell r="A298" t="str">
            <v>P034</v>
          </cell>
          <cell r="B298" t="str">
            <v>9E</v>
          </cell>
          <cell r="K298" t="str">
            <v>P034Cover 2FPFC</v>
          </cell>
          <cell r="L298" t="str">
            <v>Cover 2</v>
          </cell>
          <cell r="M298" t="str">
            <v>FPFC</v>
          </cell>
          <cell r="N298" t="str">
            <v>13X24</v>
          </cell>
          <cell r="P298">
            <v>12100.000000000002</v>
          </cell>
          <cell r="AG298">
            <v>292</v>
          </cell>
        </row>
        <row r="299">
          <cell r="A299" t="str">
            <v>P034</v>
          </cell>
          <cell r="B299" t="str">
            <v>AN NINH THU DO</v>
          </cell>
          <cell r="C299" t="str">
            <v>04 9426355</v>
          </cell>
          <cell r="D299">
            <v>49426354</v>
          </cell>
          <cell r="E299" t="str">
            <v>82 Ly Thuong Kiet- Hoan Kiem HN</v>
          </cell>
          <cell r="F299" t="str">
            <v>Mr Hung 0903209895</v>
          </cell>
          <cell r="G299" t="str">
            <v>Mon- Sat</v>
          </cell>
          <cell r="H299">
            <v>80000</v>
          </cell>
          <cell r="I299">
            <v>0.25</v>
          </cell>
          <cell r="K299" t="str">
            <v>P034Cover 3FPFC</v>
          </cell>
          <cell r="L299" t="str">
            <v>Cover 3</v>
          </cell>
          <cell r="M299" t="str">
            <v>FPFC</v>
          </cell>
          <cell r="N299" t="str">
            <v>13X24</v>
          </cell>
          <cell r="P299">
            <v>12100.000000000002</v>
          </cell>
          <cell r="Q299">
            <v>0.25</v>
          </cell>
          <cell r="AC299">
            <v>15</v>
          </cell>
          <cell r="AD299">
            <v>10</v>
          </cell>
          <cell r="AE299">
            <v>150</v>
          </cell>
          <cell r="AF299" t="str">
            <v>CD</v>
          </cell>
          <cell r="AG299">
            <v>293</v>
          </cell>
        </row>
        <row r="300">
          <cell r="A300" t="str">
            <v>P034</v>
          </cell>
          <cell r="B300" t="str">
            <v>10E</v>
          </cell>
          <cell r="C300">
            <v>8232420</v>
          </cell>
          <cell r="E300" t="str">
            <v>259 Hai Ba Trung, Q1, Tp.HCM</v>
          </cell>
          <cell r="F300" t="str">
            <v>Ms Thuy 0909 350540</v>
          </cell>
          <cell r="G300" t="str">
            <v>Thu/ Weekly</v>
          </cell>
          <cell r="I300">
            <v>0.4</v>
          </cell>
          <cell r="J300">
            <v>0.15</v>
          </cell>
          <cell r="K300" t="str">
            <v>P034InsideFPFC</v>
          </cell>
          <cell r="L300" t="str">
            <v>Inside</v>
          </cell>
          <cell r="M300" t="str">
            <v>FPFC</v>
          </cell>
          <cell r="N300" t="str">
            <v>13X24</v>
          </cell>
          <cell r="O300" t="str">
            <v>23.3X29.6</v>
          </cell>
          <cell r="P300">
            <v>8800</v>
          </cell>
          <cell r="Q300">
            <v>0.3</v>
          </cell>
          <cell r="R300">
            <v>0.15</v>
          </cell>
          <cell r="AC300">
            <v>15</v>
          </cell>
          <cell r="AD300">
            <v>10</v>
          </cell>
          <cell r="AE300" t="str">
            <v>300 DPI</v>
          </cell>
          <cell r="AF300" t="str">
            <v>CD- DPF/ CMYK</v>
          </cell>
          <cell r="AG300">
            <v>294</v>
          </cell>
        </row>
        <row r="301">
          <cell r="A301" t="str">
            <v>P034</v>
          </cell>
          <cell r="B301" t="str">
            <v>THE GIOI VAN HOA</v>
          </cell>
          <cell r="C301">
            <v>8232420</v>
          </cell>
          <cell r="E301" t="str">
            <v>259 Hai Ba Trung, Q1, Tp.HCM</v>
          </cell>
          <cell r="F301" t="str">
            <v>Ms Thuy 0909 350540</v>
          </cell>
          <cell r="G301" t="str">
            <v>Thu/ Weekly</v>
          </cell>
          <cell r="I301">
            <v>0.4</v>
          </cell>
          <cell r="J301">
            <v>0.15</v>
          </cell>
          <cell r="K301" t="str">
            <v>P034InsideHPFC</v>
          </cell>
          <cell r="L301" t="str">
            <v>Inside</v>
          </cell>
          <cell r="M301" t="str">
            <v>HPFC</v>
          </cell>
          <cell r="N301" t="str">
            <v>12X11</v>
          </cell>
          <cell r="O301" t="str">
            <v>23.3X29.6</v>
          </cell>
          <cell r="P301">
            <v>4620</v>
          </cell>
          <cell r="Q301">
            <v>0.3</v>
          </cell>
          <cell r="R301">
            <v>0.15</v>
          </cell>
          <cell r="AC301">
            <v>15</v>
          </cell>
          <cell r="AD301">
            <v>10</v>
          </cell>
          <cell r="AE301" t="str">
            <v>300 DPI</v>
          </cell>
          <cell r="AF301" t="str">
            <v>CD- DPF/ CMYK</v>
          </cell>
          <cell r="AG301">
            <v>295</v>
          </cell>
        </row>
        <row r="302">
          <cell r="A302" t="str">
            <v>PHU NU AP BAC</v>
          </cell>
          <cell r="B302" t="str">
            <v>11E</v>
          </cell>
          <cell r="K302" t="str">
            <v>PHU NU AP BAC</v>
          </cell>
          <cell r="L302" t="str">
            <v>Cover 3</v>
          </cell>
          <cell r="M302" t="str">
            <v>FPFC</v>
          </cell>
          <cell r="N302" t="str">
            <v>21X27</v>
          </cell>
          <cell r="O302" t="str">
            <v>23.3X29.6</v>
          </cell>
          <cell r="P302">
            <v>34100</v>
          </cell>
          <cell r="AG302">
            <v>296</v>
          </cell>
        </row>
        <row r="303">
          <cell r="A303" t="str">
            <v>P035</v>
          </cell>
          <cell r="B303" t="str">
            <v>AN NINH THU DO</v>
          </cell>
          <cell r="C303" t="str">
            <v>04 9426355</v>
          </cell>
          <cell r="D303">
            <v>49426354</v>
          </cell>
          <cell r="E303" t="str">
            <v>82 Ly Thuong Kiet- Hoan Kiem HN</v>
          </cell>
          <cell r="F303" t="str">
            <v>Mr Hung 0903209895</v>
          </cell>
          <cell r="G303" t="str">
            <v>Mon- Sat</v>
          </cell>
          <cell r="H303">
            <v>80000</v>
          </cell>
          <cell r="I303">
            <v>0.25</v>
          </cell>
          <cell r="K303" t="str">
            <v>P035InsideFPFC</v>
          </cell>
          <cell r="L303" t="str">
            <v>Inside</v>
          </cell>
          <cell r="M303" t="str">
            <v>FPFC</v>
          </cell>
          <cell r="N303" t="str">
            <v>26X38</v>
          </cell>
          <cell r="O303" t="str">
            <v>23.3X29.6</v>
          </cell>
          <cell r="P303">
            <v>16000</v>
          </cell>
          <cell r="Q303">
            <v>0.25</v>
          </cell>
          <cell r="AC303">
            <v>15</v>
          </cell>
          <cell r="AD303">
            <v>10</v>
          </cell>
          <cell r="AE303">
            <v>150</v>
          </cell>
          <cell r="AF303" t="str">
            <v>CD</v>
          </cell>
          <cell r="AG303">
            <v>297</v>
          </cell>
        </row>
        <row r="304">
          <cell r="A304" t="str">
            <v>P035</v>
          </cell>
          <cell r="B304" t="str">
            <v>10E</v>
          </cell>
          <cell r="C304">
            <v>8232420</v>
          </cell>
          <cell r="E304" t="str">
            <v>259 Hai Ba Trung, Q1, Tp.HCM</v>
          </cell>
          <cell r="F304" t="str">
            <v>Ms Thuy 0909 350540</v>
          </cell>
          <cell r="G304" t="str">
            <v>Thu/ Weekly</v>
          </cell>
          <cell r="I304">
            <v>0.4</v>
          </cell>
          <cell r="J304">
            <v>0.15</v>
          </cell>
          <cell r="K304" t="str">
            <v>P035LastFPFC</v>
          </cell>
          <cell r="L304" t="str">
            <v>Last</v>
          </cell>
          <cell r="M304" t="str">
            <v>FPFC</v>
          </cell>
          <cell r="N304" t="str">
            <v>26X38</v>
          </cell>
          <cell r="O304" t="str">
            <v>23.3X29.6</v>
          </cell>
          <cell r="P304">
            <v>16000</v>
          </cell>
          <cell r="Q304">
            <v>0.3</v>
          </cell>
          <cell r="R304">
            <v>0.15</v>
          </cell>
          <cell r="AC304">
            <v>15</v>
          </cell>
          <cell r="AD304">
            <v>10</v>
          </cell>
          <cell r="AE304" t="str">
            <v>300 DPI</v>
          </cell>
          <cell r="AF304" t="str">
            <v>CD- DPF/ CMYK</v>
          </cell>
          <cell r="AG304">
            <v>298</v>
          </cell>
        </row>
        <row r="305">
          <cell r="A305" t="str">
            <v>P035</v>
          </cell>
          <cell r="B305" t="str">
            <v>11E</v>
          </cell>
          <cell r="K305" t="str">
            <v>P035InsideHPFC</v>
          </cell>
          <cell r="L305" t="str">
            <v>Inside</v>
          </cell>
          <cell r="M305" t="str">
            <v>HPFC</v>
          </cell>
          <cell r="N305" t="str">
            <v>26X18.5</v>
          </cell>
          <cell r="O305" t="str">
            <v>23.3X29.6</v>
          </cell>
          <cell r="P305">
            <v>8500</v>
          </cell>
          <cell r="AG305">
            <v>299</v>
          </cell>
        </row>
        <row r="306">
          <cell r="A306" t="str">
            <v>P035</v>
          </cell>
          <cell r="K306" t="str">
            <v>P035InsideJPFC</v>
          </cell>
          <cell r="L306" t="str">
            <v>Inside</v>
          </cell>
          <cell r="M306" t="str">
            <v>JPFC</v>
          </cell>
          <cell r="N306" t="str">
            <v>18.5X26</v>
          </cell>
          <cell r="O306" t="str">
            <v>23.3X29.6</v>
          </cell>
          <cell r="P306">
            <v>10000</v>
          </cell>
          <cell r="AG306">
            <v>300</v>
          </cell>
        </row>
        <row r="307">
          <cell r="A307" t="str">
            <v>AN NINH THU DO</v>
          </cell>
          <cell r="K307" t="str">
            <v>AN NINH THU DO</v>
          </cell>
          <cell r="L307" t="str">
            <v>Inside</v>
          </cell>
          <cell r="M307" t="str">
            <v>2/3VPFC</v>
          </cell>
          <cell r="N307" t="str">
            <v>13.6X27</v>
          </cell>
          <cell r="O307" t="str">
            <v>23.3X29.6</v>
          </cell>
          <cell r="P307">
            <v>31900.000000000004</v>
          </cell>
          <cell r="AG307">
            <v>301</v>
          </cell>
        </row>
        <row r="308">
          <cell r="A308" t="str">
            <v>P036</v>
          </cell>
          <cell r="B308" t="str">
            <v>THE GIOI VAN HOA</v>
          </cell>
          <cell r="C308">
            <v>8232420</v>
          </cell>
          <cell r="E308" t="str">
            <v>259 Hai Ba Trung, Q1, Tp.HCM</v>
          </cell>
          <cell r="F308" t="str">
            <v>Ms Thuy 0909 350540</v>
          </cell>
          <cell r="G308" t="str">
            <v>Thu/ Weekly</v>
          </cell>
          <cell r="I308">
            <v>0.4</v>
          </cell>
          <cell r="J308">
            <v>0.15</v>
          </cell>
          <cell r="K308" t="str">
            <v>P036Cover 2FPFC</v>
          </cell>
          <cell r="L308" t="str">
            <v>Cover 2</v>
          </cell>
          <cell r="M308" t="str">
            <v>FPFC</v>
          </cell>
          <cell r="N308" t="str">
            <v>21X27</v>
          </cell>
          <cell r="O308" t="str">
            <v>23.3X29.6</v>
          </cell>
          <cell r="P308">
            <v>38500</v>
          </cell>
          <cell r="Q308">
            <v>0.3</v>
          </cell>
          <cell r="R308">
            <v>0.15</v>
          </cell>
          <cell r="AC308">
            <v>15</v>
          </cell>
          <cell r="AD308">
            <v>10</v>
          </cell>
          <cell r="AE308" t="str">
            <v>300 DPI</v>
          </cell>
          <cell r="AF308" t="str">
            <v>CD- DPF/ CMYK</v>
          </cell>
          <cell r="AG308">
            <v>302</v>
          </cell>
        </row>
        <row r="309">
          <cell r="A309" t="str">
            <v>P036</v>
          </cell>
          <cell r="B309" t="str">
            <v>11E</v>
          </cell>
          <cell r="K309" t="str">
            <v>P036Cover 3FPFC</v>
          </cell>
          <cell r="L309" t="str">
            <v>Cover 3</v>
          </cell>
          <cell r="M309" t="str">
            <v>FPFC</v>
          </cell>
          <cell r="N309" t="str">
            <v>21X27</v>
          </cell>
          <cell r="O309" t="str">
            <v>23.3X29.6</v>
          </cell>
          <cell r="P309">
            <v>34100</v>
          </cell>
          <cell r="AG309">
            <v>303</v>
          </cell>
        </row>
        <row r="310">
          <cell r="A310" t="str">
            <v>P036</v>
          </cell>
          <cell r="K310" t="str">
            <v>P036Cover 4FPFC</v>
          </cell>
          <cell r="L310" t="str">
            <v>Cover 4</v>
          </cell>
          <cell r="M310" t="str">
            <v>FPFC</v>
          </cell>
          <cell r="N310" t="str">
            <v>21X27</v>
          </cell>
          <cell r="O310" t="str">
            <v>23.3X29.6</v>
          </cell>
          <cell r="P310">
            <v>46200.000000000007</v>
          </cell>
          <cell r="AG310">
            <v>304</v>
          </cell>
        </row>
        <row r="311">
          <cell r="A311" t="str">
            <v>P036</v>
          </cell>
          <cell r="K311" t="str">
            <v>P036InsideFPFC</v>
          </cell>
          <cell r="L311" t="str">
            <v>Inside</v>
          </cell>
          <cell r="M311" t="str">
            <v>FPFC</v>
          </cell>
          <cell r="N311" t="str">
            <v>21X27</v>
          </cell>
          <cell r="O311" t="str">
            <v>23.3X29.6</v>
          </cell>
          <cell r="P311">
            <v>31900.000000000004</v>
          </cell>
          <cell r="AG311">
            <v>305</v>
          </cell>
        </row>
        <row r="312">
          <cell r="A312" t="str">
            <v>P036</v>
          </cell>
          <cell r="K312" t="str">
            <v>P036FirstFPFC</v>
          </cell>
          <cell r="L312" t="str">
            <v>First</v>
          </cell>
          <cell r="M312" t="str">
            <v>FPFC</v>
          </cell>
          <cell r="N312" t="str">
            <v>21X27</v>
          </cell>
          <cell r="O312" t="str">
            <v>23.3X29.6</v>
          </cell>
          <cell r="P312">
            <v>38280</v>
          </cell>
          <cell r="AG312">
            <v>306</v>
          </cell>
        </row>
        <row r="313">
          <cell r="A313" t="str">
            <v>P036</v>
          </cell>
          <cell r="K313" t="str">
            <v>P036Inside2/3HPFC</v>
          </cell>
          <cell r="L313" t="str">
            <v>Inside</v>
          </cell>
          <cell r="M313" t="str">
            <v>2/3HPFC</v>
          </cell>
          <cell r="N313" t="str">
            <v>21X17.6</v>
          </cell>
          <cell r="O313" t="str">
            <v>44.6X29.6</v>
          </cell>
          <cell r="P313">
            <v>31900.000000000004</v>
          </cell>
          <cell r="AG313">
            <v>307</v>
          </cell>
        </row>
        <row r="314">
          <cell r="A314" t="str">
            <v>P036</v>
          </cell>
          <cell r="B314" t="str">
            <v>Phu Nu VN</v>
          </cell>
          <cell r="C314">
            <v>9302117</v>
          </cell>
          <cell r="D314">
            <v>9303430</v>
          </cell>
          <cell r="E314" t="str">
            <v>38 vo VanTan Q3</v>
          </cell>
          <cell r="F314" t="str">
            <v>Ms Thu 0913722394</v>
          </cell>
          <cell r="G314" t="str">
            <v>2,4,6/ Weekly</v>
          </cell>
          <cell r="H314">
            <v>100000</v>
          </cell>
          <cell r="I314">
            <v>0.2</v>
          </cell>
          <cell r="K314" t="str">
            <v>P036Inside2/3VPFC</v>
          </cell>
          <cell r="L314" t="str">
            <v>Inside</v>
          </cell>
          <cell r="M314" t="str">
            <v>2/3VPFC</v>
          </cell>
          <cell r="N314" t="str">
            <v>13.6X27</v>
          </cell>
          <cell r="P314">
            <v>31900.000000000004</v>
          </cell>
          <cell r="AC314">
            <v>15</v>
          </cell>
          <cell r="AD314">
            <v>10</v>
          </cell>
          <cell r="AE314">
            <v>150</v>
          </cell>
          <cell r="AF314" t="str">
            <v>CD</v>
          </cell>
          <cell r="AG314">
            <v>308</v>
          </cell>
        </row>
        <row r="315">
          <cell r="A315" t="str">
            <v>P036</v>
          </cell>
          <cell r="B315" t="str">
            <v>Phu Nu VN</v>
          </cell>
          <cell r="C315">
            <v>9302117</v>
          </cell>
          <cell r="D315">
            <v>9303430</v>
          </cell>
          <cell r="E315" t="str">
            <v>38 vo VanTan Q3</v>
          </cell>
          <cell r="F315" t="str">
            <v>Ms Thu 0913722394</v>
          </cell>
          <cell r="G315" t="str">
            <v>2,4,6/ Weekly</v>
          </cell>
          <cell r="H315">
            <v>100000</v>
          </cell>
          <cell r="I315">
            <v>0.2</v>
          </cell>
          <cell r="K315" t="str">
            <v>P036InsideHPFC</v>
          </cell>
          <cell r="L315" t="str">
            <v>Inside</v>
          </cell>
          <cell r="M315" t="str">
            <v>HPFC</v>
          </cell>
          <cell r="N315" t="str">
            <v>21X13</v>
          </cell>
          <cell r="P315">
            <v>20900</v>
          </cell>
          <cell r="AC315">
            <v>15</v>
          </cell>
          <cell r="AD315">
            <v>10</v>
          </cell>
          <cell r="AE315">
            <v>150</v>
          </cell>
          <cell r="AF315" t="str">
            <v>CD</v>
          </cell>
          <cell r="AG315">
            <v>309</v>
          </cell>
        </row>
        <row r="316">
          <cell r="A316" t="str">
            <v>P036</v>
          </cell>
          <cell r="B316" t="str">
            <v>6D</v>
          </cell>
          <cell r="K316" t="str">
            <v>P036InsideVPFC</v>
          </cell>
          <cell r="L316" t="str">
            <v>Inside</v>
          </cell>
          <cell r="M316" t="str">
            <v>VPFC</v>
          </cell>
          <cell r="N316" t="str">
            <v>10X27</v>
          </cell>
          <cell r="O316" t="str">
            <v>44.6X29.6</v>
          </cell>
          <cell r="P316">
            <v>20900</v>
          </cell>
          <cell r="AG316">
            <v>310</v>
          </cell>
        </row>
        <row r="317">
          <cell r="A317" t="str">
            <v>P036</v>
          </cell>
          <cell r="K317" t="str">
            <v>P036Inside1/3HPFC</v>
          </cell>
          <cell r="L317" t="str">
            <v>Inside</v>
          </cell>
          <cell r="M317" t="str">
            <v>1/3HPFC</v>
          </cell>
          <cell r="N317" t="str">
            <v>21X8.4</v>
          </cell>
          <cell r="P317">
            <v>16500</v>
          </cell>
          <cell r="AG317">
            <v>311</v>
          </cell>
        </row>
        <row r="318">
          <cell r="A318" t="str">
            <v>P036</v>
          </cell>
          <cell r="B318" t="str">
            <v>Phu Nu VN</v>
          </cell>
          <cell r="C318">
            <v>9302117</v>
          </cell>
          <cell r="D318">
            <v>9303430</v>
          </cell>
          <cell r="E318" t="str">
            <v>38 vo VanTan Q3</v>
          </cell>
          <cell r="F318" t="str">
            <v>Ms Thu 0913722394</v>
          </cell>
          <cell r="G318" t="str">
            <v>Mon, Wed, Fri/ Weekly</v>
          </cell>
          <cell r="H318">
            <v>100000</v>
          </cell>
          <cell r="I318">
            <v>0.2</v>
          </cell>
          <cell r="K318" t="str">
            <v>P036Inside1/3VPFC</v>
          </cell>
          <cell r="L318" t="str">
            <v>Inside</v>
          </cell>
          <cell r="M318" t="str">
            <v>1/3VPFC</v>
          </cell>
          <cell r="N318" t="str">
            <v>6.4X27</v>
          </cell>
          <cell r="P318">
            <v>16500</v>
          </cell>
          <cell r="AC318">
            <v>15</v>
          </cell>
          <cell r="AD318">
            <v>10</v>
          </cell>
          <cell r="AE318">
            <v>150</v>
          </cell>
          <cell r="AF318" t="str">
            <v>CD</v>
          </cell>
          <cell r="AG318">
            <v>312</v>
          </cell>
        </row>
        <row r="319">
          <cell r="A319" t="str">
            <v>P036</v>
          </cell>
          <cell r="B319" t="str">
            <v>Phu Nu VN Mag.</v>
          </cell>
          <cell r="C319">
            <v>9302117</v>
          </cell>
          <cell r="D319">
            <v>9303430</v>
          </cell>
          <cell r="E319" t="str">
            <v>38 vo VanTan Q3</v>
          </cell>
          <cell r="F319" t="str">
            <v>Ms Thu 0913722394</v>
          </cell>
          <cell r="G319" t="str">
            <v>2,4,6/ Weekly</v>
          </cell>
          <cell r="H319">
            <v>80000</v>
          </cell>
          <cell r="I319">
            <v>0.2</v>
          </cell>
          <cell r="K319" t="str">
            <v>P036Inside1/4HPFC</v>
          </cell>
          <cell r="L319" t="str">
            <v>Inside</v>
          </cell>
          <cell r="M319" t="str">
            <v>1/4HPFC</v>
          </cell>
          <cell r="N319" t="str">
            <v>21X6</v>
          </cell>
          <cell r="P319">
            <v>13200.000000000002</v>
          </cell>
          <cell r="AC319">
            <v>15</v>
          </cell>
          <cell r="AD319">
            <v>10</v>
          </cell>
          <cell r="AE319">
            <v>150</v>
          </cell>
          <cell r="AF319" t="str">
            <v>CD</v>
          </cell>
          <cell r="AG319">
            <v>313</v>
          </cell>
        </row>
        <row r="320">
          <cell r="A320" t="str">
            <v>P036</v>
          </cell>
          <cell r="B320" t="str">
            <v>6D</v>
          </cell>
          <cell r="K320" t="str">
            <v>P036InsideDPFC</v>
          </cell>
          <cell r="L320" t="str">
            <v>Inside</v>
          </cell>
          <cell r="M320" t="str">
            <v>DPFC</v>
          </cell>
          <cell r="N320" t="str">
            <v>44X27</v>
          </cell>
          <cell r="O320" t="str">
            <v>44.6X29.6</v>
          </cell>
          <cell r="P320">
            <v>58300.000000000007</v>
          </cell>
          <cell r="AG320">
            <v>314</v>
          </cell>
        </row>
        <row r="321">
          <cell r="A321" t="str">
            <v>P036</v>
          </cell>
          <cell r="K321" t="str">
            <v>P036InsideGatefold</v>
          </cell>
          <cell r="L321" t="str">
            <v>Inside</v>
          </cell>
          <cell r="M321" t="str">
            <v>Gatefold</v>
          </cell>
          <cell r="N321" t="str">
            <v>44X27</v>
          </cell>
          <cell r="O321" t="str">
            <v>46.1X29.6</v>
          </cell>
          <cell r="P321" t="str">
            <v>FPFC-dis+FPFC*2</v>
          </cell>
          <cell r="AG321">
            <v>315</v>
          </cell>
        </row>
        <row r="322">
          <cell r="A322" t="str">
            <v>THE GIOI VAN HOA</v>
          </cell>
          <cell r="B322" t="str">
            <v>Phu Nu VN</v>
          </cell>
          <cell r="C322">
            <v>9302117</v>
          </cell>
          <cell r="D322">
            <v>9303430</v>
          </cell>
          <cell r="E322" t="str">
            <v>38 vo VanTan Q3</v>
          </cell>
          <cell r="F322" t="str">
            <v>Ms Thu 0913722394</v>
          </cell>
          <cell r="G322" t="str">
            <v>Mon, Wed, Fri/ Weekly</v>
          </cell>
          <cell r="H322">
            <v>100000</v>
          </cell>
          <cell r="I322">
            <v>0.2</v>
          </cell>
          <cell r="K322" t="str">
            <v>THE GIOI VAN HOA</v>
          </cell>
          <cell r="L322" t="str">
            <v>Inside</v>
          </cell>
          <cell r="M322" t="str">
            <v>FPFC</v>
          </cell>
          <cell r="N322" t="str">
            <v>26X38</v>
          </cell>
          <cell r="P322">
            <v>14000</v>
          </cell>
          <cell r="AC322">
            <v>15</v>
          </cell>
          <cell r="AD322">
            <v>10</v>
          </cell>
          <cell r="AE322">
            <v>150</v>
          </cell>
          <cell r="AF322" t="str">
            <v>CD</v>
          </cell>
          <cell r="AG322">
            <v>316</v>
          </cell>
        </row>
        <row r="323">
          <cell r="A323" t="str">
            <v>P037</v>
          </cell>
          <cell r="B323" t="str">
            <v>Phu Nu VN</v>
          </cell>
          <cell r="C323">
            <v>9302117</v>
          </cell>
          <cell r="D323">
            <v>9303430</v>
          </cell>
          <cell r="E323" t="str">
            <v>38 vo VanTan Q3</v>
          </cell>
          <cell r="F323" t="str">
            <v>Ms Thu 0913722394</v>
          </cell>
          <cell r="G323" t="str">
            <v>Mon, Wed, Fri/ Weekly</v>
          </cell>
          <cell r="H323">
            <v>100000</v>
          </cell>
          <cell r="I323">
            <v>0.2</v>
          </cell>
          <cell r="K323" t="str">
            <v>P037InsideFPFC</v>
          </cell>
          <cell r="L323" t="str">
            <v>Inside</v>
          </cell>
          <cell r="M323" t="str">
            <v>FPFC</v>
          </cell>
          <cell r="N323" t="str">
            <v>26X38</v>
          </cell>
          <cell r="P323">
            <v>14000</v>
          </cell>
          <cell r="AC323">
            <v>15</v>
          </cell>
          <cell r="AD323">
            <v>10</v>
          </cell>
          <cell r="AE323">
            <v>150</v>
          </cell>
          <cell r="AF323" t="str">
            <v>CD</v>
          </cell>
          <cell r="AG323">
            <v>317</v>
          </cell>
        </row>
        <row r="324">
          <cell r="A324" t="str">
            <v>P037</v>
          </cell>
          <cell r="B324" t="str">
            <v>6D</v>
          </cell>
          <cell r="C324">
            <v>9305921</v>
          </cell>
          <cell r="D324">
            <v>9303332</v>
          </cell>
          <cell r="E324" t="str">
            <v>221 Phan Van Han P17, Binh Thanh</v>
          </cell>
          <cell r="F324" t="str">
            <v>Ms Hien 098 8883754</v>
          </cell>
          <cell r="G324" t="str">
            <v>Tue, Fri, Sat</v>
          </cell>
          <cell r="H324">
            <v>230000</v>
          </cell>
          <cell r="I324">
            <v>0.25</v>
          </cell>
          <cell r="K324" t="str">
            <v>P037InsideHPFC</v>
          </cell>
          <cell r="L324" t="str">
            <v>Inside</v>
          </cell>
          <cell r="M324" t="str">
            <v>HPFC</v>
          </cell>
          <cell r="N324" t="str">
            <v>26X18.5</v>
          </cell>
          <cell r="P324">
            <v>7000</v>
          </cell>
          <cell r="AC324">
            <v>15</v>
          </cell>
          <cell r="AD324">
            <v>10</v>
          </cell>
          <cell r="AE324">
            <v>120</v>
          </cell>
          <cell r="AF324" t="str">
            <v>CD</v>
          </cell>
          <cell r="AG324">
            <v>318</v>
          </cell>
        </row>
        <row r="325">
          <cell r="A325" t="str">
            <v>P037</v>
          </cell>
          <cell r="B325" t="str">
            <v>THE THAO VAN HOA</v>
          </cell>
          <cell r="C325">
            <v>9305921</v>
          </cell>
          <cell r="D325">
            <v>9303332</v>
          </cell>
          <cell r="E325" t="str">
            <v>221 Phan Van Han P17, Binh Thanh</v>
          </cell>
          <cell r="F325" t="str">
            <v>Ms Hien 098 8883754</v>
          </cell>
          <cell r="G325" t="str">
            <v>Tue, Fri, Sat</v>
          </cell>
          <cell r="H325">
            <v>230000</v>
          </cell>
          <cell r="I325">
            <v>0.25</v>
          </cell>
          <cell r="K325" t="str">
            <v>P037FirstFPFC</v>
          </cell>
          <cell r="L325" t="str">
            <v>First</v>
          </cell>
          <cell r="M325" t="str">
            <v>FPFC</v>
          </cell>
          <cell r="N325" t="str">
            <v>26X18.5</v>
          </cell>
          <cell r="P325">
            <v>15400.000000000002</v>
          </cell>
          <cell r="AC325">
            <v>15</v>
          </cell>
          <cell r="AD325">
            <v>10</v>
          </cell>
          <cell r="AE325">
            <v>120</v>
          </cell>
          <cell r="AF325" t="str">
            <v>CD</v>
          </cell>
          <cell r="AG325">
            <v>319</v>
          </cell>
        </row>
        <row r="326">
          <cell r="A326" t="str">
            <v>Phu Nu VN</v>
          </cell>
          <cell r="B326" t="str">
            <v>Phu Nu VN Mag.</v>
          </cell>
          <cell r="C326">
            <v>9302117</v>
          </cell>
          <cell r="D326">
            <v>9303430</v>
          </cell>
          <cell r="E326" t="str">
            <v>38 vo VanTan Q3</v>
          </cell>
          <cell r="F326" t="str">
            <v>Ms Thu 0913722394</v>
          </cell>
          <cell r="G326" t="str">
            <v>Mon, Wed, Fri/ Weekly</v>
          </cell>
          <cell r="H326">
            <v>80000</v>
          </cell>
          <cell r="I326">
            <v>0.2</v>
          </cell>
          <cell r="K326" t="str">
            <v>Phu Nu VN</v>
          </cell>
          <cell r="L326" t="str">
            <v>Inside</v>
          </cell>
          <cell r="M326" t="str">
            <v>FPFC</v>
          </cell>
          <cell r="N326" t="str">
            <v>18X26.5</v>
          </cell>
          <cell r="P326">
            <v>7000</v>
          </cell>
          <cell r="AC326">
            <v>15</v>
          </cell>
          <cell r="AD326">
            <v>10</v>
          </cell>
          <cell r="AE326">
            <v>150</v>
          </cell>
          <cell r="AF326" t="str">
            <v>CD</v>
          </cell>
          <cell r="AG326">
            <v>320</v>
          </cell>
        </row>
        <row r="327">
          <cell r="A327" t="str">
            <v>P038</v>
          </cell>
          <cell r="B327" t="str">
            <v>Phu Nu VN Mag.</v>
          </cell>
          <cell r="C327">
            <v>9302117</v>
          </cell>
          <cell r="D327">
            <v>9303430</v>
          </cell>
          <cell r="E327" t="str">
            <v>38 vo VanTan Q3</v>
          </cell>
          <cell r="F327" t="str">
            <v>Ms Thu 0913722394</v>
          </cell>
          <cell r="G327" t="str">
            <v>Mon, Wed, Fri/ Weekly</v>
          </cell>
          <cell r="H327">
            <v>80000</v>
          </cell>
          <cell r="I327">
            <v>0.2</v>
          </cell>
          <cell r="K327" t="str">
            <v>P038InsideFPFC</v>
          </cell>
          <cell r="L327" t="str">
            <v>Inside</v>
          </cell>
          <cell r="M327" t="str">
            <v>FPFC</v>
          </cell>
          <cell r="N327" t="str">
            <v>18X26.5</v>
          </cell>
          <cell r="P327">
            <v>7000</v>
          </cell>
          <cell r="AC327">
            <v>15</v>
          </cell>
          <cell r="AD327">
            <v>10</v>
          </cell>
          <cell r="AE327">
            <v>150</v>
          </cell>
          <cell r="AF327" t="str">
            <v>CD</v>
          </cell>
          <cell r="AG327">
            <v>321</v>
          </cell>
        </row>
        <row r="328">
          <cell r="A328" t="str">
            <v>P038</v>
          </cell>
          <cell r="B328" t="str">
            <v>6D</v>
          </cell>
          <cell r="C328">
            <v>9305921</v>
          </cell>
          <cell r="D328">
            <v>9303332</v>
          </cell>
          <cell r="E328" t="str">
            <v>221 Phan Van Han P17, Binh Thanh</v>
          </cell>
          <cell r="F328" t="str">
            <v>Ms Hien 098 8883754</v>
          </cell>
          <cell r="G328" t="str">
            <v>Tue, Fri, Sat/ Weekly</v>
          </cell>
          <cell r="H328">
            <v>230000</v>
          </cell>
          <cell r="I328">
            <v>0.25</v>
          </cell>
          <cell r="K328" t="str">
            <v>P038Cover 4FPFC</v>
          </cell>
          <cell r="L328" t="str">
            <v>Cover 4</v>
          </cell>
          <cell r="M328" t="str">
            <v>FPFC</v>
          </cell>
          <cell r="N328" t="str">
            <v>18X26.5</v>
          </cell>
          <cell r="P328">
            <v>8000</v>
          </cell>
          <cell r="Q328">
            <v>0.2</v>
          </cell>
          <cell r="AC328">
            <v>15</v>
          </cell>
          <cell r="AD328">
            <v>10</v>
          </cell>
          <cell r="AE328">
            <v>120</v>
          </cell>
          <cell r="AF328" t="str">
            <v>CD</v>
          </cell>
          <cell r="AG328">
            <v>322</v>
          </cell>
        </row>
        <row r="329">
          <cell r="A329" t="str">
            <v>P038</v>
          </cell>
          <cell r="B329" t="str">
            <v>8D</v>
          </cell>
          <cell r="K329" t="str">
            <v>P038Cover 2FPFC</v>
          </cell>
          <cell r="L329" t="str">
            <v>Cover 2</v>
          </cell>
          <cell r="M329" t="str">
            <v>FPFC</v>
          </cell>
          <cell r="N329" t="str">
            <v>18X26.5</v>
          </cell>
          <cell r="P329">
            <v>7500</v>
          </cell>
          <cell r="AG329">
            <v>323</v>
          </cell>
        </row>
        <row r="330">
          <cell r="A330" t="str">
            <v>P038</v>
          </cell>
          <cell r="K330" t="str">
            <v>P038Cover 3FPFC</v>
          </cell>
          <cell r="L330" t="str">
            <v>Cover 3</v>
          </cell>
          <cell r="M330" t="str">
            <v>FPFC</v>
          </cell>
          <cell r="N330" t="str">
            <v>18X26.5</v>
          </cell>
          <cell r="P330">
            <v>7500</v>
          </cell>
          <cell r="AG330">
            <v>324</v>
          </cell>
        </row>
        <row r="331">
          <cell r="A331" t="str">
            <v>P038</v>
          </cell>
          <cell r="K331" t="str">
            <v>P038FirstFPFC</v>
          </cell>
          <cell r="L331" t="str">
            <v>First</v>
          </cell>
          <cell r="M331" t="str">
            <v>FPFC</v>
          </cell>
          <cell r="N331" t="str">
            <v>18X26.5</v>
          </cell>
          <cell r="P331">
            <v>7700.0000000000009</v>
          </cell>
          <cell r="AG331">
            <v>325</v>
          </cell>
        </row>
        <row r="332">
          <cell r="A332" t="str">
            <v>Phu Nu VN Mag.</v>
          </cell>
          <cell r="B332" t="str">
            <v>THE THAO VAN HOA</v>
          </cell>
          <cell r="C332">
            <v>9305921</v>
          </cell>
          <cell r="D332">
            <v>9303332</v>
          </cell>
          <cell r="E332" t="str">
            <v>221 Phan Van Han P17, Binh Thanh</v>
          </cell>
          <cell r="F332" t="str">
            <v>Ms Hien 098 8883754</v>
          </cell>
          <cell r="G332" t="str">
            <v>Tue, Fri, Sat/ Weekly</v>
          </cell>
          <cell r="H332">
            <v>230000</v>
          </cell>
          <cell r="I332">
            <v>0.25</v>
          </cell>
          <cell r="J332">
            <v>0.15</v>
          </cell>
          <cell r="K332" t="str">
            <v>Phu Nu VN Mag.</v>
          </cell>
          <cell r="L332" t="str">
            <v>Cover 4</v>
          </cell>
          <cell r="M332" t="str">
            <v>FPFC</v>
          </cell>
          <cell r="N332" t="str">
            <v>18X26</v>
          </cell>
          <cell r="O332" t="str">
            <v>23.3X29.6</v>
          </cell>
          <cell r="P332">
            <v>12000</v>
          </cell>
          <cell r="Q332">
            <v>0.2</v>
          </cell>
          <cell r="R332">
            <v>0.15</v>
          </cell>
          <cell r="AC332">
            <v>15</v>
          </cell>
          <cell r="AD332">
            <v>10</v>
          </cell>
          <cell r="AE332">
            <v>120</v>
          </cell>
          <cell r="AF332" t="str">
            <v>CD</v>
          </cell>
          <cell r="AG332">
            <v>326</v>
          </cell>
        </row>
        <row r="333">
          <cell r="A333" t="str">
            <v>P039</v>
          </cell>
          <cell r="B333" t="str">
            <v>THE THAO VAN HOA</v>
          </cell>
          <cell r="C333">
            <v>9305921</v>
          </cell>
          <cell r="D333">
            <v>9303332</v>
          </cell>
          <cell r="E333" t="str">
            <v>221 Phan Van Han P17, Binh Thanh</v>
          </cell>
          <cell r="F333" t="str">
            <v>Ms Hien 098 8883754</v>
          </cell>
          <cell r="G333" t="str">
            <v>Tue, Fri, Sat/ Weekly</v>
          </cell>
          <cell r="H333">
            <v>230000</v>
          </cell>
          <cell r="I333">
            <v>0.25</v>
          </cell>
          <cell r="J333">
            <v>0.15</v>
          </cell>
          <cell r="K333" t="str">
            <v>P039Cover 4FPFC</v>
          </cell>
          <cell r="L333" t="str">
            <v>Cover 4</v>
          </cell>
          <cell r="M333" t="str">
            <v>FPFC</v>
          </cell>
          <cell r="N333" t="str">
            <v>18X26</v>
          </cell>
          <cell r="O333" t="str">
            <v>23.3X29.6</v>
          </cell>
          <cell r="P333">
            <v>12000</v>
          </cell>
          <cell r="Q333">
            <v>0.2</v>
          </cell>
          <cell r="R333">
            <v>0.15</v>
          </cell>
          <cell r="AC333">
            <v>15</v>
          </cell>
          <cell r="AD333">
            <v>10</v>
          </cell>
          <cell r="AE333">
            <v>120</v>
          </cell>
          <cell r="AF333" t="str">
            <v>CD</v>
          </cell>
          <cell r="AG333">
            <v>327</v>
          </cell>
        </row>
        <row r="334">
          <cell r="A334" t="str">
            <v>P039</v>
          </cell>
          <cell r="B334" t="str">
            <v>8D</v>
          </cell>
          <cell r="K334" t="str">
            <v>P039InsideFPFC</v>
          </cell>
          <cell r="L334" t="str">
            <v>Inside</v>
          </cell>
          <cell r="M334" t="str">
            <v>FPFC</v>
          </cell>
          <cell r="N334" t="str">
            <v>18X26</v>
          </cell>
          <cell r="O334" t="str">
            <v>23.3X29.6</v>
          </cell>
          <cell r="P334">
            <v>10000</v>
          </cell>
          <cell r="AG334">
            <v>328</v>
          </cell>
        </row>
        <row r="335">
          <cell r="A335" t="str">
            <v>P039</v>
          </cell>
          <cell r="K335" t="str">
            <v>P039InsideHPFC</v>
          </cell>
          <cell r="L335" t="str">
            <v>Inside</v>
          </cell>
          <cell r="M335" t="str">
            <v>HPFC</v>
          </cell>
          <cell r="N335" t="str">
            <v>18X13</v>
          </cell>
          <cell r="O335" t="str">
            <v>23.3X29.6</v>
          </cell>
          <cell r="P335">
            <v>5000</v>
          </cell>
          <cell r="AG335">
            <v>329</v>
          </cell>
        </row>
        <row r="336">
          <cell r="A336" t="str">
            <v>P039</v>
          </cell>
          <cell r="B336" t="str">
            <v>TIEP THI &amp; GIA DINH M</v>
          </cell>
          <cell r="C336">
            <v>8232417</v>
          </cell>
          <cell r="E336" t="str">
            <v>259 Hai Ba Trung, Q1, Tp.HCM</v>
          </cell>
          <cell r="F336" t="str">
            <v>Ms Lan Anh 0913866440</v>
          </cell>
          <cell r="G336" t="str">
            <v>25/ Monthly</v>
          </cell>
          <cell r="I336">
            <v>0.4</v>
          </cell>
          <cell r="J336">
            <v>0.15</v>
          </cell>
          <cell r="K336" t="str">
            <v>P039InsideVPFC</v>
          </cell>
          <cell r="L336" t="str">
            <v>Inside</v>
          </cell>
          <cell r="M336" t="str">
            <v>VPFC</v>
          </cell>
          <cell r="N336" t="str">
            <v>9X26</v>
          </cell>
          <cell r="O336" t="str">
            <v>23.3X29.6</v>
          </cell>
          <cell r="P336">
            <v>5000</v>
          </cell>
          <cell r="Q336">
            <v>0.3</v>
          </cell>
          <cell r="R336">
            <v>0.15</v>
          </cell>
          <cell r="AC336">
            <v>15</v>
          </cell>
          <cell r="AD336">
            <v>14</v>
          </cell>
          <cell r="AE336" t="str">
            <v>350 DPI</v>
          </cell>
          <cell r="AF336" t="str">
            <v>CD- DPF/ EPF</v>
          </cell>
          <cell r="AG336">
            <v>330</v>
          </cell>
        </row>
        <row r="337">
          <cell r="A337" t="str">
            <v>P039</v>
          </cell>
          <cell r="B337" t="str">
            <v>10D</v>
          </cell>
          <cell r="K337" t="str">
            <v>P039InsideQPFC</v>
          </cell>
          <cell r="L337" t="str">
            <v>Inside</v>
          </cell>
          <cell r="M337" t="str">
            <v>QPFC</v>
          </cell>
          <cell r="N337" t="str">
            <v>9X13</v>
          </cell>
          <cell r="O337" t="str">
            <v>23.3X29.6</v>
          </cell>
          <cell r="P337">
            <v>3000</v>
          </cell>
          <cell r="AG337">
            <v>331</v>
          </cell>
        </row>
        <row r="338">
          <cell r="A338" t="str">
            <v>P039</v>
          </cell>
          <cell r="K338" t="str">
            <v>P039Strip ad</v>
          </cell>
          <cell r="L338" t="str">
            <v>Strip ad</v>
          </cell>
          <cell r="M338" t="str">
            <v>FPFC</v>
          </cell>
          <cell r="N338" t="str">
            <v>18X3</v>
          </cell>
          <cell r="O338" t="str">
            <v>23.3X29.6</v>
          </cell>
          <cell r="P338">
            <v>1200</v>
          </cell>
          <cell r="AG338">
            <v>332</v>
          </cell>
        </row>
        <row r="339">
          <cell r="A339" t="str">
            <v>P039</v>
          </cell>
          <cell r="K339" t="str">
            <v>P039FirstFPFC</v>
          </cell>
          <cell r="L339" t="str">
            <v>First</v>
          </cell>
          <cell r="M339" t="str">
            <v>FPFC</v>
          </cell>
          <cell r="N339" t="str">
            <v>18X26</v>
          </cell>
          <cell r="O339" t="str">
            <v>23.3X29.6</v>
          </cell>
          <cell r="P339">
            <v>12000</v>
          </cell>
          <cell r="AG339">
            <v>333</v>
          </cell>
        </row>
        <row r="340">
          <cell r="A340" t="str">
            <v>THE THAO VAN HOA</v>
          </cell>
          <cell r="B340" t="str">
            <v>TIEP THI &amp; GIA DINH M</v>
          </cell>
          <cell r="C340">
            <v>8232417</v>
          </cell>
          <cell r="E340" t="str">
            <v>259 Hai Ba Trung, Q1, Tp.HCM</v>
          </cell>
          <cell r="F340" t="str">
            <v>Ms Lan Anh 0913866440</v>
          </cell>
          <cell r="G340" t="str">
            <v>25/ Monthly</v>
          </cell>
          <cell r="I340">
            <v>0.4</v>
          </cell>
          <cell r="J340">
            <v>0.15</v>
          </cell>
          <cell r="K340" t="str">
            <v>THE THAO VAN HOA</v>
          </cell>
          <cell r="L340" t="str">
            <v>Inside</v>
          </cell>
          <cell r="M340" t="str">
            <v>VPFC</v>
          </cell>
          <cell r="N340" t="str">
            <v>10X27</v>
          </cell>
          <cell r="O340" t="str">
            <v>23.3X29.6</v>
          </cell>
          <cell r="P340">
            <v>26400.000000000004</v>
          </cell>
          <cell r="Q340">
            <v>0.3</v>
          </cell>
          <cell r="R340">
            <v>0.15</v>
          </cell>
          <cell r="AC340">
            <v>15</v>
          </cell>
          <cell r="AD340">
            <v>14</v>
          </cell>
          <cell r="AE340" t="str">
            <v>350 DPI</v>
          </cell>
          <cell r="AF340" t="str">
            <v>CD- DPF/ EPF</v>
          </cell>
          <cell r="AG340">
            <v>334</v>
          </cell>
        </row>
        <row r="341">
          <cell r="A341" t="str">
            <v>P040</v>
          </cell>
          <cell r="B341" t="str">
            <v>TIEP THI &amp; GIA DINH M</v>
          </cell>
          <cell r="C341">
            <v>8232417</v>
          </cell>
          <cell r="E341" t="str">
            <v>259 Hai Ba Trung, Q1, Tp.HCM</v>
          </cell>
          <cell r="F341" t="str">
            <v>Ms Lan Anh 0913866440</v>
          </cell>
          <cell r="G341" t="str">
            <v>25/ Monthly</v>
          </cell>
          <cell r="I341">
            <v>0.4</v>
          </cell>
          <cell r="J341">
            <v>0.15</v>
          </cell>
          <cell r="K341" t="str">
            <v>P040Cover 2FPFC</v>
          </cell>
          <cell r="L341" t="str">
            <v>Cover 2</v>
          </cell>
          <cell r="M341" t="str">
            <v>FPFC</v>
          </cell>
          <cell r="N341" t="str">
            <v>21X27</v>
          </cell>
          <cell r="O341" t="str">
            <v>23.3X29.6</v>
          </cell>
          <cell r="P341">
            <v>47300.000000000007</v>
          </cell>
          <cell r="Q341">
            <v>0.3</v>
          </cell>
          <cell r="R341">
            <v>0.15</v>
          </cell>
          <cell r="AC341">
            <v>15</v>
          </cell>
          <cell r="AD341">
            <v>14</v>
          </cell>
          <cell r="AE341" t="str">
            <v>350 DPI</v>
          </cell>
          <cell r="AF341" t="str">
            <v>CD- DPF/ EPF</v>
          </cell>
          <cell r="AG341">
            <v>335</v>
          </cell>
        </row>
        <row r="342">
          <cell r="A342" t="str">
            <v>P040</v>
          </cell>
          <cell r="B342" t="str">
            <v>10D</v>
          </cell>
          <cell r="K342" t="str">
            <v>P040Cover 3FPFC</v>
          </cell>
          <cell r="L342" t="str">
            <v>Cover 3</v>
          </cell>
          <cell r="M342" t="str">
            <v>FPFC</v>
          </cell>
          <cell r="N342" t="str">
            <v>21X27</v>
          </cell>
          <cell r="O342" t="str">
            <v>23.3X29.6</v>
          </cell>
          <cell r="P342">
            <v>41800</v>
          </cell>
          <cell r="AG342">
            <v>336</v>
          </cell>
        </row>
        <row r="343">
          <cell r="A343" t="str">
            <v>P040</v>
          </cell>
          <cell r="K343" t="str">
            <v>P040Cover 4FPFC</v>
          </cell>
          <cell r="L343" t="str">
            <v>Cover 4</v>
          </cell>
          <cell r="M343" t="str">
            <v>FPFC</v>
          </cell>
          <cell r="N343" t="str">
            <v>21X27</v>
          </cell>
          <cell r="O343" t="str">
            <v>23.3X29.6</v>
          </cell>
          <cell r="P343">
            <v>57200.000000000007</v>
          </cell>
          <cell r="AG343">
            <v>337</v>
          </cell>
        </row>
        <row r="344">
          <cell r="A344" t="str">
            <v>P040</v>
          </cell>
          <cell r="K344" t="str">
            <v>P040InsideFPFC</v>
          </cell>
          <cell r="L344" t="str">
            <v>Inside</v>
          </cell>
          <cell r="M344" t="str">
            <v>FPFC</v>
          </cell>
          <cell r="N344" t="str">
            <v>21X27</v>
          </cell>
          <cell r="O344" t="str">
            <v>23.3X29.6</v>
          </cell>
          <cell r="P344">
            <v>39600</v>
          </cell>
          <cell r="AG344">
            <v>338</v>
          </cell>
        </row>
        <row r="345">
          <cell r="A345" t="str">
            <v>P040</v>
          </cell>
          <cell r="K345" t="str">
            <v>P040Inside2/3VPFC</v>
          </cell>
          <cell r="L345" t="str">
            <v>Inside</v>
          </cell>
          <cell r="M345" t="str">
            <v>2/3VPFC</v>
          </cell>
          <cell r="N345" t="str">
            <v>13.6X27</v>
          </cell>
          <cell r="O345" t="str">
            <v>46.6X29.6</v>
          </cell>
          <cell r="P345">
            <v>39600</v>
          </cell>
          <cell r="AG345">
            <v>339</v>
          </cell>
        </row>
        <row r="346">
          <cell r="A346" t="str">
            <v>P040</v>
          </cell>
          <cell r="K346" t="str">
            <v>P040Inside2/3HPFC</v>
          </cell>
          <cell r="L346" t="str">
            <v>Inside</v>
          </cell>
          <cell r="M346" t="str">
            <v>2/3HPFC</v>
          </cell>
          <cell r="N346" t="str">
            <v>21X17.6</v>
          </cell>
          <cell r="O346" t="str">
            <v>23.3X29.6</v>
          </cell>
          <cell r="P346">
            <v>39600</v>
          </cell>
          <cell r="AG346">
            <v>340</v>
          </cell>
        </row>
        <row r="347">
          <cell r="A347" t="str">
            <v>P040</v>
          </cell>
          <cell r="B347" t="str">
            <v>CAM NANG MUA SAM</v>
          </cell>
          <cell r="C347">
            <v>8634953</v>
          </cell>
          <cell r="D347">
            <v>8634954</v>
          </cell>
          <cell r="E347" t="str">
            <v>781/A12 Le Hong Phong, P12, Q10</v>
          </cell>
          <cell r="F347" t="str">
            <v>Ms Huong 0908474047</v>
          </cell>
          <cell r="G347" t="str">
            <v>5,15,25/ Month</v>
          </cell>
          <cell r="I347">
            <v>0.25</v>
          </cell>
          <cell r="K347" t="str">
            <v>P040InsideHPFC</v>
          </cell>
          <cell r="L347" t="str">
            <v>Inside</v>
          </cell>
          <cell r="M347" t="str">
            <v>HPFC</v>
          </cell>
          <cell r="N347" t="str">
            <v>21X13</v>
          </cell>
          <cell r="P347">
            <v>26400.000000000004</v>
          </cell>
          <cell r="AC347">
            <v>15</v>
          </cell>
          <cell r="AD347">
            <v>10</v>
          </cell>
          <cell r="AE347" t="str">
            <v>350 DPI</v>
          </cell>
          <cell r="AF347" t="str">
            <v>CD</v>
          </cell>
          <cell r="AG347">
            <v>341</v>
          </cell>
        </row>
        <row r="348">
          <cell r="A348" t="str">
            <v>P040</v>
          </cell>
          <cell r="B348" t="str">
            <v>CAM NANG MUA SAM</v>
          </cell>
          <cell r="C348">
            <v>8634953</v>
          </cell>
          <cell r="D348">
            <v>8634954</v>
          </cell>
          <cell r="E348" t="str">
            <v>781/A12 Le Hong Phong, P12, Q10</v>
          </cell>
          <cell r="F348" t="str">
            <v>Ms Huong 0908474047</v>
          </cell>
          <cell r="G348" t="str">
            <v>5,15,25/ Month</v>
          </cell>
          <cell r="I348">
            <v>0.25</v>
          </cell>
          <cell r="K348" t="str">
            <v>P040InsideVPFC</v>
          </cell>
          <cell r="L348" t="str">
            <v>Inside</v>
          </cell>
          <cell r="M348" t="str">
            <v>VPFC</v>
          </cell>
          <cell r="N348" t="str">
            <v>10X27</v>
          </cell>
          <cell r="O348" t="str">
            <v>46.6X29.6</v>
          </cell>
          <cell r="P348">
            <v>26400.000000000004</v>
          </cell>
          <cell r="AC348">
            <v>15</v>
          </cell>
          <cell r="AD348">
            <v>10</v>
          </cell>
          <cell r="AE348" t="str">
            <v>350 DPI</v>
          </cell>
          <cell r="AF348" t="str">
            <v>CD</v>
          </cell>
          <cell r="AG348">
            <v>342</v>
          </cell>
        </row>
        <row r="349">
          <cell r="A349" t="str">
            <v>P040</v>
          </cell>
          <cell r="B349" t="str">
            <v>12D</v>
          </cell>
          <cell r="K349" t="str">
            <v>P040Inside1/3HPFC</v>
          </cell>
          <cell r="L349" t="str">
            <v>Inside</v>
          </cell>
          <cell r="M349" t="str">
            <v>1/3HPFC</v>
          </cell>
          <cell r="N349" t="str">
            <v>21X8.4</v>
          </cell>
          <cell r="O349" t="str">
            <v>23.3X29.6</v>
          </cell>
          <cell r="P349">
            <v>19800</v>
          </cell>
          <cell r="AG349">
            <v>343</v>
          </cell>
        </row>
        <row r="350">
          <cell r="A350" t="str">
            <v>P040</v>
          </cell>
          <cell r="K350" t="str">
            <v>P040Inside1/3VPFC</v>
          </cell>
          <cell r="L350" t="str">
            <v>Inside</v>
          </cell>
          <cell r="M350" t="str">
            <v>1/3VPFC</v>
          </cell>
          <cell r="N350" t="str">
            <v>6.4X27</v>
          </cell>
          <cell r="P350">
            <v>19800</v>
          </cell>
          <cell r="AG350">
            <v>344</v>
          </cell>
        </row>
        <row r="351">
          <cell r="A351" t="str">
            <v>P040</v>
          </cell>
          <cell r="B351" t="str">
            <v>CAM NANG MUA SAM</v>
          </cell>
          <cell r="C351">
            <v>8634953</v>
          </cell>
          <cell r="D351">
            <v>8634954</v>
          </cell>
          <cell r="E351" t="str">
            <v>781/A12 Le Hong Phong, P12, Q10</v>
          </cell>
          <cell r="F351" t="str">
            <v>Ms Huong 0908474047</v>
          </cell>
          <cell r="G351" t="str">
            <v>5,15,25/ Month</v>
          </cell>
          <cell r="I351">
            <v>0.25</v>
          </cell>
          <cell r="K351" t="str">
            <v>P040Inside1/4HPFC</v>
          </cell>
          <cell r="L351" t="str">
            <v>Inside</v>
          </cell>
          <cell r="M351" t="str">
            <v>1/4HPFC</v>
          </cell>
          <cell r="N351" t="str">
            <v>21X6</v>
          </cell>
          <cell r="P351">
            <v>15950.000000000002</v>
          </cell>
          <cell r="Q351">
            <v>0.2</v>
          </cell>
          <cell r="R351">
            <v>0.15</v>
          </cell>
          <cell r="AC351">
            <v>15</v>
          </cell>
          <cell r="AD351">
            <v>10</v>
          </cell>
          <cell r="AE351" t="str">
            <v>350 DPI</v>
          </cell>
          <cell r="AF351" t="str">
            <v>CD</v>
          </cell>
          <cell r="AG351">
            <v>345</v>
          </cell>
        </row>
        <row r="352">
          <cell r="A352" t="str">
            <v>P040</v>
          </cell>
          <cell r="B352" t="str">
            <v>12D</v>
          </cell>
          <cell r="K352" t="str">
            <v>P040InsideQPFC</v>
          </cell>
          <cell r="L352" t="str">
            <v>Inside</v>
          </cell>
          <cell r="M352" t="str">
            <v>QPFC</v>
          </cell>
          <cell r="N352" t="str">
            <v>10X13</v>
          </cell>
          <cell r="O352" t="str">
            <v>46.6X29.6</v>
          </cell>
          <cell r="P352">
            <v>15950.000000000002</v>
          </cell>
          <cell r="AG352">
            <v>346</v>
          </cell>
        </row>
        <row r="353">
          <cell r="A353" t="str">
            <v>P040</v>
          </cell>
          <cell r="K353" t="str">
            <v>P040InsideDPFC</v>
          </cell>
          <cell r="L353" t="str">
            <v>Inside</v>
          </cell>
          <cell r="M353" t="str">
            <v>DPFC</v>
          </cell>
          <cell r="N353" t="str">
            <v>44X27</v>
          </cell>
          <cell r="O353" t="str">
            <v>46.6X29.6</v>
          </cell>
          <cell r="P353">
            <v>71500</v>
          </cell>
          <cell r="AG353">
            <v>347</v>
          </cell>
        </row>
        <row r="354">
          <cell r="A354" t="str">
            <v>P040</v>
          </cell>
          <cell r="K354" t="str">
            <v>P040FirstFPFC</v>
          </cell>
          <cell r="L354" t="str">
            <v>First</v>
          </cell>
          <cell r="M354" t="str">
            <v>FPFC</v>
          </cell>
          <cell r="N354" t="str">
            <v>21X27</v>
          </cell>
          <cell r="O354" t="str">
            <v>23.3X29.6</v>
          </cell>
          <cell r="P354">
            <v>47520</v>
          </cell>
          <cell r="AG354">
            <v>348</v>
          </cell>
        </row>
        <row r="355">
          <cell r="A355" t="str">
            <v>TIEP THI &amp; GIA DINH M</v>
          </cell>
          <cell r="B355" t="str">
            <v>CAM NANG MUA SAM</v>
          </cell>
          <cell r="C355">
            <v>8634953</v>
          </cell>
          <cell r="D355">
            <v>8634954</v>
          </cell>
          <cell r="E355" t="str">
            <v>781/A12 Le Hong Phong, P12, Q10</v>
          </cell>
          <cell r="F355" t="str">
            <v>Ms Huong 0908474047</v>
          </cell>
          <cell r="G355" t="str">
            <v>5,15,25/ Monthly</v>
          </cell>
          <cell r="I355">
            <v>0.25</v>
          </cell>
          <cell r="K355" t="str">
            <v>TIEP THI &amp; GIA DINH M</v>
          </cell>
          <cell r="L355" t="str">
            <v>Cover 2</v>
          </cell>
          <cell r="M355" t="str">
            <v>FPFC</v>
          </cell>
          <cell r="N355" t="str">
            <v>23X27</v>
          </cell>
          <cell r="P355">
            <v>39000</v>
          </cell>
          <cell r="Q355">
            <v>0.2</v>
          </cell>
          <cell r="R355">
            <v>0.15</v>
          </cell>
          <cell r="AC355">
            <v>15</v>
          </cell>
          <cell r="AD355">
            <v>10</v>
          </cell>
          <cell r="AE355" t="str">
            <v>350 DPI</v>
          </cell>
          <cell r="AF355" t="str">
            <v>CD</v>
          </cell>
          <cell r="AG355">
            <v>349</v>
          </cell>
        </row>
        <row r="356">
          <cell r="A356" t="str">
            <v>P041</v>
          </cell>
          <cell r="B356" t="str">
            <v>CAM NANG MUA SAM</v>
          </cell>
          <cell r="C356">
            <v>8634953</v>
          </cell>
          <cell r="D356">
            <v>8634954</v>
          </cell>
          <cell r="E356" t="str">
            <v>781/A12 Le Hong Phong, P12, Q10</v>
          </cell>
          <cell r="F356" t="str">
            <v>Ms Huong 0908474047</v>
          </cell>
          <cell r="G356" t="str">
            <v>5,15,25/ Monthly</v>
          </cell>
          <cell r="I356">
            <v>0.25</v>
          </cell>
          <cell r="K356" t="str">
            <v>P041Cover 2FPFC</v>
          </cell>
          <cell r="L356" t="str">
            <v>Cover 2</v>
          </cell>
          <cell r="M356" t="str">
            <v>FPFC</v>
          </cell>
          <cell r="N356" t="str">
            <v>23X27</v>
          </cell>
          <cell r="P356">
            <v>39000</v>
          </cell>
          <cell r="Q356">
            <v>0.2</v>
          </cell>
          <cell r="R356">
            <v>0.15</v>
          </cell>
          <cell r="AC356">
            <v>15</v>
          </cell>
          <cell r="AD356">
            <v>10</v>
          </cell>
          <cell r="AE356" t="str">
            <v>350 DPI</v>
          </cell>
          <cell r="AF356" t="str">
            <v>CD</v>
          </cell>
          <cell r="AG356">
            <v>350</v>
          </cell>
        </row>
        <row r="357">
          <cell r="A357" t="str">
            <v>P041</v>
          </cell>
          <cell r="B357" t="str">
            <v>12D</v>
          </cell>
          <cell r="K357" t="str">
            <v>P041Cover 3FPFC</v>
          </cell>
          <cell r="L357" t="str">
            <v>Cover 3</v>
          </cell>
          <cell r="M357" t="str">
            <v>FPFC</v>
          </cell>
          <cell r="N357" t="str">
            <v>23X27</v>
          </cell>
          <cell r="P357">
            <v>36000</v>
          </cell>
          <cell r="AG357">
            <v>351</v>
          </cell>
        </row>
        <row r="358">
          <cell r="A358" t="str">
            <v>P041</v>
          </cell>
          <cell r="K358" t="str">
            <v>P041Cover 4FPFC</v>
          </cell>
          <cell r="L358" t="str">
            <v>Cover 4</v>
          </cell>
          <cell r="M358" t="str">
            <v>FPFC</v>
          </cell>
          <cell r="N358" t="str">
            <v>23X27</v>
          </cell>
          <cell r="P358">
            <v>49000</v>
          </cell>
          <cell r="AG358">
            <v>352</v>
          </cell>
        </row>
        <row r="359">
          <cell r="A359" t="str">
            <v>P041</v>
          </cell>
          <cell r="K359" t="str">
            <v>P041FirstFPFC</v>
          </cell>
          <cell r="L359" t="str">
            <v>First</v>
          </cell>
          <cell r="M359" t="str">
            <v>FPFC</v>
          </cell>
          <cell r="N359" t="str">
            <v>21.4X25.2</v>
          </cell>
          <cell r="P359">
            <v>25000</v>
          </cell>
          <cell r="AG359">
            <v>353</v>
          </cell>
        </row>
        <row r="360">
          <cell r="A360" t="str">
            <v>P041</v>
          </cell>
          <cell r="K360" t="str">
            <v>P041InsideFPFC</v>
          </cell>
          <cell r="L360" t="str">
            <v>Inside</v>
          </cell>
          <cell r="M360" t="str">
            <v>FPFC</v>
          </cell>
          <cell r="N360" t="str">
            <v>21.4X25.2</v>
          </cell>
          <cell r="P360">
            <v>16000</v>
          </cell>
          <cell r="AG360">
            <v>354</v>
          </cell>
        </row>
        <row r="361">
          <cell r="A361" t="str">
            <v>P041</v>
          </cell>
          <cell r="B361" t="str">
            <v>HANOI MOI</v>
          </cell>
          <cell r="C361" t="str">
            <v>04 7545379</v>
          </cell>
          <cell r="D361" t="str">
            <v>04 7545378</v>
          </cell>
          <cell r="E361" t="str">
            <v>Vcom: Lau 3, 221B Tran Dang Ninh, cau Giay, HN</v>
          </cell>
          <cell r="F361" t="str">
            <v>Ms Thao 0989585415</v>
          </cell>
          <cell r="G361" t="str">
            <v>Daily</v>
          </cell>
          <cell r="H361">
            <v>52000</v>
          </cell>
          <cell r="I361">
            <v>0.05</v>
          </cell>
          <cell r="K361" t="str">
            <v>P041InsideDPFC</v>
          </cell>
          <cell r="L361" t="str">
            <v>Inside</v>
          </cell>
          <cell r="M361" t="str">
            <v>DPFC</v>
          </cell>
          <cell r="N361" t="str">
            <v>46X27</v>
          </cell>
          <cell r="P361">
            <v>31000</v>
          </cell>
          <cell r="AC361">
            <v>15</v>
          </cell>
          <cell r="AD361">
            <v>10</v>
          </cell>
          <cell r="AE361">
            <v>100</v>
          </cell>
          <cell r="AF361" t="str">
            <v>CD</v>
          </cell>
          <cell r="AG361">
            <v>355</v>
          </cell>
        </row>
        <row r="362">
          <cell r="A362" t="str">
            <v>P041</v>
          </cell>
          <cell r="B362" t="str">
            <v>HANOI MOI</v>
          </cell>
          <cell r="C362" t="str">
            <v>04 7545379</v>
          </cell>
          <cell r="D362" t="str">
            <v>04 7545378</v>
          </cell>
          <cell r="E362" t="str">
            <v>Vcom: Lau 3, 221B Tran Dang Ninh, cau Giay, HN</v>
          </cell>
          <cell r="F362" t="str">
            <v>Ms Thao 0989585415</v>
          </cell>
          <cell r="G362" t="str">
            <v>Daily</v>
          </cell>
          <cell r="H362">
            <v>52000</v>
          </cell>
          <cell r="I362">
            <v>0.05</v>
          </cell>
          <cell r="K362" t="str">
            <v>P041Inside2/3VPFC</v>
          </cell>
          <cell r="L362" t="str">
            <v>Inside</v>
          </cell>
          <cell r="M362" t="str">
            <v>2/3VPFC</v>
          </cell>
          <cell r="N362" t="str">
            <v>14.1X25.2</v>
          </cell>
          <cell r="P362">
            <v>11000</v>
          </cell>
          <cell r="AC362">
            <v>15</v>
          </cell>
          <cell r="AD362">
            <v>10</v>
          </cell>
          <cell r="AE362">
            <v>100</v>
          </cell>
          <cell r="AF362" t="str">
            <v>CD</v>
          </cell>
          <cell r="AG362">
            <v>356</v>
          </cell>
        </row>
        <row r="363">
          <cell r="A363" t="str">
            <v>P041</v>
          </cell>
          <cell r="B363" t="str">
            <v>1C</v>
          </cell>
          <cell r="K363" t="str">
            <v>P041InsideHPFC</v>
          </cell>
          <cell r="L363" t="str">
            <v>Inside</v>
          </cell>
          <cell r="M363" t="str">
            <v>HPFC</v>
          </cell>
          <cell r="N363" t="str">
            <v>21.4X12.3</v>
          </cell>
          <cell r="P363">
            <v>9000</v>
          </cell>
          <cell r="AG363">
            <v>357</v>
          </cell>
        </row>
        <row r="364">
          <cell r="A364" t="str">
            <v>P041</v>
          </cell>
          <cell r="K364" t="str">
            <v>P041InsideVPFC</v>
          </cell>
          <cell r="L364" t="str">
            <v>Inside</v>
          </cell>
          <cell r="M364" t="str">
            <v>VPFC</v>
          </cell>
          <cell r="N364" t="str">
            <v>10.4X25.5</v>
          </cell>
          <cell r="P364">
            <v>9000</v>
          </cell>
          <cell r="AG364">
            <v>358</v>
          </cell>
        </row>
        <row r="365">
          <cell r="A365" t="str">
            <v>P041</v>
          </cell>
          <cell r="B365" t="str">
            <v>HANOI MOI</v>
          </cell>
          <cell r="C365" t="str">
            <v>04 7545379</v>
          </cell>
          <cell r="D365" t="str">
            <v>04 7545378</v>
          </cell>
          <cell r="E365" t="str">
            <v>Vcom: Lau 3, 221B Tran Dang Ninh, cau Giay, HN</v>
          </cell>
          <cell r="F365" t="str">
            <v>Ms Thao 0989585415</v>
          </cell>
          <cell r="G365" t="str">
            <v>Daily</v>
          </cell>
          <cell r="H365">
            <v>52000</v>
          </cell>
          <cell r="I365">
            <v>0.05</v>
          </cell>
          <cell r="K365" t="str">
            <v>P041InsideQPFC</v>
          </cell>
          <cell r="L365" t="str">
            <v>Inside</v>
          </cell>
          <cell r="M365" t="str">
            <v>QPFC</v>
          </cell>
          <cell r="N365" t="str">
            <v>10.4X12.3</v>
          </cell>
          <cell r="P365">
            <v>5000</v>
          </cell>
          <cell r="Q365">
            <v>0.08</v>
          </cell>
          <cell r="AC365">
            <v>15</v>
          </cell>
          <cell r="AD365">
            <v>10</v>
          </cell>
          <cell r="AE365">
            <v>100</v>
          </cell>
          <cell r="AF365" t="str">
            <v>CD</v>
          </cell>
          <cell r="AG365">
            <v>359</v>
          </cell>
        </row>
        <row r="366">
          <cell r="A366" t="str">
            <v>P041</v>
          </cell>
          <cell r="B366" t="str">
            <v>1C</v>
          </cell>
          <cell r="K366" t="str">
            <v>P041Strip ad</v>
          </cell>
          <cell r="L366" t="str">
            <v>Strip ad</v>
          </cell>
          <cell r="M366" t="str">
            <v>1/3HPFC</v>
          </cell>
          <cell r="N366" t="str">
            <v>2.5X23</v>
          </cell>
          <cell r="P366">
            <v>3300</v>
          </cell>
          <cell r="AG366">
            <v>360</v>
          </cell>
        </row>
        <row r="367">
          <cell r="A367" t="str">
            <v>P041</v>
          </cell>
          <cell r="K367" t="str">
            <v>P041Inside1/3HPFC</v>
          </cell>
          <cell r="L367" t="str">
            <v>Inside</v>
          </cell>
          <cell r="M367" t="str">
            <v>1/3HPFC</v>
          </cell>
          <cell r="N367" t="str">
            <v>21.4X8</v>
          </cell>
          <cell r="P367">
            <v>6600</v>
          </cell>
          <cell r="AG367">
            <v>361</v>
          </cell>
        </row>
        <row r="368">
          <cell r="A368" t="str">
            <v>P041</v>
          </cell>
          <cell r="B368" t="str">
            <v>THI TRUONG TIEU DUNG</v>
          </cell>
          <cell r="C368">
            <v>49332728</v>
          </cell>
          <cell r="D368">
            <v>49332729</v>
          </cell>
          <cell r="E368" t="str">
            <v>2A Tran Hung Dao -HN</v>
          </cell>
          <cell r="F368" t="str">
            <v>Ms Giang 0903461009</v>
          </cell>
          <cell r="G368" t="str">
            <v>1,15/ Month</v>
          </cell>
          <cell r="H368">
            <v>20000</v>
          </cell>
          <cell r="I368">
            <v>0.3</v>
          </cell>
          <cell r="K368" t="str">
            <v>P041Inside1/3VPFC</v>
          </cell>
          <cell r="L368" t="str">
            <v>Inside</v>
          </cell>
          <cell r="M368" t="str">
            <v>1/3VPFC</v>
          </cell>
          <cell r="N368" t="str">
            <v>6.8X25.2</v>
          </cell>
          <cell r="P368">
            <v>6600</v>
          </cell>
          <cell r="AC368">
            <v>15</v>
          </cell>
          <cell r="AD368">
            <v>10</v>
          </cell>
          <cell r="AE368">
            <v>150</v>
          </cell>
          <cell r="AF368" t="str">
            <v>CD</v>
          </cell>
          <cell r="AG368">
            <v>362</v>
          </cell>
        </row>
        <row r="369">
          <cell r="A369" t="str">
            <v>CAM NANG MUA SAM</v>
          </cell>
          <cell r="B369" t="str">
            <v>HANOI MOI</v>
          </cell>
          <cell r="C369" t="str">
            <v>04 7545379</v>
          </cell>
          <cell r="D369" t="str">
            <v>04 7545378</v>
          </cell>
          <cell r="E369" t="str">
            <v>Vcom: Lau 3, 221B Tran Dang Ninh, cau Giay, HN</v>
          </cell>
          <cell r="F369" t="str">
            <v>Ms Thao 0989585415</v>
          </cell>
          <cell r="G369" t="str">
            <v>Daily</v>
          </cell>
          <cell r="H369">
            <v>52000</v>
          </cell>
          <cell r="I369">
            <v>0.05</v>
          </cell>
          <cell r="K369" t="str">
            <v>CAM NANG MUA SAM</v>
          </cell>
          <cell r="L369" t="str">
            <v>Inside</v>
          </cell>
          <cell r="M369" t="str">
            <v>FPFC</v>
          </cell>
          <cell r="N369" t="str">
            <v>38X52</v>
          </cell>
          <cell r="P369">
            <v>32000</v>
          </cell>
          <cell r="Q369">
            <v>0.08</v>
          </cell>
          <cell r="AC369">
            <v>15</v>
          </cell>
          <cell r="AD369">
            <v>10</v>
          </cell>
          <cell r="AE369">
            <v>100</v>
          </cell>
          <cell r="AF369" t="str">
            <v>CD</v>
          </cell>
          <cell r="AG369">
            <v>363</v>
          </cell>
        </row>
        <row r="370">
          <cell r="A370" t="str">
            <v>P042</v>
          </cell>
          <cell r="B370" t="str">
            <v>HANOI MOI</v>
          </cell>
          <cell r="C370" t="str">
            <v>04 7545379</v>
          </cell>
          <cell r="D370" t="str">
            <v>04 7545378</v>
          </cell>
          <cell r="E370" t="str">
            <v>Vcom: Lau 3, 221B Tran Dang Ninh, cau Giay, HN</v>
          </cell>
          <cell r="F370" t="str">
            <v>Ms Thao 0989585415</v>
          </cell>
          <cell r="G370" t="str">
            <v>Daily</v>
          </cell>
          <cell r="H370">
            <v>52000</v>
          </cell>
          <cell r="I370">
            <v>0.05</v>
          </cell>
          <cell r="K370" t="str">
            <v>P042InsideFPFC</v>
          </cell>
          <cell r="L370" t="str">
            <v>Inside</v>
          </cell>
          <cell r="M370" t="str">
            <v>FPFC</v>
          </cell>
          <cell r="N370" t="str">
            <v>38X52</v>
          </cell>
          <cell r="P370">
            <v>32000</v>
          </cell>
          <cell r="Q370">
            <v>0.08</v>
          </cell>
          <cell r="AC370">
            <v>15</v>
          </cell>
          <cell r="AD370">
            <v>10</v>
          </cell>
          <cell r="AE370">
            <v>100</v>
          </cell>
          <cell r="AF370" t="str">
            <v>CD</v>
          </cell>
          <cell r="AG370">
            <v>364</v>
          </cell>
        </row>
        <row r="371">
          <cell r="A371" t="str">
            <v>P042</v>
          </cell>
          <cell r="B371" t="str">
            <v>1C</v>
          </cell>
          <cell r="K371" t="str">
            <v>P042InsideHPFC</v>
          </cell>
          <cell r="L371" t="str">
            <v>Inside</v>
          </cell>
          <cell r="M371" t="str">
            <v>HPFC</v>
          </cell>
          <cell r="N371" t="str">
            <v>38X26</v>
          </cell>
          <cell r="P371">
            <v>16500</v>
          </cell>
          <cell r="AG371">
            <v>365</v>
          </cell>
        </row>
        <row r="372">
          <cell r="A372" t="str">
            <v>P042</v>
          </cell>
          <cell r="B372" t="str">
            <v>THI TRUONG TIEU DUNG</v>
          </cell>
          <cell r="C372">
            <v>49332728</v>
          </cell>
          <cell r="D372">
            <v>49332729</v>
          </cell>
          <cell r="E372" t="str">
            <v>2A Tran Hung Dao -HN</v>
          </cell>
          <cell r="F372" t="str">
            <v>Ms Giang 0903461009</v>
          </cell>
          <cell r="G372" t="str">
            <v>1,15/ Month</v>
          </cell>
          <cell r="H372">
            <v>20000</v>
          </cell>
          <cell r="I372">
            <v>0.3</v>
          </cell>
          <cell r="K372" t="str">
            <v>P042InsideVPFC</v>
          </cell>
          <cell r="L372" t="str">
            <v>Inside</v>
          </cell>
          <cell r="M372" t="str">
            <v>VPFC</v>
          </cell>
          <cell r="N372" t="str">
            <v>24X37</v>
          </cell>
          <cell r="P372">
            <v>20000</v>
          </cell>
          <cell r="Q372">
            <v>0.3</v>
          </cell>
          <cell r="AC372">
            <v>15</v>
          </cell>
          <cell r="AD372">
            <v>10</v>
          </cell>
          <cell r="AE372">
            <v>150</v>
          </cell>
          <cell r="AF372" t="str">
            <v>CD</v>
          </cell>
          <cell r="AG372">
            <v>366</v>
          </cell>
        </row>
        <row r="373">
          <cell r="A373" t="str">
            <v>P042</v>
          </cell>
          <cell r="B373" t="str">
            <v>3C</v>
          </cell>
          <cell r="K373" t="str">
            <v>P042Inside1/4VPFC</v>
          </cell>
          <cell r="L373" t="str">
            <v>Inside</v>
          </cell>
          <cell r="M373" t="str">
            <v>1/4VPFC</v>
          </cell>
          <cell r="N373" t="str">
            <v>19X26</v>
          </cell>
          <cell r="P373">
            <v>4600</v>
          </cell>
          <cell r="AG373">
            <v>367</v>
          </cell>
        </row>
        <row r="374">
          <cell r="A374" t="str">
            <v>P042</v>
          </cell>
          <cell r="K374" t="str">
            <v>P042Inside1/4HPFC</v>
          </cell>
          <cell r="L374" t="str">
            <v>Inside</v>
          </cell>
          <cell r="M374" t="str">
            <v>1/4HPFC</v>
          </cell>
          <cell r="N374" t="str">
            <v>38X12</v>
          </cell>
          <cell r="P374">
            <v>5500</v>
          </cell>
          <cell r="AG374">
            <v>368</v>
          </cell>
        </row>
        <row r="375">
          <cell r="A375" t="str">
            <v>P042</v>
          </cell>
          <cell r="K375" t="str">
            <v>P042Strip ad</v>
          </cell>
          <cell r="L375" t="str">
            <v>Strip ad</v>
          </cell>
          <cell r="M375" t="str">
            <v>FPFC</v>
          </cell>
          <cell r="N375" t="str">
            <v>38X6</v>
          </cell>
          <cell r="P375">
            <v>2400</v>
          </cell>
          <cell r="AG375">
            <v>369</v>
          </cell>
        </row>
        <row r="376">
          <cell r="A376" t="str">
            <v>HANOI MOI</v>
          </cell>
          <cell r="B376" t="str">
            <v>THI TRUONG TIEU DUNG</v>
          </cell>
          <cell r="C376">
            <v>49332728</v>
          </cell>
          <cell r="D376">
            <v>49332729</v>
          </cell>
          <cell r="E376" t="str">
            <v>2A Tran Hung Dao -HN</v>
          </cell>
          <cell r="F376" t="str">
            <v>Ms Giang 0903461009</v>
          </cell>
          <cell r="G376" t="str">
            <v>1,15/ Monthly</v>
          </cell>
          <cell r="H376">
            <v>20000</v>
          </cell>
          <cell r="I376">
            <v>0.3</v>
          </cell>
          <cell r="K376" t="str">
            <v>HANOI MOI</v>
          </cell>
          <cell r="L376" t="str">
            <v>Cover 3</v>
          </cell>
          <cell r="M376" t="str">
            <v>FPFC</v>
          </cell>
          <cell r="N376" t="str">
            <v>20X28</v>
          </cell>
          <cell r="O376" t="str">
            <v>22X30</v>
          </cell>
          <cell r="P376">
            <v>13200.000000000002</v>
          </cell>
          <cell r="Q376">
            <v>0.3</v>
          </cell>
          <cell r="AC376">
            <v>15</v>
          </cell>
          <cell r="AD376">
            <v>10</v>
          </cell>
          <cell r="AE376">
            <v>150</v>
          </cell>
          <cell r="AF376" t="str">
            <v>CD</v>
          </cell>
          <cell r="AG376">
            <v>370</v>
          </cell>
        </row>
        <row r="377">
          <cell r="A377" t="str">
            <v>P043</v>
          </cell>
          <cell r="B377" t="str">
            <v>THI TRUONG TIEU DUNG</v>
          </cell>
          <cell r="C377">
            <v>49332728</v>
          </cell>
          <cell r="D377">
            <v>49332729</v>
          </cell>
          <cell r="E377" t="str">
            <v>2A Tran Hung Dao -HN</v>
          </cell>
          <cell r="F377" t="str">
            <v>Ms Giang 0903461009</v>
          </cell>
          <cell r="G377" t="str">
            <v>1,15/ Monthly</v>
          </cell>
          <cell r="H377">
            <v>20000</v>
          </cell>
          <cell r="I377">
            <v>0.3</v>
          </cell>
          <cell r="K377" t="str">
            <v>P043Cover 3FPFC</v>
          </cell>
          <cell r="L377" t="str">
            <v>Cover 3</v>
          </cell>
          <cell r="M377" t="str">
            <v>FPFC</v>
          </cell>
          <cell r="N377" t="str">
            <v>20X28</v>
          </cell>
          <cell r="O377" t="str">
            <v>22X30</v>
          </cell>
          <cell r="P377">
            <v>30800.000000000004</v>
          </cell>
          <cell r="Q377">
            <v>0.3</v>
          </cell>
          <cell r="AC377">
            <v>15</v>
          </cell>
          <cell r="AD377">
            <v>10</v>
          </cell>
          <cell r="AE377">
            <v>150</v>
          </cell>
          <cell r="AF377" t="str">
            <v>CD</v>
          </cell>
          <cell r="AG377">
            <v>371</v>
          </cell>
        </row>
        <row r="378">
          <cell r="A378" t="str">
            <v>P043</v>
          </cell>
          <cell r="B378" t="str">
            <v>3C</v>
          </cell>
          <cell r="K378" t="str">
            <v>P043Cover 2FPFC</v>
          </cell>
          <cell r="L378" t="str">
            <v>Cover 2</v>
          </cell>
          <cell r="M378" t="str">
            <v>FPFC</v>
          </cell>
          <cell r="N378" t="str">
            <v>20X28</v>
          </cell>
          <cell r="O378" t="str">
            <v>22X30</v>
          </cell>
          <cell r="P378">
            <v>41800</v>
          </cell>
          <cell r="AG378">
            <v>372</v>
          </cell>
        </row>
        <row r="379">
          <cell r="A379" t="str">
            <v>P043</v>
          </cell>
          <cell r="K379" t="str">
            <v>P043Cover 4FPFC</v>
          </cell>
          <cell r="L379" t="str">
            <v>Cover 4</v>
          </cell>
          <cell r="M379" t="str">
            <v>FPFC</v>
          </cell>
          <cell r="N379" t="str">
            <v>20X28</v>
          </cell>
          <cell r="O379" t="str">
            <v>22X30</v>
          </cell>
          <cell r="P379">
            <v>49500.000000000007</v>
          </cell>
          <cell r="AG379">
            <v>373</v>
          </cell>
        </row>
        <row r="380">
          <cell r="A380" t="str">
            <v>P043</v>
          </cell>
          <cell r="K380" t="str">
            <v>P043InsideDPFC</v>
          </cell>
          <cell r="L380" t="str">
            <v>Inside</v>
          </cell>
          <cell r="M380" t="str">
            <v>DPFC</v>
          </cell>
          <cell r="P380">
            <v>33000</v>
          </cell>
          <cell r="AG380">
            <v>374</v>
          </cell>
        </row>
        <row r="381">
          <cell r="A381" t="str">
            <v>P043</v>
          </cell>
          <cell r="B381" t="str">
            <v>SAI GON TIEP THI</v>
          </cell>
          <cell r="C381">
            <v>9305377</v>
          </cell>
          <cell r="D381">
            <v>9305378</v>
          </cell>
          <cell r="E381" t="str">
            <v>29 Ngo Thoi Nhiem Q3</v>
          </cell>
          <cell r="F381" t="str">
            <v>Ms Hoa 0913724900</v>
          </cell>
          <cell r="G381" t="str">
            <v>Thu/ Weekly</v>
          </cell>
          <cell r="H381">
            <v>120000</v>
          </cell>
          <cell r="I381">
            <v>0.15</v>
          </cell>
          <cell r="K381" t="str">
            <v>P043FirstDPFC</v>
          </cell>
          <cell r="L381" t="str">
            <v>First</v>
          </cell>
          <cell r="M381" t="str">
            <v>DPFC</v>
          </cell>
          <cell r="N381" t="str">
            <v>20X28</v>
          </cell>
          <cell r="O381" t="str">
            <v>22X30</v>
          </cell>
          <cell r="P381">
            <v>38500</v>
          </cell>
          <cell r="Q381">
            <v>0.15</v>
          </cell>
          <cell r="S381">
            <v>0.15</v>
          </cell>
          <cell r="U381">
            <v>0.15</v>
          </cell>
          <cell r="AC381">
            <v>15</v>
          </cell>
          <cell r="AD381">
            <v>10</v>
          </cell>
          <cell r="AE381">
            <v>150</v>
          </cell>
          <cell r="AF381" t="str">
            <v>CD</v>
          </cell>
          <cell r="AG381">
            <v>375</v>
          </cell>
        </row>
        <row r="382">
          <cell r="A382" t="str">
            <v>P043</v>
          </cell>
          <cell r="B382" t="str">
            <v>SAI GON TIEP THI</v>
          </cell>
          <cell r="C382">
            <v>9305377</v>
          </cell>
          <cell r="D382">
            <v>9305378</v>
          </cell>
          <cell r="E382" t="str">
            <v>29 Ngo Thoi Nhiem Q3</v>
          </cell>
          <cell r="F382" t="str">
            <v>Ms Hoa 0913724900</v>
          </cell>
          <cell r="G382" t="str">
            <v>Thu/ Weekly</v>
          </cell>
          <cell r="H382">
            <v>120000</v>
          </cell>
          <cell r="I382">
            <v>0.15</v>
          </cell>
          <cell r="K382" t="str">
            <v>P043FirstFPFC</v>
          </cell>
          <cell r="L382" t="str">
            <v>First</v>
          </cell>
          <cell r="M382" t="str">
            <v>FPFC</v>
          </cell>
          <cell r="N382" t="str">
            <v>20X28</v>
          </cell>
          <cell r="O382" t="str">
            <v>22X30</v>
          </cell>
          <cell r="P382">
            <v>26400.000000000004</v>
          </cell>
          <cell r="Q382">
            <v>0.15</v>
          </cell>
          <cell r="S382">
            <v>0.15</v>
          </cell>
          <cell r="U382">
            <v>0.15</v>
          </cell>
          <cell r="AC382">
            <v>15</v>
          </cell>
          <cell r="AD382">
            <v>10</v>
          </cell>
          <cell r="AE382">
            <v>150</v>
          </cell>
          <cell r="AF382" t="str">
            <v>CD</v>
          </cell>
          <cell r="AG382">
            <v>376</v>
          </cell>
        </row>
        <row r="383">
          <cell r="A383" t="str">
            <v>P043</v>
          </cell>
          <cell r="B383" t="str">
            <v>6C</v>
          </cell>
          <cell r="K383" t="str">
            <v>P043InsideFPFC</v>
          </cell>
          <cell r="L383" t="str">
            <v>Inside</v>
          </cell>
          <cell r="M383" t="str">
            <v>FPFC</v>
          </cell>
          <cell r="N383" t="str">
            <v>20X28</v>
          </cell>
          <cell r="O383" t="str">
            <v>22X30</v>
          </cell>
          <cell r="P383">
            <v>18700</v>
          </cell>
          <cell r="AG383">
            <v>377</v>
          </cell>
        </row>
        <row r="384">
          <cell r="A384" t="str">
            <v>P043</v>
          </cell>
          <cell r="K384" t="str">
            <v>P043Inside2/3HPFC</v>
          </cell>
          <cell r="L384" t="str">
            <v>Inside</v>
          </cell>
          <cell r="M384" t="str">
            <v>2/3HPFC</v>
          </cell>
          <cell r="N384" t="str">
            <v>12X16</v>
          </cell>
          <cell r="P384">
            <v>13200.000000000002</v>
          </cell>
          <cell r="AG384">
            <v>378</v>
          </cell>
        </row>
        <row r="385">
          <cell r="A385" t="str">
            <v>P043</v>
          </cell>
          <cell r="B385" t="str">
            <v>SAI GON TIEP THI</v>
          </cell>
          <cell r="C385">
            <v>9305377</v>
          </cell>
          <cell r="D385">
            <v>9305378</v>
          </cell>
          <cell r="E385" t="str">
            <v>29 Ngo Thoi Nhiem Q3</v>
          </cell>
          <cell r="F385" t="str">
            <v>Ms Hoa 0913724900</v>
          </cell>
          <cell r="G385" t="str">
            <v>Thu/ Weekly</v>
          </cell>
          <cell r="H385">
            <v>120000</v>
          </cell>
          <cell r="I385">
            <v>0.15</v>
          </cell>
          <cell r="K385" t="str">
            <v>P043Inside2/3VPFC</v>
          </cell>
          <cell r="L385" t="str">
            <v>Inside</v>
          </cell>
          <cell r="M385" t="str">
            <v>2/3VPFC</v>
          </cell>
          <cell r="N385" t="str">
            <v>12X33</v>
          </cell>
          <cell r="P385">
            <v>13200.000000000002</v>
          </cell>
          <cell r="Q385">
            <v>0.15</v>
          </cell>
          <cell r="S385">
            <v>0.15</v>
          </cell>
          <cell r="U385">
            <v>0.15</v>
          </cell>
          <cell r="AC385">
            <v>15</v>
          </cell>
          <cell r="AD385">
            <v>10</v>
          </cell>
          <cell r="AE385">
            <v>150</v>
          </cell>
          <cell r="AF385" t="str">
            <v>CD</v>
          </cell>
          <cell r="AG385">
            <v>379</v>
          </cell>
        </row>
        <row r="386">
          <cell r="A386" t="str">
            <v>P043</v>
          </cell>
          <cell r="B386" t="str">
            <v>6C</v>
          </cell>
          <cell r="K386" t="str">
            <v>P043InsideHPFC</v>
          </cell>
          <cell r="L386" t="str">
            <v>Inside</v>
          </cell>
          <cell r="M386" t="str">
            <v>HPFC</v>
          </cell>
          <cell r="N386" t="str">
            <v>24X8</v>
          </cell>
          <cell r="P386">
            <v>9900</v>
          </cell>
          <cell r="AG386">
            <v>380</v>
          </cell>
        </row>
        <row r="387">
          <cell r="A387" t="str">
            <v>P043</v>
          </cell>
          <cell r="K387" t="str">
            <v>P043InsideVPFC</v>
          </cell>
          <cell r="L387" t="str">
            <v>Inside</v>
          </cell>
          <cell r="M387" t="str">
            <v>VPFC</v>
          </cell>
          <cell r="N387" t="str">
            <v>24X33</v>
          </cell>
          <cell r="O387" t="str">
            <v>41X30</v>
          </cell>
          <cell r="P387">
            <v>9900</v>
          </cell>
          <cell r="AG387">
            <v>381</v>
          </cell>
        </row>
        <row r="388">
          <cell r="A388" t="str">
            <v>P043</v>
          </cell>
          <cell r="K388" t="str">
            <v>P043InsideGatefold</v>
          </cell>
          <cell r="L388" t="str">
            <v>Inside</v>
          </cell>
          <cell r="M388" t="str">
            <v>Gatefold</v>
          </cell>
          <cell r="N388" t="str">
            <v>24X33</v>
          </cell>
          <cell r="O388" t="str">
            <v>41X30</v>
          </cell>
          <cell r="P388" t="str">
            <v>(FPFC+DPFC)-dis+10.000</v>
          </cell>
          <cell r="AG388">
            <v>382</v>
          </cell>
        </row>
        <row r="389">
          <cell r="A389" t="str">
            <v>P043</v>
          </cell>
          <cell r="K389" t="str">
            <v>P043Strip ad</v>
          </cell>
          <cell r="L389" t="str">
            <v>Strip ad</v>
          </cell>
          <cell r="M389" t="str">
            <v>FPFC</v>
          </cell>
          <cell r="N389" t="str">
            <v>24X33</v>
          </cell>
          <cell r="P389">
            <v>2200</v>
          </cell>
          <cell r="AG389">
            <v>383</v>
          </cell>
        </row>
        <row r="390">
          <cell r="A390" t="str">
            <v>THI TRUONG TIEU DUNG</v>
          </cell>
          <cell r="B390" t="str">
            <v>SAI GON TIEP THI</v>
          </cell>
          <cell r="C390">
            <v>9305377</v>
          </cell>
          <cell r="D390">
            <v>9305378</v>
          </cell>
          <cell r="E390" t="str">
            <v>29 Ngo Thoi Nhiem Q3</v>
          </cell>
          <cell r="F390" t="str">
            <v>Ms Hoa 0913724900</v>
          </cell>
          <cell r="G390" t="str">
            <v>Thu/ Weekly</v>
          </cell>
          <cell r="H390">
            <v>120000</v>
          </cell>
          <cell r="I390">
            <v>0.15</v>
          </cell>
          <cell r="K390" t="str">
            <v>THI TRUONG TIEU DUNG</v>
          </cell>
          <cell r="L390" t="str">
            <v>Inside</v>
          </cell>
          <cell r="M390" t="str">
            <v>FPFC</v>
          </cell>
          <cell r="N390" t="str">
            <v>24X33</v>
          </cell>
          <cell r="P390">
            <v>26000</v>
          </cell>
          <cell r="Q390">
            <v>0.15</v>
          </cell>
          <cell r="S390">
            <v>0.15</v>
          </cell>
          <cell r="U390">
            <v>0.15</v>
          </cell>
          <cell r="AC390">
            <v>15</v>
          </cell>
          <cell r="AD390">
            <v>10</v>
          </cell>
          <cell r="AE390">
            <v>150</v>
          </cell>
          <cell r="AF390" t="str">
            <v>CD</v>
          </cell>
          <cell r="AG390">
            <v>384</v>
          </cell>
        </row>
        <row r="391">
          <cell r="A391" t="str">
            <v>P044</v>
          </cell>
          <cell r="B391" t="str">
            <v>SAI GON TIEP THI</v>
          </cell>
          <cell r="C391">
            <v>9305377</v>
          </cell>
          <cell r="D391">
            <v>9305378</v>
          </cell>
          <cell r="E391" t="str">
            <v>29 Ngo Thoi Nhiem Q3</v>
          </cell>
          <cell r="F391" t="str">
            <v>Ms Hoa 0913724900</v>
          </cell>
          <cell r="G391" t="str">
            <v>Thu/ Weekly</v>
          </cell>
          <cell r="H391">
            <v>120000</v>
          </cell>
          <cell r="I391">
            <v>0.15</v>
          </cell>
          <cell r="K391" t="str">
            <v>P044InsideFPFC</v>
          </cell>
          <cell r="L391" t="str">
            <v>Inside</v>
          </cell>
          <cell r="M391" t="str">
            <v>FPFC</v>
          </cell>
          <cell r="N391" t="str">
            <v>24X33</v>
          </cell>
          <cell r="P391">
            <v>26000</v>
          </cell>
          <cell r="Q391">
            <v>0.15</v>
          </cell>
          <cell r="S391">
            <v>0.15</v>
          </cell>
          <cell r="U391">
            <v>0.15</v>
          </cell>
          <cell r="AC391">
            <v>15</v>
          </cell>
          <cell r="AD391">
            <v>10</v>
          </cell>
          <cell r="AE391">
            <v>150</v>
          </cell>
          <cell r="AF391" t="str">
            <v>CD</v>
          </cell>
          <cell r="AG391">
            <v>385</v>
          </cell>
        </row>
        <row r="392">
          <cell r="A392" t="str">
            <v>P044</v>
          </cell>
          <cell r="B392" t="str">
            <v>6C</v>
          </cell>
          <cell r="K392" t="str">
            <v>P044InsideHPFC</v>
          </cell>
          <cell r="L392" t="str">
            <v>Inside</v>
          </cell>
          <cell r="M392" t="str">
            <v>HPFC</v>
          </cell>
          <cell r="N392" t="str">
            <v>24X16</v>
          </cell>
          <cell r="P392">
            <v>14000</v>
          </cell>
          <cell r="AG392">
            <v>386</v>
          </cell>
        </row>
        <row r="393">
          <cell r="A393" t="str">
            <v>P044</v>
          </cell>
          <cell r="K393" t="str">
            <v>P044InsideQPFC</v>
          </cell>
          <cell r="L393" t="str">
            <v>Inside</v>
          </cell>
          <cell r="M393" t="str">
            <v>QPFC</v>
          </cell>
          <cell r="N393" t="str">
            <v>12X16</v>
          </cell>
          <cell r="P393">
            <v>7500</v>
          </cell>
          <cell r="AG393">
            <v>387</v>
          </cell>
        </row>
        <row r="394">
          <cell r="A394" t="str">
            <v>P044</v>
          </cell>
          <cell r="K394" t="str">
            <v>P044InsideVPFC</v>
          </cell>
          <cell r="L394" t="str">
            <v>Inside</v>
          </cell>
          <cell r="M394" t="str">
            <v>VPFC</v>
          </cell>
          <cell r="N394" t="str">
            <v>12X33</v>
          </cell>
          <cell r="P394">
            <v>20000</v>
          </cell>
          <cell r="AG394">
            <v>388</v>
          </cell>
        </row>
        <row r="395">
          <cell r="A395" t="str">
            <v>P044</v>
          </cell>
          <cell r="K395" t="str">
            <v>P044Inside1/4HPFC</v>
          </cell>
          <cell r="L395" t="str">
            <v>Inside</v>
          </cell>
          <cell r="M395" t="str">
            <v>1/4HPFC</v>
          </cell>
          <cell r="N395" t="str">
            <v>24X8</v>
          </cell>
          <cell r="P395">
            <v>10000</v>
          </cell>
          <cell r="AG395">
            <v>389</v>
          </cell>
        </row>
        <row r="396">
          <cell r="A396" t="str">
            <v>P044</v>
          </cell>
          <cell r="B396" t="str">
            <v>DEP</v>
          </cell>
          <cell r="C396">
            <v>8484754</v>
          </cell>
          <cell r="D396">
            <v>8484753</v>
          </cell>
          <cell r="E396" t="str">
            <v>144A Ly Chinh Thang</v>
          </cell>
          <cell r="F396" t="str">
            <v>Ms Tham 0908678580</v>
          </cell>
          <cell r="G396" t="str">
            <v>5th/ monthly</v>
          </cell>
          <cell r="H396">
            <v>47000</v>
          </cell>
          <cell r="I396">
            <v>0.1</v>
          </cell>
          <cell r="J396">
            <v>0.35</v>
          </cell>
          <cell r="K396" t="str">
            <v>P044Cover 4FPFC</v>
          </cell>
          <cell r="L396" t="str">
            <v>Cover 4</v>
          </cell>
          <cell r="M396" t="str">
            <v>FPFC</v>
          </cell>
          <cell r="N396" t="str">
            <v>24X33</v>
          </cell>
          <cell r="O396" t="str">
            <v>21.3X29.1</v>
          </cell>
          <cell r="P396">
            <v>30000</v>
          </cell>
          <cell r="AC396">
            <v>15</v>
          </cell>
          <cell r="AD396">
            <v>10</v>
          </cell>
          <cell r="AE396">
            <v>175</v>
          </cell>
          <cell r="AF396" t="str">
            <v>CD</v>
          </cell>
          <cell r="AG396">
            <v>390</v>
          </cell>
        </row>
        <row r="397">
          <cell r="A397" t="str">
            <v>P044</v>
          </cell>
          <cell r="B397" t="str">
            <v>DEP</v>
          </cell>
          <cell r="C397">
            <v>8484754</v>
          </cell>
          <cell r="D397">
            <v>8484753</v>
          </cell>
          <cell r="E397" t="str">
            <v>144A Ly Chinh Thang</v>
          </cell>
          <cell r="F397" t="str">
            <v>Ms Tham 0908678580</v>
          </cell>
          <cell r="G397" t="str">
            <v>5th/ monthly</v>
          </cell>
          <cell r="H397">
            <v>47000</v>
          </cell>
          <cell r="I397">
            <v>0.1</v>
          </cell>
          <cell r="J397">
            <v>0.35</v>
          </cell>
          <cell r="K397" t="str">
            <v>P044Cover 2FPFC</v>
          </cell>
          <cell r="L397" t="str">
            <v>Cover 2</v>
          </cell>
          <cell r="M397" t="str">
            <v>FPFC</v>
          </cell>
          <cell r="N397" t="str">
            <v>24X33</v>
          </cell>
          <cell r="O397" t="str">
            <v>21.3X29.1</v>
          </cell>
          <cell r="P397">
            <v>30000</v>
          </cell>
          <cell r="AC397">
            <v>15</v>
          </cell>
          <cell r="AD397">
            <v>10</v>
          </cell>
          <cell r="AE397">
            <v>175</v>
          </cell>
          <cell r="AF397" t="str">
            <v>CD</v>
          </cell>
          <cell r="AG397">
            <v>391</v>
          </cell>
        </row>
        <row r="398">
          <cell r="A398" t="str">
            <v>P044</v>
          </cell>
          <cell r="B398" t="str">
            <v>6A</v>
          </cell>
          <cell r="K398" t="str">
            <v>P044Cover 3FPFC</v>
          </cell>
          <cell r="L398" t="str">
            <v>Cover 3</v>
          </cell>
          <cell r="M398" t="str">
            <v>FPFC</v>
          </cell>
          <cell r="N398" t="str">
            <v>24X33</v>
          </cell>
          <cell r="P398">
            <v>30000</v>
          </cell>
          <cell r="AG398">
            <v>392</v>
          </cell>
        </row>
        <row r="399">
          <cell r="A399" t="str">
            <v>P044</v>
          </cell>
          <cell r="K399" t="str">
            <v>P044FirstFPFC</v>
          </cell>
          <cell r="L399" t="str">
            <v>First</v>
          </cell>
          <cell r="M399" t="str">
            <v>FPFC</v>
          </cell>
          <cell r="N399" t="str">
            <v>24X33</v>
          </cell>
          <cell r="O399" t="str">
            <v>21.3X29.1</v>
          </cell>
          <cell r="P399">
            <v>30000</v>
          </cell>
          <cell r="AG399">
            <v>393</v>
          </cell>
        </row>
        <row r="400">
          <cell r="A400" t="str">
            <v>P044</v>
          </cell>
          <cell r="B400" t="str">
            <v>DEP</v>
          </cell>
          <cell r="C400">
            <v>8484754</v>
          </cell>
          <cell r="D400">
            <v>8484753</v>
          </cell>
          <cell r="E400" t="str">
            <v>144A Ly Chinh Thang</v>
          </cell>
          <cell r="F400" t="str">
            <v>Ms Tham 0908678580</v>
          </cell>
          <cell r="G400" t="str">
            <v>5/ Monthly</v>
          </cell>
          <cell r="H400">
            <v>47000</v>
          </cell>
          <cell r="I400">
            <v>0.1</v>
          </cell>
          <cell r="J400">
            <v>0.35</v>
          </cell>
          <cell r="K400" t="str">
            <v>P044ContentFPFC</v>
          </cell>
          <cell r="L400" t="str">
            <v>Content</v>
          </cell>
          <cell r="M400" t="str">
            <v>FPFC</v>
          </cell>
          <cell r="N400" t="str">
            <v>24X33</v>
          </cell>
          <cell r="O400" t="str">
            <v>21.3X29.1</v>
          </cell>
          <cell r="P400">
            <v>30000</v>
          </cell>
          <cell r="Q400">
            <v>0.35</v>
          </cell>
          <cell r="R400">
            <v>0.1</v>
          </cell>
          <cell r="AC400">
            <v>15</v>
          </cell>
          <cell r="AD400">
            <v>10</v>
          </cell>
          <cell r="AE400">
            <v>175</v>
          </cell>
          <cell r="AF400" t="str">
            <v>CD</v>
          </cell>
          <cell r="AG400">
            <v>394</v>
          </cell>
        </row>
        <row r="401">
          <cell r="A401" t="str">
            <v>P044</v>
          </cell>
          <cell r="B401" t="str">
            <v>6A</v>
          </cell>
          <cell r="F401" t="str">
            <v>Ms Lan 0908290108</v>
          </cell>
          <cell r="K401" t="str">
            <v>P044ContentHPFC</v>
          </cell>
          <cell r="L401" t="str">
            <v>Content</v>
          </cell>
          <cell r="M401" t="str">
            <v>HPFC</v>
          </cell>
          <cell r="N401" t="str">
            <v>24X16</v>
          </cell>
          <cell r="O401" t="str">
            <v>21.3X29.1</v>
          </cell>
          <cell r="P401">
            <v>22000</v>
          </cell>
          <cell r="AG401">
            <v>395</v>
          </cell>
        </row>
        <row r="402">
          <cell r="A402" t="str">
            <v>P044</v>
          </cell>
          <cell r="K402" t="str">
            <v>P044ContentVPFC</v>
          </cell>
          <cell r="L402" t="str">
            <v>Content</v>
          </cell>
          <cell r="M402" t="str">
            <v>VPFC</v>
          </cell>
          <cell r="N402" t="str">
            <v>12X33</v>
          </cell>
          <cell r="O402" t="str">
            <v>21.3X29.1</v>
          </cell>
          <cell r="P402">
            <v>22000</v>
          </cell>
          <cell r="AG402">
            <v>396</v>
          </cell>
        </row>
        <row r="403">
          <cell r="A403" t="str">
            <v>P044</v>
          </cell>
          <cell r="K403" t="str">
            <v>P044Content1/4HPFC</v>
          </cell>
          <cell r="L403" t="str">
            <v>Content</v>
          </cell>
          <cell r="M403" t="str">
            <v>1/4HPFC</v>
          </cell>
          <cell r="N403" t="str">
            <v>24X8</v>
          </cell>
          <cell r="O403" t="str">
            <v>21.3X29.1</v>
          </cell>
          <cell r="P403">
            <v>15000</v>
          </cell>
          <cell r="AG403">
            <v>397</v>
          </cell>
        </row>
        <row r="404">
          <cell r="A404" t="str">
            <v>P044</v>
          </cell>
          <cell r="K404" t="str">
            <v>P044Content1/4VPFC</v>
          </cell>
          <cell r="L404" t="str">
            <v>Content</v>
          </cell>
          <cell r="M404" t="str">
            <v>1/4VPFC</v>
          </cell>
          <cell r="N404" t="str">
            <v>20.2X27.7</v>
          </cell>
          <cell r="O404" t="str">
            <v>21.3X29.1</v>
          </cell>
          <cell r="P404">
            <v>15000</v>
          </cell>
          <cell r="AG404">
            <v>398</v>
          </cell>
        </row>
        <row r="405">
          <cell r="A405" t="str">
            <v>SAI GON TIEP THI</v>
          </cell>
          <cell r="B405" t="str">
            <v>DEP</v>
          </cell>
          <cell r="C405">
            <v>8484754</v>
          </cell>
          <cell r="D405">
            <v>8484753</v>
          </cell>
          <cell r="E405" t="str">
            <v>144A Ly Chinh Thang</v>
          </cell>
          <cell r="F405" t="str">
            <v>Ms Tham 0908678580</v>
          </cell>
          <cell r="G405" t="str">
            <v>5/ Monthly</v>
          </cell>
          <cell r="H405">
            <v>47000</v>
          </cell>
          <cell r="I405">
            <v>0.1</v>
          </cell>
          <cell r="J405">
            <v>0.35</v>
          </cell>
          <cell r="K405" t="str">
            <v>SAI GON TIEP THI</v>
          </cell>
          <cell r="L405" t="str">
            <v>Inside</v>
          </cell>
          <cell r="M405" t="str">
            <v>FPFC</v>
          </cell>
          <cell r="N405" t="str">
            <v>19.5X27.7</v>
          </cell>
          <cell r="O405" t="str">
            <v>21.3X29.1</v>
          </cell>
          <cell r="P405">
            <v>30800.000000000004</v>
          </cell>
          <cell r="Q405">
            <v>0.35</v>
          </cell>
          <cell r="R405">
            <v>0.1</v>
          </cell>
          <cell r="AC405">
            <v>15</v>
          </cell>
          <cell r="AD405">
            <v>10</v>
          </cell>
          <cell r="AE405">
            <v>175</v>
          </cell>
          <cell r="AF405" t="str">
            <v>CD</v>
          </cell>
          <cell r="AG405">
            <v>399</v>
          </cell>
        </row>
        <row r="406">
          <cell r="A406" t="str">
            <v>P045</v>
          </cell>
          <cell r="B406" t="str">
            <v>DEP</v>
          </cell>
          <cell r="C406">
            <v>8484754</v>
          </cell>
          <cell r="D406">
            <v>8484753</v>
          </cell>
          <cell r="E406" t="str">
            <v>144A Ly Chinh Thang</v>
          </cell>
          <cell r="F406" t="str">
            <v>Ms Tham 0908678580</v>
          </cell>
          <cell r="G406" t="str">
            <v>5/ Monthly</v>
          </cell>
          <cell r="H406">
            <v>47000</v>
          </cell>
          <cell r="I406">
            <v>0.1</v>
          </cell>
          <cell r="J406">
            <v>0.35</v>
          </cell>
          <cell r="K406" t="str">
            <v>P045InsideFPFC</v>
          </cell>
          <cell r="L406" t="str">
            <v>Inside</v>
          </cell>
          <cell r="M406" t="str">
            <v>FPFC</v>
          </cell>
          <cell r="N406" t="str">
            <v>19.5X27.7</v>
          </cell>
          <cell r="O406" t="str">
            <v>21.3X29.1</v>
          </cell>
          <cell r="P406">
            <v>30800.000000000004</v>
          </cell>
          <cell r="Q406">
            <v>0.35</v>
          </cell>
          <cell r="R406">
            <v>0.1</v>
          </cell>
          <cell r="AC406">
            <v>15</v>
          </cell>
          <cell r="AD406">
            <v>10</v>
          </cell>
          <cell r="AE406">
            <v>175</v>
          </cell>
          <cell r="AF406" t="str">
            <v>CD</v>
          </cell>
          <cell r="AG406">
            <v>400</v>
          </cell>
        </row>
        <row r="407">
          <cell r="A407" t="str">
            <v>P045</v>
          </cell>
          <cell r="B407" t="str">
            <v>6A</v>
          </cell>
          <cell r="F407" t="str">
            <v>Ms Lan 0908290108</v>
          </cell>
          <cell r="K407" t="str">
            <v>P045InsideHPFC</v>
          </cell>
          <cell r="L407" t="str">
            <v>Inside</v>
          </cell>
          <cell r="M407" t="str">
            <v>HPFC</v>
          </cell>
          <cell r="N407" t="str">
            <v>19.5X13.7</v>
          </cell>
          <cell r="O407" t="str">
            <v>21.3X29.1</v>
          </cell>
          <cell r="P407">
            <v>19800</v>
          </cell>
          <cell r="AG407">
            <v>401</v>
          </cell>
        </row>
        <row r="408">
          <cell r="A408" t="str">
            <v>P045</v>
          </cell>
          <cell r="K408" t="str">
            <v>P045Inside1/3VPFC</v>
          </cell>
          <cell r="L408" t="str">
            <v>Inside</v>
          </cell>
          <cell r="M408" t="str">
            <v>1/3VPFC</v>
          </cell>
          <cell r="N408" t="str">
            <v>7X27.7</v>
          </cell>
          <cell r="O408" t="str">
            <v>21.3X29.1</v>
          </cell>
          <cell r="P408">
            <v>15400.000000000002</v>
          </cell>
          <cell r="AG408">
            <v>402</v>
          </cell>
        </row>
        <row r="409">
          <cell r="A409" t="str">
            <v>P045</v>
          </cell>
          <cell r="B409" t="str">
            <v>HOA HOC TRO 1</v>
          </cell>
          <cell r="C409" t="str">
            <v>04 8217162</v>
          </cell>
          <cell r="D409" t="str">
            <v>04 9781477</v>
          </cell>
          <cell r="E409" t="str">
            <v>5 Hoa Ma, HN/ 502 Le Van Sy, Q3, HCM</v>
          </cell>
          <cell r="F409" t="str">
            <v>Mr Lu Thanh Nam 0912259088</v>
          </cell>
          <cell r="G409" t="str">
            <v>Mon/ Weekly</v>
          </cell>
          <cell r="H409">
            <v>200000</v>
          </cell>
          <cell r="K409" t="str">
            <v>P045FirstFPFC</v>
          </cell>
          <cell r="L409" t="str">
            <v>First</v>
          </cell>
          <cell r="M409" t="str">
            <v>FPFC</v>
          </cell>
          <cell r="N409" t="str">
            <v>19.5X27.7</v>
          </cell>
          <cell r="O409" t="str">
            <v>21.3X29.1</v>
          </cell>
          <cell r="P409">
            <v>37400</v>
          </cell>
          <cell r="AC409">
            <v>15</v>
          </cell>
          <cell r="AD409">
            <v>10</v>
          </cell>
          <cell r="AE409">
            <v>150</v>
          </cell>
          <cell r="AF409" t="str">
            <v>CD</v>
          </cell>
          <cell r="AG409">
            <v>403</v>
          </cell>
        </row>
        <row r="410">
          <cell r="A410" t="str">
            <v>P045</v>
          </cell>
          <cell r="B410" t="str">
            <v>8A</v>
          </cell>
          <cell r="K410" t="str">
            <v>P045SecondFPFC</v>
          </cell>
          <cell r="L410" t="str">
            <v>Second</v>
          </cell>
          <cell r="M410" t="str">
            <v>FPFC</v>
          </cell>
          <cell r="N410" t="str">
            <v>19.5X27.7</v>
          </cell>
          <cell r="O410" t="str">
            <v>21.3X29.1</v>
          </cell>
          <cell r="P410">
            <v>35200</v>
          </cell>
          <cell r="AG410">
            <v>404</v>
          </cell>
        </row>
        <row r="411">
          <cell r="A411" t="str">
            <v>P045</v>
          </cell>
          <cell r="B411" t="str">
            <v>HOA HOC TRO 2</v>
          </cell>
          <cell r="C411" t="str">
            <v>04 8217162</v>
          </cell>
          <cell r="D411" t="str">
            <v>04 9781477</v>
          </cell>
          <cell r="E411" t="str">
            <v>5 Hoa Ma, HN/ 502 Le Van Sy, Q3, HCM</v>
          </cell>
          <cell r="F411" t="str">
            <v>Mr Lu Thanh Nam 0912259088</v>
          </cell>
          <cell r="G411" t="str">
            <v>2/ Weekly</v>
          </cell>
          <cell r="H411">
            <v>200000</v>
          </cell>
          <cell r="K411" t="str">
            <v>P045Cover 2FPFC</v>
          </cell>
          <cell r="L411" t="str">
            <v>Cover 2</v>
          </cell>
          <cell r="M411" t="str">
            <v>FPFC</v>
          </cell>
          <cell r="N411" t="str">
            <v>19.5X27.7</v>
          </cell>
          <cell r="O411" t="str">
            <v>21.3X29.1</v>
          </cell>
          <cell r="P411">
            <v>44000</v>
          </cell>
          <cell r="AC411">
            <v>15</v>
          </cell>
          <cell r="AD411">
            <v>10</v>
          </cell>
          <cell r="AE411">
            <v>150</v>
          </cell>
          <cell r="AF411" t="str">
            <v>CD</v>
          </cell>
          <cell r="AG411">
            <v>405</v>
          </cell>
        </row>
        <row r="412">
          <cell r="A412" t="str">
            <v>P045</v>
          </cell>
          <cell r="B412" t="str">
            <v>HOA HOC TRO 2</v>
          </cell>
          <cell r="C412" t="str">
            <v>04 8217162</v>
          </cell>
          <cell r="D412" t="str">
            <v>04 9781477</v>
          </cell>
          <cell r="E412" t="str">
            <v>5 Hoa Ma, HN/ 502 Le Van Sy, Q3, HCM</v>
          </cell>
          <cell r="F412" t="str">
            <v>Mr Lu Thanh Nam 0912259088</v>
          </cell>
          <cell r="G412" t="str">
            <v>2/ Weekly</v>
          </cell>
          <cell r="H412">
            <v>200000</v>
          </cell>
          <cell r="K412" t="str">
            <v>P045Cover 3FPFC</v>
          </cell>
          <cell r="L412" t="str">
            <v>Cover 3</v>
          </cell>
          <cell r="M412" t="str">
            <v>FPFC</v>
          </cell>
          <cell r="N412" t="str">
            <v>19.5X27.7</v>
          </cell>
          <cell r="O412" t="str">
            <v>21.3X29.1</v>
          </cell>
          <cell r="P412">
            <v>40700</v>
          </cell>
          <cell r="AC412">
            <v>15</v>
          </cell>
          <cell r="AD412">
            <v>10</v>
          </cell>
          <cell r="AE412">
            <v>150</v>
          </cell>
          <cell r="AF412" t="str">
            <v>CD</v>
          </cell>
          <cell r="AG412">
            <v>406</v>
          </cell>
        </row>
        <row r="413">
          <cell r="A413" t="str">
            <v>P045</v>
          </cell>
          <cell r="B413" t="str">
            <v>8A</v>
          </cell>
          <cell r="K413" t="str">
            <v>P045Cover 4FPFC</v>
          </cell>
          <cell r="L413" t="str">
            <v>Cover 4</v>
          </cell>
          <cell r="M413" t="str">
            <v>FPFC</v>
          </cell>
          <cell r="N413" t="str">
            <v>20.2X27.7</v>
          </cell>
          <cell r="O413" t="str">
            <v>21.3X29.1</v>
          </cell>
          <cell r="P413">
            <v>51700.000000000007</v>
          </cell>
          <cell r="AG413">
            <v>407</v>
          </cell>
        </row>
        <row r="414">
          <cell r="A414" t="str">
            <v>DEP</v>
          </cell>
          <cell r="B414" t="str">
            <v>HOA HOC TRO 1</v>
          </cell>
          <cell r="C414" t="str">
            <v>04 8217162</v>
          </cell>
          <cell r="D414" t="str">
            <v>04 9781477</v>
          </cell>
          <cell r="E414" t="str">
            <v>5 Hoa Ma, HN/ 502 Le Van Sy, Q3, HCM</v>
          </cell>
          <cell r="F414" t="str">
            <v>Mr Lu Thanh Nam 0912259088</v>
          </cell>
          <cell r="G414" t="str">
            <v>Mon/ Weekly</v>
          </cell>
          <cell r="H414">
            <v>200000</v>
          </cell>
          <cell r="K414" t="str">
            <v>DEP</v>
          </cell>
          <cell r="L414" t="str">
            <v>Cover 2</v>
          </cell>
          <cell r="M414" t="str">
            <v>FPFC</v>
          </cell>
          <cell r="N414" t="str">
            <v>13.5X23.5</v>
          </cell>
          <cell r="P414">
            <v>27170.000000000004</v>
          </cell>
          <cell r="AC414">
            <v>15</v>
          </cell>
          <cell r="AD414">
            <v>10</v>
          </cell>
          <cell r="AE414">
            <v>150</v>
          </cell>
          <cell r="AF414" t="str">
            <v>CD</v>
          </cell>
          <cell r="AG414">
            <v>408</v>
          </cell>
        </row>
        <row r="415">
          <cell r="A415" t="str">
            <v>P046</v>
          </cell>
          <cell r="B415" t="str">
            <v>HOA HOC TRO 1</v>
          </cell>
          <cell r="C415" t="str">
            <v>04 8217162</v>
          </cell>
          <cell r="D415" t="str">
            <v>04 9781477</v>
          </cell>
          <cell r="E415" t="str">
            <v>5 Hoa Ma, HN/ 502 Le Van Sy, Q3, HCM</v>
          </cell>
          <cell r="F415" t="str">
            <v>Mr Lu Thanh Nam 0912259088</v>
          </cell>
          <cell r="G415" t="str">
            <v>Mon/ Weekly</v>
          </cell>
          <cell r="H415">
            <v>200000</v>
          </cell>
          <cell r="K415" t="str">
            <v>P046Cover 2FPFC</v>
          </cell>
          <cell r="L415" t="str">
            <v>Cover 2</v>
          </cell>
          <cell r="M415" t="str">
            <v>FPFC</v>
          </cell>
          <cell r="N415" t="str">
            <v>13.5X23.5</v>
          </cell>
          <cell r="P415">
            <v>27170.000000000004</v>
          </cell>
          <cell r="AC415">
            <v>15</v>
          </cell>
          <cell r="AD415">
            <v>10</v>
          </cell>
          <cell r="AE415">
            <v>150</v>
          </cell>
          <cell r="AF415" t="str">
            <v>CD</v>
          </cell>
          <cell r="AG415">
            <v>409</v>
          </cell>
        </row>
        <row r="416">
          <cell r="A416" t="str">
            <v>P046</v>
          </cell>
          <cell r="B416" t="str">
            <v>8A</v>
          </cell>
          <cell r="K416" t="str">
            <v>P046Cover 3FPFC</v>
          </cell>
          <cell r="L416" t="str">
            <v>Cover 3</v>
          </cell>
          <cell r="M416" t="str">
            <v>FPFC</v>
          </cell>
          <cell r="N416" t="str">
            <v>13.5X23.5</v>
          </cell>
          <cell r="P416">
            <v>27170.000000000004</v>
          </cell>
          <cell r="AG416">
            <v>410</v>
          </cell>
        </row>
        <row r="417">
          <cell r="A417" t="str">
            <v>P046</v>
          </cell>
          <cell r="K417" t="str">
            <v>P046InsideFPFC</v>
          </cell>
          <cell r="L417" t="str">
            <v>Inside</v>
          </cell>
          <cell r="M417" t="str">
            <v>FPFC</v>
          </cell>
          <cell r="N417" t="str">
            <v>13.5X23.5</v>
          </cell>
          <cell r="P417">
            <v>23100.000000000004</v>
          </cell>
          <cell r="AG417">
            <v>411</v>
          </cell>
        </row>
        <row r="418">
          <cell r="A418" t="str">
            <v>P046</v>
          </cell>
          <cell r="K418" t="str">
            <v>P046InsideHPFC</v>
          </cell>
          <cell r="L418" t="str">
            <v>Inside</v>
          </cell>
          <cell r="M418" t="str">
            <v>HPFC</v>
          </cell>
          <cell r="N418" t="str">
            <v>12.5X10.5</v>
          </cell>
          <cell r="P418">
            <v>13200.000000000002</v>
          </cell>
          <cell r="AG418">
            <v>412</v>
          </cell>
        </row>
        <row r="419">
          <cell r="A419" t="str">
            <v>P046</v>
          </cell>
          <cell r="K419" t="str">
            <v>P046InsideVPFC</v>
          </cell>
          <cell r="L419" t="str">
            <v>Inside</v>
          </cell>
          <cell r="M419" t="str">
            <v>VPFC</v>
          </cell>
          <cell r="N419" t="str">
            <v>6X21.5</v>
          </cell>
          <cell r="P419">
            <v>13200.000000000002</v>
          </cell>
          <cell r="AG419">
            <v>413</v>
          </cell>
        </row>
        <row r="420">
          <cell r="A420" t="str">
            <v>HOA HOC TRO 1</v>
          </cell>
          <cell r="B420" t="str">
            <v>HOA HOC TRO 2</v>
          </cell>
          <cell r="C420" t="str">
            <v>04 8217162</v>
          </cell>
          <cell r="D420" t="str">
            <v>04 9781477</v>
          </cell>
          <cell r="E420" t="str">
            <v>5 Hoa Ma, HN/ 502 Le Van Sy, Q3, HCM</v>
          </cell>
          <cell r="F420" t="str">
            <v>Mr Lu Thanh Nam 0912259088</v>
          </cell>
          <cell r="G420" t="str">
            <v>1,15/ Monthly</v>
          </cell>
          <cell r="H420">
            <v>170000</v>
          </cell>
          <cell r="K420" t="str">
            <v>HOA HOC TRO 1</v>
          </cell>
          <cell r="L420" t="str">
            <v>Cover 4</v>
          </cell>
          <cell r="M420" t="str">
            <v>FPFC</v>
          </cell>
          <cell r="N420" t="str">
            <v>24X30</v>
          </cell>
          <cell r="P420">
            <v>40040</v>
          </cell>
          <cell r="AC420">
            <v>15</v>
          </cell>
          <cell r="AD420">
            <v>10</v>
          </cell>
          <cell r="AE420">
            <v>150</v>
          </cell>
          <cell r="AF420" t="str">
            <v>CD</v>
          </cell>
          <cell r="AG420">
            <v>414</v>
          </cell>
        </row>
        <row r="421">
          <cell r="A421" t="str">
            <v>P047</v>
          </cell>
          <cell r="B421" t="str">
            <v>HOA HOC TRO 2</v>
          </cell>
          <cell r="C421" t="str">
            <v>04 8217162</v>
          </cell>
          <cell r="D421" t="str">
            <v>04 9781477</v>
          </cell>
          <cell r="E421" t="str">
            <v>5 Hoa Ma, HN/ 502 Le Van Sy, Q3, HCM</v>
          </cell>
          <cell r="F421" t="str">
            <v>Mr Lu Thanh Nam 0912259088</v>
          </cell>
          <cell r="G421" t="str">
            <v>1,15/ Monthly</v>
          </cell>
          <cell r="H421">
            <v>170000</v>
          </cell>
          <cell r="K421" t="str">
            <v>P047Cover 4FPFC</v>
          </cell>
          <cell r="L421" t="str">
            <v>Cover 4</v>
          </cell>
          <cell r="M421" t="str">
            <v>FPFC</v>
          </cell>
          <cell r="N421" t="str">
            <v>24X30</v>
          </cell>
          <cell r="P421">
            <v>40040</v>
          </cell>
          <cell r="AC421">
            <v>15</v>
          </cell>
          <cell r="AD421">
            <v>10</v>
          </cell>
          <cell r="AE421">
            <v>150</v>
          </cell>
          <cell r="AF421" t="str">
            <v>CD</v>
          </cell>
          <cell r="AG421">
            <v>415</v>
          </cell>
        </row>
        <row r="422">
          <cell r="A422" t="str">
            <v>P047</v>
          </cell>
          <cell r="B422" t="str">
            <v>8A</v>
          </cell>
          <cell r="K422" t="str">
            <v>P047Cover 41/3VPFC</v>
          </cell>
          <cell r="L422" t="str">
            <v>Cover 4</v>
          </cell>
          <cell r="M422" t="str">
            <v>1/3VPFC</v>
          </cell>
          <cell r="N422" t="str">
            <v>8X30</v>
          </cell>
          <cell r="P422">
            <v>20020</v>
          </cell>
          <cell r="AG422">
            <v>416</v>
          </cell>
        </row>
        <row r="423">
          <cell r="A423" t="str">
            <v>P047</v>
          </cell>
          <cell r="B423" t="str">
            <v>PHU NU THE THAO</v>
          </cell>
          <cell r="C423">
            <v>9102539</v>
          </cell>
          <cell r="D423">
            <v>8222143</v>
          </cell>
          <cell r="E423" t="str">
            <v>48 Nguyen Dinh Chieu Q1</v>
          </cell>
          <cell r="F423" t="str">
            <v>Ms Yen 0903735445</v>
          </cell>
          <cell r="G423" t="str">
            <v>5/ Monthly</v>
          </cell>
          <cell r="H423">
            <v>40000</v>
          </cell>
          <cell r="I423">
            <v>0.15</v>
          </cell>
          <cell r="K423" t="str">
            <v>P047Cover 2FPFC</v>
          </cell>
          <cell r="L423" t="str">
            <v>Cover 2</v>
          </cell>
          <cell r="M423" t="str">
            <v>FPFC</v>
          </cell>
          <cell r="N423" t="str">
            <v>24X30</v>
          </cell>
          <cell r="P423">
            <v>33000</v>
          </cell>
          <cell r="S423">
            <v>0.15</v>
          </cell>
          <cell r="AC423">
            <v>15</v>
          </cell>
          <cell r="AD423">
            <v>10</v>
          </cell>
          <cell r="AE423">
            <v>150</v>
          </cell>
          <cell r="AF423" t="str">
            <v>CD</v>
          </cell>
          <cell r="AG423">
            <v>417</v>
          </cell>
        </row>
        <row r="424">
          <cell r="A424" t="str">
            <v>P047</v>
          </cell>
          <cell r="B424" t="str">
            <v>PHU NU THE THAO</v>
          </cell>
          <cell r="C424">
            <v>9102539</v>
          </cell>
          <cell r="D424">
            <v>8222143</v>
          </cell>
          <cell r="E424" t="str">
            <v>48 Nguyen Dinh Chieu Q1</v>
          </cell>
          <cell r="F424" t="str">
            <v>Ms Yen 0903735445</v>
          </cell>
          <cell r="G424" t="str">
            <v>5/ Monthly</v>
          </cell>
          <cell r="H424">
            <v>40000</v>
          </cell>
          <cell r="I424">
            <v>0.15</v>
          </cell>
          <cell r="K424" t="str">
            <v>P047Cover 3FPFC</v>
          </cell>
          <cell r="L424" t="str">
            <v>Cover 3</v>
          </cell>
          <cell r="M424" t="str">
            <v>FPFC</v>
          </cell>
          <cell r="N424" t="str">
            <v>24X30</v>
          </cell>
          <cell r="P424">
            <v>33000</v>
          </cell>
          <cell r="S424">
            <v>0.15</v>
          </cell>
          <cell r="AC424">
            <v>15</v>
          </cell>
          <cell r="AD424">
            <v>10</v>
          </cell>
          <cell r="AE424">
            <v>150</v>
          </cell>
          <cell r="AF424" t="str">
            <v>CD</v>
          </cell>
          <cell r="AG424">
            <v>418</v>
          </cell>
        </row>
        <row r="425">
          <cell r="A425" t="str">
            <v>P047</v>
          </cell>
          <cell r="B425" t="str">
            <v>12E</v>
          </cell>
          <cell r="K425" t="str">
            <v>P047Cover 21/3VPFC</v>
          </cell>
          <cell r="L425" t="str">
            <v>Cover 2</v>
          </cell>
          <cell r="M425" t="str">
            <v>1/3VPFC</v>
          </cell>
          <cell r="N425" t="str">
            <v>8X30</v>
          </cell>
          <cell r="P425">
            <v>16500</v>
          </cell>
          <cell r="AG425">
            <v>419</v>
          </cell>
        </row>
        <row r="426">
          <cell r="A426" t="str">
            <v>P047</v>
          </cell>
          <cell r="K426" t="str">
            <v>P047Cover 31/3VPFC</v>
          </cell>
          <cell r="L426" t="str">
            <v>Cover 3</v>
          </cell>
          <cell r="M426" t="str">
            <v>1/3VPFC</v>
          </cell>
          <cell r="N426" t="str">
            <v>8X30</v>
          </cell>
          <cell r="P426">
            <v>16500</v>
          </cell>
          <cell r="AG426">
            <v>420</v>
          </cell>
        </row>
        <row r="427">
          <cell r="A427" t="str">
            <v>P047</v>
          </cell>
          <cell r="B427" t="str">
            <v>PHU NU THE THAO</v>
          </cell>
          <cell r="C427">
            <v>9102539</v>
          </cell>
          <cell r="D427">
            <v>8222143</v>
          </cell>
          <cell r="E427" t="str">
            <v>48 Nguyen Dinh Chieu Q1</v>
          </cell>
          <cell r="F427" t="str">
            <v>Ms Yen 0903735445</v>
          </cell>
          <cell r="G427" t="str">
            <v>5/ Monthly</v>
          </cell>
          <cell r="H427">
            <v>40000</v>
          </cell>
          <cell r="I427">
            <v>0.15</v>
          </cell>
          <cell r="K427" t="str">
            <v>P047InsideFPFC</v>
          </cell>
          <cell r="L427" t="str">
            <v>Inside</v>
          </cell>
          <cell r="M427" t="str">
            <v>FPFC</v>
          </cell>
          <cell r="N427" t="str">
            <v>24X30</v>
          </cell>
          <cell r="P427">
            <v>28270.000000000004</v>
          </cell>
          <cell r="S427">
            <v>0.15</v>
          </cell>
          <cell r="AC427">
            <v>15</v>
          </cell>
          <cell r="AD427">
            <v>10</v>
          </cell>
          <cell r="AE427">
            <v>150</v>
          </cell>
          <cell r="AF427" t="str">
            <v>CD</v>
          </cell>
          <cell r="AG427">
            <v>421</v>
          </cell>
        </row>
        <row r="428">
          <cell r="A428" t="str">
            <v>P047</v>
          </cell>
          <cell r="B428" t="str">
            <v>12E</v>
          </cell>
          <cell r="K428" t="str">
            <v>P047InsideHPFC</v>
          </cell>
          <cell r="L428" t="str">
            <v>Inside</v>
          </cell>
          <cell r="M428" t="str">
            <v>HPFC</v>
          </cell>
          <cell r="N428" t="str">
            <v>24X15</v>
          </cell>
          <cell r="P428">
            <v>15730.000000000002</v>
          </cell>
          <cell r="AG428">
            <v>422</v>
          </cell>
        </row>
        <row r="429">
          <cell r="A429" t="str">
            <v>P047</v>
          </cell>
          <cell r="K429" t="str">
            <v>P047InsideVPFC</v>
          </cell>
          <cell r="L429" t="str">
            <v>Inside</v>
          </cell>
          <cell r="M429" t="str">
            <v>VPFC</v>
          </cell>
          <cell r="N429" t="str">
            <v>12X30</v>
          </cell>
          <cell r="P429">
            <v>15730.000000000002</v>
          </cell>
          <cell r="AG429">
            <v>423</v>
          </cell>
        </row>
        <row r="430">
          <cell r="A430" t="str">
            <v>P047</v>
          </cell>
          <cell r="K430" t="str">
            <v>P047Content1/4VPFC</v>
          </cell>
          <cell r="L430" t="str">
            <v>Content</v>
          </cell>
          <cell r="M430" t="str">
            <v>1/4VPFC</v>
          </cell>
          <cell r="N430" t="str">
            <v>12X15</v>
          </cell>
          <cell r="P430">
            <v>10120</v>
          </cell>
          <cell r="AG430">
            <v>424</v>
          </cell>
        </row>
        <row r="431">
          <cell r="A431" t="str">
            <v>P047</v>
          </cell>
          <cell r="K431" t="str">
            <v>P047Inside- Consicutive1/3VPFC</v>
          </cell>
          <cell r="L431" t="str">
            <v>Inside- Consicutive</v>
          </cell>
          <cell r="M431" t="str">
            <v>1/3VPFC</v>
          </cell>
          <cell r="N431" t="str">
            <v>8X30</v>
          </cell>
          <cell r="P431">
            <v>16500</v>
          </cell>
          <cell r="AG431">
            <v>425</v>
          </cell>
        </row>
        <row r="432">
          <cell r="A432" t="str">
            <v>HOA HOC TRO 2</v>
          </cell>
          <cell r="B432" t="str">
            <v>PHU NU THE THAO</v>
          </cell>
          <cell r="C432">
            <v>9102539</v>
          </cell>
          <cell r="D432">
            <v>8222143</v>
          </cell>
          <cell r="E432" t="str">
            <v>48 Nguyen Dinh Chieu Q1</v>
          </cell>
          <cell r="F432" t="str">
            <v>Ms Yen 0903735445</v>
          </cell>
          <cell r="G432" t="str">
            <v>5/ Monthly</v>
          </cell>
          <cell r="H432">
            <v>40000</v>
          </cell>
          <cell r="I432">
            <v>0.15</v>
          </cell>
          <cell r="K432" t="str">
            <v>HOA HOC TRO 2</v>
          </cell>
          <cell r="L432" t="str">
            <v>Cover 4</v>
          </cell>
          <cell r="M432" t="str">
            <v>FPFC</v>
          </cell>
          <cell r="N432" t="str">
            <v>19.5X27.5</v>
          </cell>
          <cell r="P432">
            <v>30000</v>
          </cell>
          <cell r="S432">
            <v>0.15</v>
          </cell>
          <cell r="AC432">
            <v>15</v>
          </cell>
          <cell r="AD432">
            <v>10</v>
          </cell>
          <cell r="AE432">
            <v>150</v>
          </cell>
          <cell r="AF432" t="str">
            <v>CD</v>
          </cell>
          <cell r="AG432">
            <v>426</v>
          </cell>
        </row>
        <row r="433">
          <cell r="A433" t="str">
            <v>P048</v>
          </cell>
          <cell r="B433" t="str">
            <v>PHU NU THE THAO</v>
          </cell>
          <cell r="C433">
            <v>9102539</v>
          </cell>
          <cell r="D433">
            <v>8222143</v>
          </cell>
          <cell r="E433" t="str">
            <v>48 Nguyen Dinh Chieu Q1</v>
          </cell>
          <cell r="F433" t="str">
            <v>Ms Yen 0903735445</v>
          </cell>
          <cell r="G433" t="str">
            <v>5/ Monthly</v>
          </cell>
          <cell r="H433">
            <v>40000</v>
          </cell>
          <cell r="I433">
            <v>0.15</v>
          </cell>
          <cell r="K433" t="str">
            <v>P048Cover 4FPFC</v>
          </cell>
          <cell r="L433" t="str">
            <v>Cover 4</v>
          </cell>
          <cell r="M433" t="str">
            <v>FPFC</v>
          </cell>
          <cell r="N433" t="str">
            <v>19.5X27.5</v>
          </cell>
          <cell r="P433">
            <v>30000</v>
          </cell>
          <cell r="S433">
            <v>0.15</v>
          </cell>
          <cell r="AC433">
            <v>15</v>
          </cell>
          <cell r="AD433">
            <v>10</v>
          </cell>
          <cell r="AE433">
            <v>150</v>
          </cell>
          <cell r="AF433" t="str">
            <v>CD</v>
          </cell>
          <cell r="AG433">
            <v>427</v>
          </cell>
        </row>
        <row r="434">
          <cell r="A434" t="str">
            <v>P048</v>
          </cell>
          <cell r="B434" t="str">
            <v>12E</v>
          </cell>
          <cell r="K434" t="str">
            <v>P048Cover 2FPFC</v>
          </cell>
          <cell r="L434" t="str">
            <v>Cover 2</v>
          </cell>
          <cell r="M434" t="str">
            <v>FPFC</v>
          </cell>
          <cell r="N434" t="str">
            <v>19.5X27.5</v>
          </cell>
          <cell r="P434">
            <v>28000</v>
          </cell>
          <cell r="AG434">
            <v>428</v>
          </cell>
        </row>
        <row r="435">
          <cell r="A435" t="str">
            <v>P048</v>
          </cell>
          <cell r="K435" t="str">
            <v>P048Cover 3FPFC</v>
          </cell>
          <cell r="L435" t="str">
            <v>Cover 3</v>
          </cell>
          <cell r="M435" t="str">
            <v>FPFC</v>
          </cell>
          <cell r="N435" t="str">
            <v>19.5X27.5</v>
          </cell>
          <cell r="P435">
            <v>28000</v>
          </cell>
          <cell r="AG435">
            <v>429</v>
          </cell>
        </row>
        <row r="436">
          <cell r="A436" t="str">
            <v>P048</v>
          </cell>
          <cell r="B436" t="str">
            <v>NGUOI LAO DONG CN</v>
          </cell>
          <cell r="C436">
            <v>9303373</v>
          </cell>
          <cell r="D436">
            <v>9303373</v>
          </cell>
          <cell r="E436" t="str">
            <v>19 Vo Van Tan, Q.3, Qp. HCM</v>
          </cell>
          <cell r="F436" t="str">
            <v>Ms Hien 098 8883754/ Ms Ha 0903122633</v>
          </cell>
          <cell r="G436" t="str">
            <v>Sun/ Weekly</v>
          </cell>
          <cell r="K436" t="str">
            <v>P048InsideFPFC</v>
          </cell>
          <cell r="L436" t="str">
            <v>Inside</v>
          </cell>
          <cell r="M436" t="str">
            <v>FPFC</v>
          </cell>
          <cell r="N436" t="str">
            <v>19.5X27.5</v>
          </cell>
          <cell r="P436">
            <v>20000</v>
          </cell>
          <cell r="AC436">
            <v>15</v>
          </cell>
          <cell r="AD436">
            <v>10</v>
          </cell>
          <cell r="AE436">
            <v>150</v>
          </cell>
          <cell r="AF436" t="str">
            <v>CD</v>
          </cell>
          <cell r="AG436">
            <v>430</v>
          </cell>
        </row>
        <row r="437">
          <cell r="A437" t="str">
            <v>P048</v>
          </cell>
          <cell r="B437" t="str">
            <v>11D</v>
          </cell>
          <cell r="K437" t="str">
            <v>P048InsideHPFC</v>
          </cell>
          <cell r="L437" t="str">
            <v>Inside</v>
          </cell>
          <cell r="M437" t="str">
            <v>HPFC</v>
          </cell>
          <cell r="N437" t="str">
            <v>19.5X13.5</v>
          </cell>
          <cell r="P437">
            <v>10500</v>
          </cell>
          <cell r="AG437">
            <v>431</v>
          </cell>
        </row>
        <row r="438">
          <cell r="A438" t="str">
            <v>P048</v>
          </cell>
          <cell r="K438" t="str">
            <v>P048InsideQPFC</v>
          </cell>
          <cell r="L438" t="str">
            <v>Inside</v>
          </cell>
          <cell r="M438" t="str">
            <v>QPFC</v>
          </cell>
          <cell r="N438" t="str">
            <v>9.5X13</v>
          </cell>
          <cell r="P438">
            <v>5500</v>
          </cell>
          <cell r="AG438">
            <v>432</v>
          </cell>
        </row>
        <row r="439">
          <cell r="A439" t="str">
            <v>P048</v>
          </cell>
          <cell r="B439" t="str">
            <v>NHA DEP</v>
          </cell>
          <cell r="D439">
            <v>8483810</v>
          </cell>
          <cell r="F439" t="str">
            <v>Ms Huong 0918291777</v>
          </cell>
          <cell r="G439" t="str">
            <v>5/ Monthly</v>
          </cell>
          <cell r="I439">
            <v>0.1</v>
          </cell>
          <cell r="K439" t="str">
            <v>P048Inside1/4HPFC</v>
          </cell>
          <cell r="L439" t="str">
            <v>Inside</v>
          </cell>
          <cell r="M439" t="str">
            <v>1/4HPFC</v>
          </cell>
          <cell r="N439" t="str">
            <v>19.5X7</v>
          </cell>
          <cell r="P439">
            <v>5500</v>
          </cell>
          <cell r="Y439">
            <v>0.1</v>
          </cell>
          <cell r="AC439">
            <v>15</v>
          </cell>
          <cell r="AD439">
            <v>15</v>
          </cell>
          <cell r="AE439">
            <v>175</v>
          </cell>
          <cell r="AF439" t="str">
            <v>CD</v>
          </cell>
          <cell r="AG439">
            <v>433</v>
          </cell>
        </row>
        <row r="440">
          <cell r="A440" t="str">
            <v>P048</v>
          </cell>
          <cell r="B440" t="str">
            <v>9G</v>
          </cell>
          <cell r="K440" t="str">
            <v>P048Strip ad</v>
          </cell>
          <cell r="L440" t="str">
            <v>Strip ad</v>
          </cell>
          <cell r="M440" t="str">
            <v>FPFC</v>
          </cell>
          <cell r="N440" t="str">
            <v>19.5X5</v>
          </cell>
          <cell r="P440">
            <v>5500</v>
          </cell>
          <cell r="AG440">
            <v>434</v>
          </cell>
        </row>
        <row r="441">
          <cell r="A441" t="str">
            <v>PHU NU THE THAO</v>
          </cell>
          <cell r="B441" t="str">
            <v>NGUOI LAO DONG CN</v>
          </cell>
          <cell r="C441">
            <v>9303373</v>
          </cell>
          <cell r="D441">
            <v>9303373</v>
          </cell>
          <cell r="E441" t="str">
            <v>19 Vo Van Tan, Q.3, Qp. HCM</v>
          </cell>
          <cell r="F441" t="str">
            <v>Ms Hien 098 8883754/ Ms Ha 0903122633</v>
          </cell>
          <cell r="G441" t="str">
            <v>Sun/ Weekly</v>
          </cell>
          <cell r="K441" t="str">
            <v>PHU NU THE THAO</v>
          </cell>
          <cell r="L441" t="str">
            <v>Last</v>
          </cell>
          <cell r="M441" t="str">
            <v>FPFC</v>
          </cell>
          <cell r="N441" t="str">
            <v>26.5X37</v>
          </cell>
          <cell r="P441">
            <v>25000</v>
          </cell>
          <cell r="AC441">
            <v>15</v>
          </cell>
          <cell r="AD441">
            <v>10</v>
          </cell>
          <cell r="AE441">
            <v>150</v>
          </cell>
          <cell r="AF441" t="str">
            <v>CD</v>
          </cell>
          <cell r="AG441">
            <v>435</v>
          </cell>
        </row>
        <row r="442">
          <cell r="A442" t="str">
            <v>P049</v>
          </cell>
          <cell r="B442" t="str">
            <v>NGUOI LAO DONG CN</v>
          </cell>
          <cell r="C442">
            <v>9303373</v>
          </cell>
          <cell r="D442">
            <v>9303373</v>
          </cell>
          <cell r="E442" t="str">
            <v>19 Vo Van Tan, Q.3, Qp. HCM</v>
          </cell>
          <cell r="F442" t="str">
            <v>Ms Hien 098 8883754/ Ms Ha 0903122633</v>
          </cell>
          <cell r="G442" t="str">
            <v>Sun/ Weekly</v>
          </cell>
          <cell r="I442">
            <v>0.1</v>
          </cell>
          <cell r="K442" t="str">
            <v>P049LastFPFC</v>
          </cell>
          <cell r="L442" t="str">
            <v>Last</v>
          </cell>
          <cell r="M442" t="str">
            <v>FPFC</v>
          </cell>
          <cell r="N442" t="str">
            <v>26.5X37</v>
          </cell>
          <cell r="P442">
            <v>25000</v>
          </cell>
          <cell r="Y442">
            <v>0.1</v>
          </cell>
          <cell r="AC442">
            <v>15</v>
          </cell>
          <cell r="AD442">
            <v>10</v>
          </cell>
          <cell r="AE442">
            <v>150</v>
          </cell>
          <cell r="AF442" t="str">
            <v>CD</v>
          </cell>
          <cell r="AG442">
            <v>436</v>
          </cell>
        </row>
        <row r="443">
          <cell r="A443" t="str">
            <v>P049</v>
          </cell>
          <cell r="B443" t="str">
            <v>11D</v>
          </cell>
          <cell r="K443" t="str">
            <v>P049FirstFPFC</v>
          </cell>
          <cell r="L443" t="str">
            <v>First</v>
          </cell>
          <cell r="M443" t="str">
            <v>FPFC</v>
          </cell>
          <cell r="N443" t="str">
            <v>26.5X35.5</v>
          </cell>
          <cell r="P443">
            <v>16000</v>
          </cell>
          <cell r="AG443">
            <v>437</v>
          </cell>
        </row>
        <row r="444">
          <cell r="A444" t="str">
            <v>P049</v>
          </cell>
          <cell r="K444" t="str">
            <v>P049InsideFPFC</v>
          </cell>
          <cell r="L444" t="str">
            <v>Inside</v>
          </cell>
          <cell r="M444" t="str">
            <v>FPFC</v>
          </cell>
          <cell r="N444" t="str">
            <v>26.5X37</v>
          </cell>
          <cell r="O444" t="str">
            <v>23.6X28.1</v>
          </cell>
          <cell r="P444">
            <v>14000</v>
          </cell>
          <cell r="AG444">
            <v>438</v>
          </cell>
        </row>
        <row r="445">
          <cell r="A445" t="str">
            <v>P049</v>
          </cell>
          <cell r="B445" t="str">
            <v>BO SUU TAP NHA DEP</v>
          </cell>
          <cell r="D445">
            <v>8483810</v>
          </cell>
          <cell r="F445" t="str">
            <v>Ms Huong 0918291777</v>
          </cell>
          <cell r="G445" t="str">
            <v>5/ Monthly</v>
          </cell>
          <cell r="K445" t="str">
            <v>P049InsideHPFC</v>
          </cell>
          <cell r="L445" t="str">
            <v>Inside</v>
          </cell>
          <cell r="M445" t="str">
            <v>HPFC</v>
          </cell>
          <cell r="N445" t="str">
            <v>26.5X17.5</v>
          </cell>
          <cell r="P445">
            <v>7000</v>
          </cell>
          <cell r="AC445">
            <v>15</v>
          </cell>
          <cell r="AD445">
            <v>15</v>
          </cell>
          <cell r="AE445">
            <v>175</v>
          </cell>
          <cell r="AF445" t="str">
            <v>CD</v>
          </cell>
          <cell r="AG445">
            <v>439</v>
          </cell>
        </row>
        <row r="446">
          <cell r="A446" t="str">
            <v>P049</v>
          </cell>
          <cell r="B446" t="str">
            <v>9G</v>
          </cell>
          <cell r="K446" t="str">
            <v>P049Strip ad</v>
          </cell>
          <cell r="L446" t="str">
            <v>Strip ad</v>
          </cell>
          <cell r="M446" t="str">
            <v>FPFC</v>
          </cell>
          <cell r="N446" t="str">
            <v>26.5X4.5</v>
          </cell>
          <cell r="P446">
            <v>2200</v>
          </cell>
          <cell r="AG446">
            <v>440</v>
          </cell>
        </row>
        <row r="447">
          <cell r="A447" t="str">
            <v>NGUOI LAO DONG</v>
          </cell>
          <cell r="B447" t="str">
            <v>NHA DEP</v>
          </cell>
          <cell r="D447">
            <v>8483810</v>
          </cell>
          <cell r="F447" t="str">
            <v>Ms Huong 0918291777</v>
          </cell>
          <cell r="G447" t="str">
            <v>5/ Monthly</v>
          </cell>
          <cell r="I447">
            <v>0.1</v>
          </cell>
          <cell r="K447" t="str">
            <v>NGUOI LAO DONG</v>
          </cell>
          <cell r="L447" t="str">
            <v>Cover 2</v>
          </cell>
          <cell r="M447" t="str">
            <v>FPFC</v>
          </cell>
          <cell r="N447" t="str">
            <v>19.4X23.9</v>
          </cell>
          <cell r="P447">
            <v>26400.000000000004</v>
          </cell>
          <cell r="Y447">
            <v>0.1</v>
          </cell>
          <cell r="AC447">
            <v>15</v>
          </cell>
          <cell r="AD447">
            <v>15</v>
          </cell>
          <cell r="AE447">
            <v>175</v>
          </cell>
          <cell r="AF447" t="str">
            <v>CD</v>
          </cell>
          <cell r="AG447">
            <v>441</v>
          </cell>
        </row>
        <row r="448">
          <cell r="A448" t="str">
            <v>P050</v>
          </cell>
          <cell r="B448" t="str">
            <v>NHA DEP</v>
          </cell>
          <cell r="D448">
            <v>8483810</v>
          </cell>
          <cell r="F448" t="str">
            <v>Ms Huong 0918291777</v>
          </cell>
          <cell r="G448" t="str">
            <v>5/ Monthly</v>
          </cell>
          <cell r="I448">
            <v>0.1</v>
          </cell>
          <cell r="K448" t="str">
            <v>P050Cover 2FPFC</v>
          </cell>
          <cell r="L448" t="str">
            <v>Cover 2</v>
          </cell>
          <cell r="M448" t="str">
            <v>FPFC</v>
          </cell>
          <cell r="N448" t="str">
            <v>19.4X23.9</v>
          </cell>
          <cell r="P448">
            <v>26400.000000000004</v>
          </cell>
          <cell r="Y448">
            <v>0.1</v>
          </cell>
          <cell r="AC448">
            <v>15</v>
          </cell>
          <cell r="AD448">
            <v>15</v>
          </cell>
          <cell r="AE448">
            <v>175</v>
          </cell>
          <cell r="AF448" t="str">
            <v>CD</v>
          </cell>
          <cell r="AG448">
            <v>442</v>
          </cell>
        </row>
        <row r="449">
          <cell r="A449" t="str">
            <v>P050</v>
          </cell>
          <cell r="B449" t="str">
            <v>9G</v>
          </cell>
          <cell r="K449" t="str">
            <v>P050Cover 3FPFC</v>
          </cell>
          <cell r="L449" t="str">
            <v>Cover 3</v>
          </cell>
          <cell r="M449" t="str">
            <v>FPFC</v>
          </cell>
          <cell r="N449" t="str">
            <v>19.4X23.9</v>
          </cell>
          <cell r="O449" t="str">
            <v>23.6X28.1</v>
          </cell>
          <cell r="P449">
            <v>24200.000000000004</v>
          </cell>
          <cell r="AG449">
            <v>443</v>
          </cell>
        </row>
        <row r="450">
          <cell r="A450" t="str">
            <v>P050</v>
          </cell>
          <cell r="K450" t="str">
            <v>P050Cover 4FPFC</v>
          </cell>
          <cell r="L450" t="str">
            <v>Cover 4</v>
          </cell>
          <cell r="M450" t="str">
            <v>FPFC</v>
          </cell>
          <cell r="N450" t="str">
            <v>23X27.5</v>
          </cell>
          <cell r="O450" t="str">
            <v>23.6X28.1</v>
          </cell>
          <cell r="P450">
            <v>28600.000000000004</v>
          </cell>
          <cell r="AG450">
            <v>444</v>
          </cell>
        </row>
        <row r="451">
          <cell r="A451" t="str">
            <v>P050</v>
          </cell>
          <cell r="K451" t="str">
            <v>P050InsideFPFC</v>
          </cell>
          <cell r="L451" t="str">
            <v>Inside</v>
          </cell>
          <cell r="M451" t="str">
            <v>FPFC</v>
          </cell>
          <cell r="N451" t="str">
            <v>19.4X23.9</v>
          </cell>
          <cell r="P451">
            <v>19800</v>
          </cell>
          <cell r="AG451">
            <v>445</v>
          </cell>
        </row>
      </sheetData>
      <sheetData sheetId="3"/>
      <sheetData sheetId="4"/>
      <sheetData sheetId="5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LYER 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1"/>
      <sheetName val="P2"/>
      <sheetName val="P3"/>
      <sheetName val="P3 to P4 New"/>
      <sheetName val="P4"/>
      <sheetName val="P3 template for Automation"/>
      <sheetName val="P3_to_P4_New"/>
      <sheetName val="P3_template_for_Autom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9295A-739F-4644-9D0C-59941AE9E161}">
  <sheetPr>
    <pageSetUpPr fitToPage="1"/>
  </sheetPr>
  <dimension ref="A1:V30"/>
  <sheetViews>
    <sheetView showGridLines="0" tabSelected="1" zoomScale="80" zoomScaleNormal="80" workbookViewId="0">
      <selection activeCell="L17" sqref="L13:L17"/>
    </sheetView>
  </sheetViews>
  <sheetFormatPr defaultColWidth="0" defaultRowHeight="14.5"/>
  <cols>
    <col min="1" max="1" width="3.81640625" style="1" customWidth="1"/>
    <col min="2" max="2" width="12.36328125" style="40" customWidth="1"/>
    <col min="3" max="3" width="21.1796875" style="50" customWidth="1"/>
    <col min="4" max="4" width="50" style="1" customWidth="1"/>
    <col min="5" max="5" width="8.6328125" style="1" customWidth="1"/>
    <col min="6" max="6" width="13.36328125" style="1" customWidth="1"/>
    <col min="7" max="7" width="12.6328125" style="1" customWidth="1"/>
    <col min="8" max="8" width="15" style="1" customWidth="1"/>
    <col min="9" max="9" width="16.1796875" style="39" customWidth="1"/>
    <col min="10" max="10" width="11.453125" style="33" customWidth="1"/>
    <col min="11" max="11" width="8.81640625" style="33" customWidth="1"/>
    <col min="12" max="12" width="14.1796875" style="34" customWidth="1"/>
    <col min="13" max="13" width="10.1796875" style="34" bestFit="1" customWidth="1"/>
    <col min="14" max="14" width="8.81640625" style="33" customWidth="1"/>
    <col min="15" max="15" width="12.1796875" style="33" customWidth="1"/>
    <col min="16" max="16" width="8.81640625" style="33" customWidth="1"/>
    <col min="17" max="17" width="11" style="33" customWidth="1"/>
    <col min="18" max="20" width="8.81640625" style="33" customWidth="1"/>
    <col min="21" max="21" width="6.453125" style="33" customWidth="1"/>
    <col min="22" max="22" width="8.81640625" style="33" hidden="1" bestFit="1" customWidth="1"/>
    <col min="23" max="250" width="8.81640625" style="33" customWidth="1"/>
    <col min="251" max="251" width="2.36328125" style="33" customWidth="1"/>
    <col min="252" max="252" width="8" style="33" customWidth="1"/>
    <col min="253" max="253" width="0" style="33" hidden="1"/>
    <col min="254" max="254" width="55" style="33" customWidth="1"/>
    <col min="255" max="16384" width="0" style="33" hidden="1"/>
  </cols>
  <sheetData>
    <row r="1" spans="1:13" s="19" customFormat="1" ht="77" customHeight="1">
      <c r="E1" s="20"/>
      <c r="F1" s="62" t="s">
        <v>25</v>
      </c>
      <c r="G1" s="63"/>
      <c r="H1" s="63"/>
      <c r="I1" s="63"/>
    </row>
    <row r="2" spans="1:13" s="22" customFormat="1" ht="27.5">
      <c r="A2" s="21"/>
      <c r="B2" s="54" t="s">
        <v>24</v>
      </c>
      <c r="C2" s="54"/>
      <c r="D2" s="54"/>
      <c r="E2" s="54"/>
      <c r="F2" s="54"/>
      <c r="G2" s="54"/>
      <c r="H2" s="54"/>
      <c r="I2" s="54"/>
    </row>
    <row r="3" spans="1:13" s="28" customFormat="1" ht="67" customHeight="1">
      <c r="A3" s="23"/>
      <c r="B3" s="24"/>
      <c r="C3" s="25" t="s">
        <v>34</v>
      </c>
      <c r="D3" s="26"/>
      <c r="E3" s="27"/>
      <c r="F3" s="62" t="s">
        <v>26</v>
      </c>
      <c r="G3" s="63"/>
      <c r="H3" s="63"/>
      <c r="I3" s="63"/>
    </row>
    <row r="4" spans="1:13" s="30" customFormat="1" ht="25" customHeight="1">
      <c r="A4" s="29"/>
      <c r="B4" s="13" t="s">
        <v>0</v>
      </c>
      <c r="C4" s="13" t="s">
        <v>1</v>
      </c>
      <c r="D4" s="13" t="s">
        <v>2</v>
      </c>
      <c r="E4" s="13" t="s">
        <v>3</v>
      </c>
      <c r="F4" s="13" t="s">
        <v>4</v>
      </c>
      <c r="G4" s="14" t="s">
        <v>20</v>
      </c>
      <c r="H4" s="14" t="s">
        <v>21</v>
      </c>
      <c r="I4" s="13" t="s">
        <v>22</v>
      </c>
      <c r="L4" s="31"/>
      <c r="M4" s="31"/>
    </row>
    <row r="5" spans="1:13" s="30" customFormat="1" ht="25" customHeight="1">
      <c r="A5" s="29"/>
      <c r="B5" s="56" t="s">
        <v>32</v>
      </c>
      <c r="C5" s="57"/>
      <c r="D5" s="57"/>
      <c r="E5" s="57"/>
      <c r="F5" s="57"/>
      <c r="G5" s="57"/>
      <c r="H5" s="57"/>
      <c r="I5" s="58"/>
      <c r="J5" s="32" t="s">
        <v>31</v>
      </c>
      <c r="L5" s="31"/>
      <c r="M5" s="31"/>
    </row>
    <row r="6" spans="1:13" ht="42" customHeight="1">
      <c r="B6" s="12">
        <v>1</v>
      </c>
      <c r="C6" s="17" t="s">
        <v>9</v>
      </c>
      <c r="D6" s="4" t="s">
        <v>18</v>
      </c>
      <c r="E6" s="3" t="s">
        <v>8</v>
      </c>
      <c r="F6" s="5">
        <v>3</v>
      </c>
      <c r="G6" s="7">
        <v>450000</v>
      </c>
      <c r="H6" s="7">
        <f>G6*F6</f>
        <v>1350000</v>
      </c>
      <c r="I6" s="11"/>
    </row>
    <row r="7" spans="1:13" ht="45" customHeight="1">
      <c r="B7" s="59">
        <v>2</v>
      </c>
      <c r="C7" s="51" t="s">
        <v>11</v>
      </c>
      <c r="D7" s="4" t="s">
        <v>12</v>
      </c>
      <c r="E7" s="3" t="s">
        <v>10</v>
      </c>
      <c r="F7" s="5">
        <f>15*5</f>
        <v>75</v>
      </c>
      <c r="G7" s="7">
        <v>360000</v>
      </c>
      <c r="H7" s="7">
        <f t="shared" ref="H7:H12" si="0">G7*F7</f>
        <v>27000000</v>
      </c>
      <c r="I7" s="11"/>
    </row>
    <row r="8" spans="1:13" ht="39.5">
      <c r="B8" s="60"/>
      <c r="C8" s="52"/>
      <c r="D8" s="10" t="s">
        <v>23</v>
      </c>
      <c r="E8" s="3" t="s">
        <v>8</v>
      </c>
      <c r="F8" s="5">
        <v>1</v>
      </c>
      <c r="G8" s="7">
        <f>8*1.9*950000</f>
        <v>14440000</v>
      </c>
      <c r="H8" s="7">
        <f t="shared" si="0"/>
        <v>14440000</v>
      </c>
      <c r="I8" s="11"/>
      <c r="J8" s="35" t="s">
        <v>35</v>
      </c>
    </row>
    <row r="9" spans="1:13" ht="24" customHeight="1">
      <c r="B9" s="61"/>
      <c r="C9" s="53"/>
      <c r="D9" s="4" t="s">
        <v>16</v>
      </c>
      <c r="E9" s="3" t="s">
        <v>15</v>
      </c>
      <c r="F9" s="5">
        <v>14</v>
      </c>
      <c r="G9" s="7">
        <v>300000</v>
      </c>
      <c r="H9" s="7">
        <f>G9*F9</f>
        <v>4200000</v>
      </c>
      <c r="I9" s="11"/>
    </row>
    <row r="10" spans="1:13" ht="46" customHeight="1">
      <c r="B10" s="59">
        <v>3</v>
      </c>
      <c r="C10" s="51" t="s">
        <v>13</v>
      </c>
      <c r="D10" s="4" t="s">
        <v>14</v>
      </c>
      <c r="E10" s="3" t="s">
        <v>10</v>
      </c>
      <c r="F10" s="5">
        <f>9*5</f>
        <v>45</v>
      </c>
      <c r="G10" s="7">
        <v>360000</v>
      </c>
      <c r="H10" s="7">
        <f t="shared" si="0"/>
        <v>16200000</v>
      </c>
      <c r="I10" s="11"/>
    </row>
    <row r="11" spans="1:13" ht="46" customHeight="1">
      <c r="B11" s="60"/>
      <c r="C11" s="52"/>
      <c r="D11" s="4" t="s">
        <v>19</v>
      </c>
      <c r="E11" s="3" t="s">
        <v>8</v>
      </c>
      <c r="F11" s="5">
        <v>1</v>
      </c>
      <c r="G11" s="7">
        <f>5*2*290000+800000</f>
        <v>3700000</v>
      </c>
      <c r="H11" s="7">
        <f t="shared" si="0"/>
        <v>3700000</v>
      </c>
      <c r="I11" s="11"/>
    </row>
    <row r="12" spans="1:13" ht="46" customHeight="1">
      <c r="B12" s="61"/>
      <c r="C12" s="53"/>
      <c r="D12" s="4" t="s">
        <v>17</v>
      </c>
      <c r="E12" s="3" t="s">
        <v>8</v>
      </c>
      <c r="F12" s="5">
        <v>1</v>
      </c>
      <c r="G12" s="7">
        <f>9*2.5*360000</f>
        <v>8100000</v>
      </c>
      <c r="H12" s="7">
        <f t="shared" si="0"/>
        <v>8100000</v>
      </c>
      <c r="I12" s="11"/>
    </row>
    <row r="13" spans="1:13" s="38" customFormat="1" ht="21" customHeight="1">
      <c r="A13" s="2"/>
      <c r="B13" s="64" t="s">
        <v>5</v>
      </c>
      <c r="C13" s="64"/>
      <c r="D13" s="64"/>
      <c r="E13" s="64"/>
      <c r="F13" s="64"/>
      <c r="G13" s="64"/>
      <c r="H13" s="15">
        <f>SUM(H6:H12)</f>
        <v>74990000</v>
      </c>
      <c r="I13" s="36"/>
      <c r="J13" s="6"/>
      <c r="K13" s="6"/>
      <c r="L13" s="37"/>
    </row>
    <row r="14" spans="1:13" ht="21" customHeight="1">
      <c r="B14" s="64" t="s">
        <v>6</v>
      </c>
      <c r="C14" s="64"/>
      <c r="D14" s="64"/>
      <c r="E14" s="64"/>
      <c r="F14" s="64"/>
      <c r="G14" s="64"/>
      <c r="H14" s="16">
        <f>H13*8%</f>
        <v>5999200</v>
      </c>
      <c r="I14" s="38"/>
    </row>
    <row r="15" spans="1:13" ht="21" customHeight="1">
      <c r="B15" s="64" t="s">
        <v>7</v>
      </c>
      <c r="C15" s="64"/>
      <c r="D15" s="64"/>
      <c r="E15" s="64"/>
      <c r="F15" s="64"/>
      <c r="G15" s="64"/>
      <c r="H15" s="16">
        <f>H13+H14</f>
        <v>80989200</v>
      </c>
    </row>
    <row r="16" spans="1:13">
      <c r="B16" s="9"/>
      <c r="C16" s="8"/>
    </row>
    <row r="17" spans="1:13" ht="61" customHeight="1">
      <c r="C17" s="55" t="s">
        <v>33</v>
      </c>
      <c r="D17" s="55"/>
      <c r="E17" s="41"/>
      <c r="F17" s="42"/>
      <c r="G17" s="18" t="s">
        <v>27</v>
      </c>
      <c r="H17" s="43"/>
    </row>
    <row r="18" spans="1:13">
      <c r="C18" s="44" t="s">
        <v>28</v>
      </c>
      <c r="D18" s="44"/>
      <c r="E18" s="45"/>
      <c r="F18" s="44"/>
      <c r="G18" s="44" t="s">
        <v>29</v>
      </c>
      <c r="H18" s="45"/>
    </row>
    <row r="19" spans="1:13" s="39" customFormat="1">
      <c r="A19" s="1"/>
      <c r="C19" s="45"/>
      <c r="D19" s="45"/>
      <c r="E19" s="44"/>
      <c r="F19" s="44"/>
      <c r="G19" s="46"/>
      <c r="H19" s="45"/>
      <c r="J19" s="33"/>
      <c r="K19" s="33"/>
      <c r="L19" s="34"/>
      <c r="M19" s="47"/>
    </row>
    <row r="20" spans="1:13" s="39" customFormat="1" ht="24" customHeight="1">
      <c r="A20" s="33"/>
      <c r="B20" s="9"/>
      <c r="C20" s="45"/>
      <c r="D20" s="45"/>
      <c r="E20" s="44"/>
      <c r="F20" s="44"/>
      <c r="G20" s="46"/>
      <c r="H20" s="45"/>
      <c r="J20" s="33"/>
      <c r="K20" s="33"/>
      <c r="L20" s="34"/>
      <c r="M20" s="47"/>
    </row>
    <row r="21" spans="1:13" s="39" customFormat="1">
      <c r="A21" s="33"/>
      <c r="B21" s="48"/>
      <c r="C21" s="45"/>
      <c r="D21" s="45"/>
      <c r="E21" s="44"/>
      <c r="F21" s="44"/>
      <c r="G21" s="46"/>
      <c r="H21" s="45"/>
      <c r="J21" s="33"/>
      <c r="K21" s="33"/>
      <c r="L21" s="34"/>
      <c r="M21" s="47"/>
    </row>
    <row r="22" spans="1:13" s="39" customFormat="1" ht="15.5">
      <c r="A22" s="1"/>
      <c r="B22" s="49"/>
      <c r="C22" s="45"/>
      <c r="D22" s="45"/>
      <c r="E22" s="45"/>
      <c r="F22" s="44"/>
      <c r="G22" s="44" t="s">
        <v>30</v>
      </c>
      <c r="H22" s="45"/>
      <c r="J22" s="33"/>
      <c r="K22" s="33"/>
      <c r="L22" s="34"/>
      <c r="M22" s="47"/>
    </row>
    <row r="23" spans="1:13" s="39" customFormat="1" ht="15.5">
      <c r="A23" s="1"/>
      <c r="B23" s="49"/>
      <c r="C23" s="50"/>
      <c r="D23" s="1"/>
      <c r="E23" s="1"/>
      <c r="F23" s="1"/>
      <c r="G23" s="1"/>
      <c r="H23" s="1"/>
      <c r="J23" s="33"/>
      <c r="K23" s="33"/>
      <c r="L23" s="34"/>
      <c r="M23" s="47"/>
    </row>
    <row r="24" spans="1:13" s="39" customFormat="1" ht="15.5">
      <c r="A24" s="1"/>
      <c r="B24" s="49"/>
      <c r="C24" s="50"/>
      <c r="D24" s="1"/>
      <c r="E24" s="1"/>
      <c r="F24" s="1"/>
      <c r="G24" s="1"/>
      <c r="H24" s="1"/>
      <c r="J24" s="33"/>
      <c r="K24" s="33"/>
      <c r="L24" s="34"/>
      <c r="M24" s="47"/>
    </row>
    <row r="25" spans="1:13" s="39" customFormat="1" ht="15.5">
      <c r="A25" s="33"/>
      <c r="B25" s="49"/>
      <c r="C25" s="50"/>
      <c r="D25" s="1"/>
      <c r="E25" s="1"/>
      <c r="F25" s="1"/>
      <c r="G25" s="1"/>
      <c r="H25" s="1"/>
      <c r="J25" s="33"/>
      <c r="K25" s="33"/>
      <c r="L25" s="34"/>
      <c r="M25" s="47"/>
    </row>
    <row r="26" spans="1:13" s="39" customFormat="1">
      <c r="A26" s="33"/>
      <c r="B26" s="48"/>
      <c r="C26" s="50"/>
      <c r="D26" s="1"/>
      <c r="E26" s="1"/>
      <c r="F26" s="1"/>
      <c r="G26" s="1"/>
      <c r="H26" s="1"/>
      <c r="J26" s="33"/>
      <c r="K26" s="33"/>
      <c r="L26" s="34"/>
      <c r="M26" s="47"/>
    </row>
    <row r="27" spans="1:13" s="39" customFormat="1">
      <c r="A27" s="33"/>
      <c r="B27" s="48"/>
      <c r="C27" s="50"/>
      <c r="D27" s="1"/>
      <c r="E27" s="1"/>
      <c r="F27" s="1"/>
      <c r="G27" s="1"/>
      <c r="H27" s="1"/>
      <c r="J27" s="33"/>
      <c r="K27" s="33"/>
      <c r="L27" s="34"/>
      <c r="M27" s="47"/>
    </row>
    <row r="28" spans="1:13" s="39" customFormat="1">
      <c r="A28" s="33"/>
      <c r="B28" s="48"/>
      <c r="C28" s="50"/>
      <c r="D28" s="1"/>
      <c r="F28" s="1"/>
      <c r="G28" s="1"/>
      <c r="H28" s="1"/>
      <c r="J28" s="33"/>
      <c r="K28" s="33"/>
      <c r="L28" s="34"/>
      <c r="M28" s="47"/>
    </row>
    <row r="29" spans="1:13" s="39" customFormat="1">
      <c r="A29" s="33"/>
      <c r="B29" s="48"/>
      <c r="C29" s="50"/>
      <c r="D29" s="1"/>
      <c r="E29" s="1"/>
      <c r="F29" s="1"/>
      <c r="G29" s="1"/>
      <c r="H29" s="1"/>
      <c r="J29" s="33"/>
      <c r="K29" s="33"/>
      <c r="L29" s="34"/>
      <c r="M29" s="47"/>
    </row>
    <row r="30" spans="1:13">
      <c r="B30" s="48"/>
    </row>
  </sheetData>
  <mergeCells count="12">
    <mergeCell ref="F1:I1"/>
    <mergeCell ref="B13:G13"/>
    <mergeCell ref="B14:G14"/>
    <mergeCell ref="B15:G15"/>
    <mergeCell ref="C7:C9"/>
    <mergeCell ref="C10:C12"/>
    <mergeCell ref="B2:I2"/>
    <mergeCell ref="C17:D17"/>
    <mergeCell ref="B5:I5"/>
    <mergeCell ref="B7:B9"/>
    <mergeCell ref="B10:B12"/>
    <mergeCell ref="F3:I3"/>
  </mergeCells>
  <phoneticPr fontId="26" type="noConversion"/>
  <pageMargins left="0.25" right="0.25" top="0.75" bottom="0.75" header="0.3" footer="0.3"/>
  <pageSetup paperSize="9" scale="55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CLF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Customer</dc:creator>
  <cp:lastModifiedBy>Administrator</cp:lastModifiedBy>
  <cp:lastPrinted>2026-01-15T08:36:27Z</cp:lastPrinted>
  <dcterms:created xsi:type="dcterms:W3CDTF">2000-06-22T04:23:24Z</dcterms:created>
  <dcterms:modified xsi:type="dcterms:W3CDTF">2026-05-31T15:46:16Z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8FFCEDBC79C94C6386A1F41FEA312276</vt:lpwstr>
  </property>
  <property fmtid="{D5CDD505-2E9C-101B-9397-08002B2CF9AE}" pid="3" name="KSOProductBuildVer">
    <vt:lpwstr>1033-11.2.0.10351</vt:lpwstr>
  </property>
</Properties>
</file>