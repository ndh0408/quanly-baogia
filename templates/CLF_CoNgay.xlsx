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240" yWindow="2240" windowWidth="19200" windowHeight="11170"/>
  </bookViews>
  <sheets>
    <sheet sheetId="71" name="CLF " state="visible" r:id="rId4"/>
  </sheets>
  <definedNames>
    <definedName name="Channels">'[4]Lists'!$A$1:$A$17</definedName>
    <definedName name="CO">'[5]DATA'!$I$12:$I$318</definedName>
    <definedName name="DC">'[6]DC'!$A$1:$D$395</definedName>
    <definedName name="Discount">'[7]Rate-Card-04'!$W$6:$AF$7</definedName>
    <definedName name="Est">'[9]Cover Estimator'!$C$10</definedName>
    <definedName name="fnghx">'[11]Ratecard'!$AG$5</definedName>
    <definedName name="Grad">'[9]Cover Estimator'!$C$7</definedName>
    <definedName name="Info">'[11]Ratecard'!$A$7:$AG$451</definedName>
    <definedName name="Input">'[9]Cover Estimator'!$A$11</definedName>
    <definedName name="Limit">'[9]Cover Estimator'!$C$8</definedName>
    <definedName name="MACO">'[5]DATA'!$L$12:$L$318</definedName>
    <definedName name="MANO">'[5]DATA'!$K$12:$K$318</definedName>
    <definedName name="NET_PDT56">'[3]S'!$Q$18:$Q$24,'[3]S'!$Q$27</definedName>
    <definedName name="NET_PDT66">'[3]S'!$R$18:$R$24,'[3]S'!$R$27</definedName>
    <definedName name="NO">'[5]DATA'!$H$12:$H$318</definedName>
    <definedName name="PAGE1">'[3]MI2A-A:MI3'!$A$1:$N$58</definedName>
    <definedName name="PAGE3">'[3]MI3:MI20(1)'!$A$1:$I$41</definedName>
    <definedName name="PS">'[5]DATA'!$J$12:$J$318</definedName>
    <definedName name="Rate2004Print">'[7]Rate-Card-04'!$A$6:$AP$116</definedName>
    <definedName name="Ratecard">'[11]Ratecard'!$K$7:$P$451</definedName>
    <definedName name="Row">'[11]Ratecard'!$AG$5</definedName>
    <definedName name="Size">'[7]Rate-Card-04'!$F$5:$V$7</definedName>
    <definedName name="Table1">'[7]BRAND'!$B$6:$F$53</definedName>
  </definedNames>
  <calcPr calcId="171027"/>
</workbook>
</file>

<file path=xl/sharedStrings.xml><?xml version="1.0" encoding="utf-8"?>
<sst xmlns="http://schemas.openxmlformats.org/spreadsheetml/2006/main" count="39" uniqueCount="35">
  <si>
    <t xml:space="preserve">CÔNG TY TNHH  COLORFULL
34 Đào Trí, 34 Đào Trí, Phường Phú Thuận, HCM
Ms. Phương Hồng - 0914291951
Email: hong.ton@colorfull.com.vn                           </t>
  </si>
  <si>
    <t xml:space="preserve">Quotation_ Phim Thỏ Ơi_Decor Premiere </t>
  </si>
  <si>
    <t>logo cty khách hàng</t>
  </si>
  <si>
    <t xml:space="preserve">Kính gửi: Cty …....
Mr/Ms
Email: …....          </t>
  </si>
  <si>
    <t>STT</t>
  </si>
  <si>
    <t>Hạng Mục</t>
  </si>
  <si>
    <t>Chi Tiết</t>
  </si>
  <si>
    <t>ĐVT</t>
  </si>
  <si>
    <t>SỐ LƯỢNG</t>
  </si>
  <si>
    <t>SỐ NGÀY</t>
  </si>
  <si>
    <t>ĐƠN GIÁ</t>
  </si>
  <si>
    <t xml:space="preserve">THÀNH TIỀN </t>
  </si>
  <si>
    <t>Ghi Chú</t>
  </si>
  <si>
    <t>* Thông tin chương trình: …..........</t>
  </si>
  <si>
    <t>Khu Vực Check In</t>
  </si>
  <si>
    <r>
      <rPr>
        <b/>
        <i/>
        <family val="1"/>
        <sz val="10"/>
        <rFont val="Times New Roman"/>
      </rPr>
      <t>Bàn check in:</t>
    </r>
    <r>
      <rPr>
        <i/>
        <family val="1"/>
        <sz val="10"/>
        <rFont val="Times New Roman"/>
      </rPr>
      <t xml:space="preserve"> bàn dán AW</t>
    </r>
  </si>
  <si>
    <t>bộ</t>
  </si>
  <si>
    <t>Booth cụm Typo</t>
  </si>
  <si>
    <r>
      <rPr>
        <b/>
        <i/>
        <family val="1"/>
        <sz val="10"/>
        <rFont val="Times New Roman"/>
      </rPr>
      <t xml:space="preserve">Backdrop: </t>
    </r>
    <r>
      <rPr>
        <i/>
        <family val="1"/>
        <sz val="10"/>
        <rFont val="Times New Roman"/>
      </rPr>
      <t xml:space="preserve">
. KT: 14mW x 5mH
. Khung xương sắt căng hiflex</t>
    </r>
  </si>
  <si>
    <t>m2</t>
  </si>
  <si>
    <r>
      <t xml:space="preserve">Sàn sân khấu
</t>
    </r>
    <r>
      <rPr>
        <i/>
        <family val="1"/>
        <sz val="10"/>
        <rFont val="Times New Roman"/>
      </rPr>
      <t xml:space="preserve">. KT:  9mW x 0,6H  x  2,5mD
. Sàn bọc thảm</t>
    </r>
  </si>
  <si>
    <r>
      <rPr>
        <b/>
        <i/>
        <family val="1"/>
        <sz val="10"/>
        <rFont val="Times New Roman"/>
      </rPr>
      <t>Đèn pha</t>
    </r>
    <r>
      <rPr>
        <i/>
        <family val="1"/>
        <sz val="10"/>
        <rFont val="Times New Roman"/>
      </rPr>
      <t xml:space="preserve"> trên backdrop chiếu sáng xuống</t>
    </r>
  </si>
  <si>
    <t>cái</t>
  </si>
  <si>
    <t>Sân Khấu</t>
  </si>
  <si>
    <r>
      <rPr>
        <b/>
        <i/>
        <family val="1"/>
        <sz val="10"/>
        <rFont val="Times New Roman"/>
      </rPr>
      <t>Backdrop sân khấu</t>
    </r>
    <r>
      <rPr>
        <i/>
        <family val="1"/>
        <sz val="10"/>
        <rFont val="Times New Roman"/>
      </rPr>
      <t xml:space="preserve">
. KT:  9m x 5m 
. Khung xương sắt căng hiflex</t>
    </r>
  </si>
  <si>
    <r>
      <rPr>
        <b/>
        <i/>
        <family val="1"/>
        <sz val="10"/>
        <rFont val="Times New Roman"/>
      </rPr>
      <t>Phía sau sâu sân khấu</t>
    </r>
    <r>
      <rPr>
        <i/>
        <family val="1"/>
        <sz val="10"/>
        <rFont val="Times New Roman"/>
      </rPr>
      <t xml:space="preserve">
. KT:  9m x 1mD
. Khung xương sắt căng hiflex - 2 vách đứng che lối exit + cửa</t>
    </r>
  </si>
  <si>
    <r>
      <rPr>
        <b/>
        <i/>
        <family val="1"/>
        <sz val="10"/>
        <rFont val="Times New Roman"/>
      </rPr>
      <t>Sàn sân khấu</t>
    </r>
    <r>
      <rPr>
        <i/>
        <family val="1"/>
        <sz val="10"/>
        <rFont val="Times New Roman"/>
      </rPr>
      <t xml:space="preserve">
. KT:  9mW x 0,6H  x  2,5mD
. Sàn bọc thảm</t>
    </r>
  </si>
  <si>
    <t>Tổng Cộng</t>
  </si>
  <si>
    <t>VAT(8%)</t>
  </si>
  <si>
    <t>Thành Tiền</t>
  </si>
  <si>
    <t xml:space="preserve">* Ghi chú: 
- Tất cả các hạng mục trên là cho thuê, Colofull thu hồi sau khi tháo dỡ</t>
  </si>
  <si>
    <t>TP.HCM , ngày 05/07/2018</t>
  </si>
  <si>
    <t>XÁC NHẬN ĐỒNG Ý ĐẶT HÀNG</t>
  </si>
  <si>
    <t>Công Ty TNHH Colorfull</t>
  </si>
  <si>
    <t>Trần Thị Lan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</si>
</sst>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(#,##0.00);_(* &quot;-&quot;??_);_(@_)"/>
    <numFmt numFmtId="165" formatCode="_(* #,##0_);_(* (#,##0);_(* &quot;-&quot;??_);_(@_)"/>
    <numFmt numFmtId="166" formatCode="_-* #,##0.00_-;-* #,##0.00_-;_-* &quot;-&quot;??_-;_-@_-"/>
  </numFmts>
  <fonts count="27" x14ac:knownFonts="1">
    <font>
      <color theme="1"/>
      <family val="2"/>
      <scheme val="minor"/>
      <sz val="11"/>
      <name val="Calibri"/>
    </font>
    <font>
      <family val="1"/>
      <sz val="11"/>
      <name val="Times New Roman"/>
    </font>
    <font>
      <color rgb="FFFF0000"/>
      <family val="2"/>
      <sz val="11"/>
      <name val="Calibri"/>
    </font>
    <font>
      <color rgb="FF000000"/>
      <family val="2"/>
      <sz val="11"/>
      <name val="Calibri"/>
    </font>
    <font>
      <family val="2"/>
      <sz val="10"/>
      <name val="Arial"/>
    </font>
    <font>
      <color theme="1"/>
      <family val="2"/>
      <sz val="12"/>
      <name val="Times New Roman"/>
    </font>
    <font>
      <color theme="1"/>
      <family val="2"/>
      <sz val="10"/>
      <name val="Arial"/>
    </font>
    <font>
      <b/>
      <color theme="1"/>
      <family val="1"/>
      <sz val="22"/>
      <name val="Times New Roman"/>
    </font>
    <font>
      <b/>
      <color theme="1"/>
      <family val="1"/>
      <sz val="18"/>
      <name val="Times New Roman"/>
    </font>
    <font>
      <family val="2"/>
      <sz val="12"/>
      <name val="Arial"/>
    </font>
    <font>
      <family val="1"/>
      <sz val="12"/>
      <name val="Times New Roman"/>
    </font>
    <font>
      <color rgb="FFFF0000"/>
      <family val="1"/>
      <sz val="12"/>
      <name val="Times New Roman"/>
    </font>
    <font>
      <color theme="1"/>
      <family val="2"/>
      <sz val="12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FF0000"/>
      <family val="2"/>
      <sz val="12"/>
      <name val="Calibri"/>
    </font>
    <font>
      <b/>
      <color theme="9" tint="-0.499984740745262"/>
      <family val="1"/>
      <sz val="11"/>
      <name val="Times New Roman"/>
    </font>
    <font>
      <b/>
      <color theme="1"/>
      <family val="1"/>
      <sz val="11"/>
      <name val="Times New Roman"/>
    </font>
    <font>
      <i/>
      <family val="1"/>
      <sz val="10"/>
      <name val="Times New Roman"/>
    </font>
    <font>
      <color theme="1"/>
      <family val="1"/>
      <sz val="11"/>
      <name val="Times New Roman"/>
    </font>
    <font>
      <family val="1"/>
      <sz val="10"/>
      <name val="Times New Roman"/>
    </font>
    <font>
      <b/>
      <i/>
      <family val="1"/>
      <sz val="10"/>
      <name val="Times New Roman"/>
    </font>
    <font>
      <color theme="3" tint="0.3999755851924192"/>
      <family val="2"/>
      <sz val="11"/>
      <name val="Calibri"/>
    </font>
    <font>
      <color theme="3" tint="0.3999755851924192"/>
      <family val="1"/>
      <sz val="11"/>
      <name val="Times New Roman"/>
    </font>
    <font>
      <b/>
      <color rgb="FF000000"/>
      <family val="2"/>
      <sz val="12"/>
      <name val="Calibri"/>
    </font>
    <font>
      <color rgb="FFFF0000"/>
      <family val="2"/>
      <sz val="10"/>
      <name val="Arial"/>
    </font>
    <font>
      <b/>
      <i/>
      <color theme="1"/>
      <family val="1"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4" fontId="13" fillId="0" borderId="0" xfId="0" applyNumberFormat="1" applyFont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164" fontId="23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right" vertical="center"/>
    </xf>
    <xf numFmtId="0" fontId="24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3" fontId="22" fillId="0" borderId="0" xfId="0" applyNumberFormat="1" applyFont="1" applyAlignment="1">
      <alignment vertical="center"/>
    </xf>
    <xf numFmtId="3" fontId="17" fillId="3" borderId="1" xfId="0" applyNumberFormat="1" applyFont="1" applyFill="1" applyBorder="1" applyAlignment="1">
      <alignment horizontal="right" vertical="center"/>
    </xf>
    <xf numFmtId="166" fontId="25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5" fontId="19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596900</xdr:colOff>
      <xdr:row>0</xdr:row>
      <xdr:rowOff>0</xdr:rowOff>
    </xdr:from>
    <xdr:to>
      <xdr:col>3</xdr:col>
      <xdr:colOff>209550</xdr:colOff>
      <xdr:row>0</xdr:row>
      <xdr:rowOff>774700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workbookViewId="0" showGridLines="0" zoomScale="80" zoomScaleNormal="80">
      <selection activeCell="L17" sqref="L17"/>
    </sheetView>
  </sheetViews>
  <sheetFormatPr defaultRowHeight="14.5" outlineLevelRow="0" outlineLevelCol="0" x14ac:dyDescent="0" customHeight="1"/>
  <cols>
    <col min="1" max="1" width="3.81640625" style="1" customWidth="1"/>
    <col min="2" max="2" width="12.36328125" style="2" customWidth="1"/>
    <col min="3" max="3" width="21.1796875" style="3" customWidth="1"/>
    <col min="4" max="4" width="50" style="1" customWidth="1"/>
    <col min="5" max="5" width="8.6328125" style="1" customWidth="1"/>
    <col min="6" max="6" width="13.36328125" style="1" customWidth="1"/>
    <col min="7" max="7" width="13.36328125" customWidth="1"/>
    <col min="8" max="8" width="12.6328125" style="1" customWidth="1"/>
    <col min="9" max="9" width="15" style="1" customWidth="1"/>
    <col min="10" max="10" width="16.1796875" style="4" customWidth="1"/>
    <col min="11" max="11" width="11.453125" style="5" customWidth="1"/>
    <col min="12" max="12" width="8.81640625" style="5" customWidth="1"/>
    <col min="13" max="13" width="14.1796875" style="6" customWidth="1"/>
    <col min="14" max="14" width="10.1796875" style="6" customWidth="1"/>
    <col min="15" max="15" width="8.81640625" style="5" customWidth="1"/>
    <col min="16" max="16" width="12.1796875" style="5" customWidth="1"/>
    <col min="17" max="17" width="8.81640625" style="5" customWidth="1"/>
    <col min="18" max="18" width="11" style="5" customWidth="1"/>
    <col min="19" max="21" width="8.81640625" style="5" customWidth="1"/>
    <col min="22" max="22" width="6.453125" style="5" customWidth="1"/>
    <col min="23" max="23" width="8.81640625" style="5" hidden="1" customWidth="1"/>
    <col min="24" max="251" width="8.81640625" style="5" customWidth="1"/>
    <col min="252" max="252" width="2.36328125" style="5" customWidth="1"/>
    <col min="253" max="253" width="8" style="5" customWidth="1"/>
    <col min="254" max="254" width="9" style="5" hidden="1" customWidth="1"/>
    <col min="255" max="255" width="55" style="5" customWidth="1"/>
    <col min="256" max="16385" width="9" style="5" hidden="1" customWidth="1"/>
  </cols>
  <sheetData>
    <row r="1" ht="77" customHeight="1" spans="1:10" s="7" customFormat="1" x14ac:dyDescent="0.25">
      <c r="A1" s="8"/>
      <c r="B1" s="8"/>
      <c r="C1" s="8"/>
      <c r="D1" s="8"/>
      <c r="E1" s="9"/>
      <c r="F1" s="10" t="s">
        <v>0</v>
      </c>
      <c r="G1" s="10"/>
      <c r="H1" s="11"/>
      <c r="I1" s="11"/>
      <c r="J1" s="11"/>
    </row>
    <row r="2" ht="27.5" customHeight="1" spans="1:10" s="12" customFormat="1" x14ac:dyDescent="0.25">
      <c r="A2" s="13"/>
      <c r="B2" s="14" t="s">
        <v>1</v>
      </c>
      <c r="C2" s="14"/>
      <c r="D2" s="14"/>
      <c r="E2" s="14"/>
      <c r="F2" s="14"/>
      <c r="G2" s="14"/>
      <c r="H2" s="14"/>
      <c r="I2" s="14"/>
      <c r="J2" s="14"/>
    </row>
    <row r="3" ht="67" customHeight="1" spans="1:10" s="15" customFormat="1" x14ac:dyDescent="0.25">
      <c r="A3" s="16"/>
      <c r="B3" s="17"/>
      <c r="C3" s="18" t="s">
        <v>2</v>
      </c>
      <c r="D3" s="19"/>
      <c r="E3" s="20"/>
      <c r="F3" s="10" t="s">
        <v>3</v>
      </c>
      <c r="G3" s="10"/>
      <c r="H3" s="11"/>
      <c r="I3" s="11"/>
      <c r="J3" s="11"/>
    </row>
    <row r="4" ht="25" customHeight="1" spans="1:14" s="21" customFormat="1" x14ac:dyDescent="0.25">
      <c r="A4" s="22"/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4" t="s">
        <v>10</v>
      </c>
      <c r="I4" s="24" t="s">
        <v>11</v>
      </c>
      <c r="J4" s="23" t="s">
        <v>12</v>
      </c>
      <c r="K4" s="21"/>
      <c r="L4" s="21"/>
      <c r="M4" s="25"/>
      <c r="N4" s="25"/>
    </row>
    <row r="5" ht="25" customHeight="1" spans="1:14" s="21" customFormat="1" x14ac:dyDescent="0.25">
      <c r="A5" s="22"/>
      <c r="B5" s="26" t="s">
        <v>13</v>
      </c>
      <c r="C5" s="27"/>
      <c r="D5" s="27"/>
      <c r="E5" s="27"/>
      <c r="F5" s="27"/>
      <c r="G5" s="27"/>
      <c r="H5" s="27"/>
      <c r="I5" s="27"/>
      <c r="J5" s="28"/>
      <c r="K5" s="29"/>
      <c r="L5" s="21"/>
      <c r="M5" s="25"/>
      <c r="N5" s="25"/>
    </row>
    <row r="6" ht="42" customHeight="1" spans="1:10" x14ac:dyDescent="0.25">
      <c r="A6" s="1"/>
      <c r="B6" s="30">
        <v>1</v>
      </c>
      <c r="C6" s="31" t="s">
        <v>14</v>
      </c>
      <c r="D6" s="32" t="s">
        <v>15</v>
      </c>
      <c r="E6" s="33" t="s">
        <v>16</v>
      </c>
      <c r="F6" s="34">
        <v>3</v>
      </c>
      <c r="G6" s="34"/>
      <c r="H6" s="35">
        <v>450000</v>
      </c>
      <c r="I6" s="35">
        <f>H6*F6</f>
        <v>1350000</v>
      </c>
      <c r="J6" s="36"/>
    </row>
    <row r="7" ht="45" customHeight="1" spans="1:10" x14ac:dyDescent="0.25">
      <c r="A7" s="1"/>
      <c r="B7" s="37">
        <v>2</v>
      </c>
      <c r="C7" s="38" t="s">
        <v>17</v>
      </c>
      <c r="D7" s="32" t="s">
        <v>18</v>
      </c>
      <c r="E7" s="33" t="s">
        <v>19</v>
      </c>
      <c r="F7" s="34">
        <f>15*5</f>
        <v>75</v>
      </c>
      <c r="G7" s="34"/>
      <c r="H7" s="35">
        <v>360000</v>
      </c>
      <c r="I7" s="35">
        <f>H7*F7</f>
        <v>27000000</v>
      </c>
      <c r="J7" s="36"/>
    </row>
    <row r="8" ht="39.5" customHeight="1" spans="1:11" x14ac:dyDescent="0.25">
      <c r="A8" s="1"/>
      <c r="B8" s="39"/>
      <c r="C8" s="40"/>
      <c r="D8" s="41" t="s">
        <v>20</v>
      </c>
      <c r="E8" s="33" t="s">
        <v>16</v>
      </c>
      <c r="F8" s="34">
        <v>1</v>
      </c>
      <c r="G8" s="34"/>
      <c r="H8" s="35">
        <f>8*1.9*950000</f>
        <v>14440000</v>
      </c>
      <c r="I8" s="35">
        <f>H8*F8</f>
        <v>14440000</v>
      </c>
      <c r="J8" s="36"/>
      <c r="K8" s="42"/>
    </row>
    <row r="9" ht="24" customHeight="1" spans="1:10" x14ac:dyDescent="0.25">
      <c r="A9" s="1"/>
      <c r="B9" s="43"/>
      <c r="C9" s="44"/>
      <c r="D9" s="32" t="s">
        <v>21</v>
      </c>
      <c r="E9" s="33" t="s">
        <v>22</v>
      </c>
      <c r="F9" s="34">
        <v>14</v>
      </c>
      <c r="G9" s="34"/>
      <c r="H9" s="35">
        <v>300000</v>
      </c>
      <c r="I9" s="35">
        <f>H9*F9</f>
        <v>4200000</v>
      </c>
      <c r="J9" s="36"/>
    </row>
    <row r="10" ht="46" customHeight="1" spans="1:10" x14ac:dyDescent="0.25">
      <c r="A10" s="1"/>
      <c r="B10" s="37">
        <v>3</v>
      </c>
      <c r="C10" s="38" t="s">
        <v>23</v>
      </c>
      <c r="D10" s="32" t="s">
        <v>24</v>
      </c>
      <c r="E10" s="33" t="s">
        <v>19</v>
      </c>
      <c r="F10" s="34">
        <f>9*5</f>
        <v>45</v>
      </c>
      <c r="G10" s="34"/>
      <c r="H10" s="35">
        <v>360000</v>
      </c>
      <c r="I10" s="35">
        <f>H10*F10</f>
        <v>16200000</v>
      </c>
      <c r="J10" s="36"/>
    </row>
    <row r="11" ht="46" customHeight="1" spans="1:10" x14ac:dyDescent="0.25">
      <c r="A11" s="1"/>
      <c r="B11" s="39"/>
      <c r="C11" s="40"/>
      <c r="D11" s="32" t="s">
        <v>25</v>
      </c>
      <c r="E11" s="33" t="s">
        <v>16</v>
      </c>
      <c r="F11" s="34">
        <v>1</v>
      </c>
      <c r="G11" s="34"/>
      <c r="H11" s="35">
        <f>5*2*290000+800000</f>
        <v>3700000</v>
      </c>
      <c r="I11" s="35">
        <f>H11*F11</f>
        <v>3700000</v>
      </c>
      <c r="J11" s="36"/>
    </row>
    <row r="12" ht="46" customHeight="1" spans="1:10" x14ac:dyDescent="0.25">
      <c r="A12" s="1"/>
      <c r="B12" s="43"/>
      <c r="C12" s="44"/>
      <c r="D12" s="32" t="s">
        <v>26</v>
      </c>
      <c r="E12" s="33" t="s">
        <v>16</v>
      </c>
      <c r="F12" s="34">
        <v>1</v>
      </c>
      <c r="G12" s="34"/>
      <c r="H12" s="35">
        <f>9*2.5*360000</f>
        <v>8100000</v>
      </c>
      <c r="I12" s="35">
        <f>H12*F12</f>
        <v>8100000</v>
      </c>
      <c r="J12" s="36"/>
    </row>
    <row r="13" ht="21" customHeight="1" spans="1:13" s="45" customFormat="1" x14ac:dyDescent="0.25">
      <c r="A13" s="46"/>
      <c r="B13" s="47"/>
      <c r="C13" s="47"/>
      <c r="D13" s="47"/>
      <c r="E13" s="47"/>
      <c r="F13" s="47"/>
      <c r="G13" s="47" t="s">
        <v>27</v>
      </c>
      <c r="H13" s="48"/>
      <c r="I13" s="49">
        <f>SUM(I6:I12)</f>
        <v>74990000</v>
      </c>
      <c r="J13" s="50"/>
      <c r="K13" s="51"/>
      <c r="L13" s="51"/>
      <c r="M13" s="52"/>
    </row>
    <row r="14" ht="21" customHeight="1" spans="1:10" x14ac:dyDescent="0.25">
      <c r="A14" s="1"/>
      <c r="B14" s="47"/>
      <c r="C14" s="47"/>
      <c r="D14" s="47"/>
      <c r="E14" s="47"/>
      <c r="F14" s="47"/>
      <c r="G14" s="47" t="s">
        <v>28</v>
      </c>
      <c r="H14" s="48"/>
      <c r="I14" s="53">
        <f>I13*8%</f>
        <v>5999200</v>
      </c>
      <c r="J14" s="45"/>
    </row>
    <row r="15" ht="21" customHeight="1" spans="1:9" x14ac:dyDescent="0.25">
      <c r="A15" s="1"/>
      <c r="B15" s="47"/>
      <c r="C15" s="47"/>
      <c r="D15" s="47"/>
      <c r="E15" s="47"/>
      <c r="F15" s="47"/>
      <c r="G15" s="47" t="s">
        <v>29</v>
      </c>
      <c r="H15" s="48"/>
      <c r="I15" s="53">
        <f>I13+I14</f>
        <v>80989200</v>
      </c>
    </row>
    <row r="16" spans="1:7" x14ac:dyDescent="0.25">
      <c r="A16" s="1"/>
      <c r="B16" s="54"/>
      <c r="C16" s="55"/>
      <c r="F16" s="1"/>
      <c r="G16" s="1"/>
    </row>
    <row r="17" ht="61" customHeight="1" spans="1:9" x14ac:dyDescent="0.25">
      <c r="A17" s="1"/>
      <c r="B17" s="2"/>
      <c r="C17" s="56" t="s">
        <v>30</v>
      </c>
      <c r="D17" s="56"/>
      <c r="E17" s="57"/>
      <c r="F17" s="58"/>
      <c r="G17" s="58"/>
      <c r="H17" s="59" t="s">
        <v>31</v>
      </c>
      <c r="I17" s="60"/>
    </row>
    <row r="18" spans="1:9" x14ac:dyDescent="0.25">
      <c r="A18" s="1"/>
      <c r="B18" s="2"/>
      <c r="C18" s="47" t="s">
        <v>32</v>
      </c>
      <c r="D18" s="47"/>
      <c r="E18" s="61"/>
      <c r="F18" s="47"/>
      <c r="G18" s="47"/>
      <c r="H18" s="47" t="s">
        <v>33</v>
      </c>
      <c r="I18" s="61"/>
    </row>
    <row r="19" spans="1:14" s="4" customFormat="1" x14ac:dyDescent="0.25">
      <c r="A19" s="1"/>
      <c r="B19" s="62"/>
      <c r="C19" s="61"/>
      <c r="D19" s="61"/>
      <c r="E19" s="47"/>
      <c r="F19" s="47"/>
      <c r="G19" s="47"/>
      <c r="H19" s="63"/>
      <c r="I19" s="61"/>
      <c r="J19" s="4"/>
      <c r="K19" s="5"/>
      <c r="L19" s="5"/>
      <c r="M19" s="6"/>
      <c r="N19" s="64"/>
    </row>
    <row r="20" ht="24" customHeight="1" spans="1:14" s="4" customFormat="1" x14ac:dyDescent="0.25">
      <c r="A20" s="5"/>
      <c r="B20" s="54"/>
      <c r="C20" s="61"/>
      <c r="D20" s="61"/>
      <c r="E20" s="47"/>
      <c r="F20" s="47"/>
      <c r="G20" s="47"/>
      <c r="H20" s="63"/>
      <c r="I20" s="61"/>
      <c r="J20" s="4"/>
      <c r="K20" s="5"/>
      <c r="L20" s="5"/>
      <c r="M20" s="6"/>
      <c r="N20" s="64"/>
    </row>
    <row r="21" spans="1:14" s="4" customFormat="1" x14ac:dyDescent="0.25">
      <c r="A21" s="5"/>
      <c r="B21" s="65"/>
      <c r="C21" s="61"/>
      <c r="D21" s="61"/>
      <c r="E21" s="47"/>
      <c r="F21" s="47"/>
      <c r="G21" s="47"/>
      <c r="H21" s="63"/>
      <c r="I21" s="61"/>
      <c r="J21" s="4"/>
      <c r="K21" s="5"/>
      <c r="L21" s="5"/>
      <c r="M21" s="6"/>
      <c r="N21" s="64"/>
    </row>
    <row r="22" ht="15.5" customHeight="1" spans="1:14" s="4" customFormat="1" x14ac:dyDescent="0.25">
      <c r="A22" s="1"/>
      <c r="B22" s="66"/>
      <c r="C22" s="61"/>
      <c r="D22" s="61"/>
      <c r="E22" s="61"/>
      <c r="F22" s="47"/>
      <c r="G22" s="47"/>
      <c r="H22" s="47" t="s">
        <v>34</v>
      </c>
      <c r="I22" s="61"/>
      <c r="J22" s="4"/>
      <c r="K22" s="5"/>
      <c r="L22" s="5"/>
      <c r="M22" s="6"/>
      <c r="N22" s="64"/>
    </row>
    <row r="23" ht="15.5" customHeight="1" spans="1:14" s="4" customFormat="1" x14ac:dyDescent="0.25">
      <c r="A23" s="1"/>
      <c r="B23" s="66"/>
      <c r="C23" s="3"/>
      <c r="D23" s="1"/>
      <c r="E23" s="1"/>
      <c r="F23" s="1"/>
      <c r="G23" s="1"/>
      <c r="H23" s="1"/>
      <c r="I23" s="1"/>
      <c r="J23" s="4"/>
      <c r="K23" s="5"/>
      <c r="L23" s="5"/>
      <c r="M23" s="6"/>
      <c r="N23" s="64"/>
    </row>
    <row r="24" ht="15.5" customHeight="1" spans="1:14" s="4" customFormat="1" x14ac:dyDescent="0.25">
      <c r="A24" s="1"/>
      <c r="B24" s="66"/>
      <c r="C24" s="3"/>
      <c r="D24" s="1"/>
      <c r="E24" s="1"/>
      <c r="F24" s="1"/>
      <c r="G24" s="1"/>
      <c r="H24" s="1"/>
      <c r="I24" s="1"/>
      <c r="J24" s="4"/>
      <c r="K24" s="5"/>
      <c r="L24" s="5"/>
      <c r="M24" s="6"/>
      <c r="N24" s="64"/>
    </row>
    <row r="25" ht="15.5" customHeight="1" spans="1:14" s="4" customFormat="1" x14ac:dyDescent="0.25">
      <c r="A25" s="5"/>
      <c r="B25" s="66"/>
      <c r="C25" s="3"/>
      <c r="D25" s="1"/>
      <c r="E25" s="1"/>
      <c r="F25" s="1"/>
      <c r="G25" s="1"/>
      <c r="H25" s="1"/>
      <c r="I25" s="1"/>
      <c r="J25" s="4"/>
      <c r="K25" s="5"/>
      <c r="L25" s="5"/>
      <c r="M25" s="6"/>
      <c r="N25" s="64"/>
    </row>
    <row r="26" spans="1:14" s="4" customFormat="1" x14ac:dyDescent="0.25">
      <c r="A26" s="5"/>
      <c r="B26" s="65"/>
      <c r="C26" s="3"/>
      <c r="D26" s="1"/>
      <c r="E26" s="1"/>
      <c r="F26" s="1"/>
      <c r="G26" s="1"/>
      <c r="H26" s="1"/>
      <c r="I26" s="1"/>
      <c r="J26" s="4"/>
      <c r="K26" s="5"/>
      <c r="L26" s="5"/>
      <c r="M26" s="6"/>
      <c r="N26" s="64"/>
    </row>
    <row r="27" spans="1:14" s="4" customFormat="1" x14ac:dyDescent="0.25">
      <c r="A27" s="5"/>
      <c r="B27" s="65"/>
      <c r="C27" s="3"/>
      <c r="D27" s="1"/>
      <c r="E27" s="1"/>
      <c r="F27" s="1"/>
      <c r="G27" s="1"/>
      <c r="H27" s="1"/>
      <c r="I27" s="1"/>
      <c r="J27" s="4"/>
      <c r="K27" s="5"/>
      <c r="L27" s="5"/>
      <c r="M27" s="6"/>
      <c r="N27" s="64"/>
    </row>
    <row r="28" spans="1:14" s="4" customFormat="1" x14ac:dyDescent="0.25">
      <c r="A28" s="5"/>
      <c r="B28" s="65"/>
      <c r="C28" s="3"/>
      <c r="D28" s="1"/>
      <c r="E28" s="62"/>
      <c r="F28" s="1"/>
      <c r="G28" s="1"/>
      <c r="H28" s="1"/>
      <c r="I28" s="1"/>
      <c r="J28" s="4"/>
      <c r="K28" s="5"/>
      <c r="L28" s="5"/>
      <c r="M28" s="6"/>
      <c r="N28" s="64"/>
    </row>
    <row r="29" spans="1:14" s="4" customFormat="1" x14ac:dyDescent="0.25">
      <c r="A29" s="5"/>
      <c r="B29" s="65"/>
      <c r="C29" s="3"/>
      <c r="D29" s="1"/>
      <c r="E29" s="1"/>
      <c r="F29" s="1"/>
      <c r="G29" s="1"/>
      <c r="H29" s="1"/>
      <c r="I29" s="1"/>
      <c r="J29" s="4"/>
      <c r="K29" s="5"/>
      <c r="L29" s="5"/>
      <c r="M29" s="6"/>
      <c r="N29" s="64"/>
    </row>
    <row r="30" spans="1:7" x14ac:dyDescent="0.25">
      <c r="A30" s="1"/>
      <c r="B30" s="65"/>
      <c r="F30" s="1"/>
      <c r="G30" s="1"/>
    </row>
  </sheetData>
  <mergeCells count="12">
    <mergeCell ref="F1:J1"/>
    <mergeCell ref="B2:J2"/>
    <mergeCell ref="F3:J3"/>
    <mergeCell ref="B5:J5"/>
    <mergeCell ref="B7:B9"/>
    <mergeCell ref="C7:C9"/>
    <mergeCell ref="B10:B12"/>
    <mergeCell ref="C10:C12"/>
    <mergeCell ref="G13:H13"/>
    <mergeCell ref="G14:H14"/>
    <mergeCell ref="G15:H15"/>
    <mergeCell ref="C17:D17"/>
  </mergeCells>
  <pageMargins left="0.7" right="0.7" top="0.75" bottom="0.75" header="0.3" footer="0.3"/>
  <pageSetup paperSize="9" orientation="portrait" horizontalDpi="0" verticalDpi="0" scale="55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Administrator</cp:lastModifiedBy>
  <cp:lastPrinted>2026-01-15T08:36:27Z</cp:lastPrinted>
  <dcterms:created xsi:type="dcterms:W3CDTF">2000-06-22T04:23:24Z</dcterms:created>
  <dcterms:modified xsi:type="dcterms:W3CDTF">2026-05-31T15:46:16Z</dcterms:modified>
</cp:coreProperties>
</file>