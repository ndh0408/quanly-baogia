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6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25820" windowHeight="15500"/>
  </bookViews>
  <sheets>
    <sheet sheetId="69" name="Décor" state="visible" r:id="rId4"/>
  </sheets>
  <definedNames>
    <definedName name="CO">'[4]DATA'!$I$12:$I$318</definedName>
    <definedName name="DC">'[5]DC'!$A$1:$D$395</definedName>
    <definedName name="Discount">'[6]Rate-Card-04'!$W$6:$AF$7</definedName>
    <definedName name="Est">'[8]Cover Estimator'!$C$10</definedName>
    <definedName name="fnghx">'[10]Ratecard'!$AG$5</definedName>
    <definedName name="Grad">'[8]Cover Estimator'!$C$7</definedName>
    <definedName name="Info">'[10]Ratecard'!$A$7:$AG$451</definedName>
    <definedName name="Input">'[8]Cover Estimator'!$A$11</definedName>
    <definedName name="Limit">'[8]Cover Estimator'!$C$8</definedName>
    <definedName name="MACO">'[4]DATA'!$L$12:$L$318</definedName>
    <definedName name="MANO">'[4]DATA'!$K$12:$K$318</definedName>
    <definedName name="NET_PDT56">'[3]S'!$Q$18:$Q$24,'[3]S'!$Q$27</definedName>
    <definedName name="NET_PDT66">'[3]S'!$R$18:$R$24,'[3]S'!$R$27</definedName>
    <definedName name="NO">'[4]DATA'!$H$12:$H$318</definedName>
    <definedName name="PAGE1">'[3]MI2A-A:MI3'!$A$1:$N$58</definedName>
    <definedName name="PAGE3">'[3]MI3:MI20(1)'!$A$1:$I$41</definedName>
    <definedName name="PS">'[4]DATA'!$J$12:$J$318</definedName>
    <definedName name="Rate2004Print">'[6]Rate-Card-04'!$A$6:$AP$116</definedName>
    <definedName name="Ratecard">'[10]Ratecard'!$K$7:$P$451</definedName>
    <definedName name="Row">'[10]Ratecard'!$AG$5</definedName>
    <definedName name="Size">'[6]Rate-Card-04'!$F$5:$V$7</definedName>
    <definedName name="Table1">'[6]BRAND'!$B$6:$F$53</definedName>
  </definedNames>
  <calcPr calcId="171027"/>
</workbook>
</file>

<file path=xl/sharedStrings.xml><?xml version="1.0" encoding="utf-8"?>
<sst xmlns="http://schemas.openxmlformats.org/spreadsheetml/2006/main" count="32" uniqueCount="31">
  <si>
    <t xml:space="preserve">To: </t>
  </si>
  <si>
    <t>Marico</t>
  </si>
  <si>
    <t>From:</t>
  </si>
  <si>
    <t>Ms.</t>
  </si>
  <si>
    <t>Yến</t>
  </si>
  <si>
    <t>Hồng Tôn _ AccountTeam_0914291951</t>
  </si>
  <si>
    <t>Add:</t>
  </si>
  <si>
    <t>34 Đào Trí , P.Phú Thuận, Q.7  TP.HCM</t>
  </si>
  <si>
    <t>TP. Hồ Chí Minh, ngày 25 tháng 05 năm 2026</t>
  </si>
  <si>
    <t>BẢNG BÁO GIÁ - MARICO - WORLD ENVIRONMENT DAY &amp; PRIDE MONTH</t>
  </si>
  <si>
    <t>(Số://GN26)</t>
  </si>
  <si>
    <t>Chân thành cảm ơn Quí khách hàng đã quan tâm đến dịch vụ của công ty Gia Nguyễn, chúng tôi xin gởi bảng báo giá theo yêu cầu như sau:</t>
  </si>
  <si>
    <t>STT</t>
  </si>
  <si>
    <t>Hạng Mục</t>
  </si>
  <si>
    <t>ĐVT</t>
  </si>
  <si>
    <t>SỐ LƯỢNG</t>
  </si>
  <si>
    <t>SỐ NGÀY</t>
  </si>
  <si>
    <t xml:space="preserve">ĐƠN GIÁ
(VNĐ)</t>
  </si>
  <si>
    <t xml:space="preserve">THÀNH TIỀN 
(VNĐ)</t>
  </si>
  <si>
    <t>GHI CHÚ</t>
  </si>
  <si>
    <t>In art standee X</t>
  </si>
  <si>
    <t>Bút chì mầm cây</t>
  </si>
  <si>
    <t>Chậu xương rồng nhỏ</t>
  </si>
  <si>
    <t>Prop chụp hình</t>
  </si>
  <si>
    <t>Booth 2m5W x 2m5H</t>
  </si>
  <si>
    <t>khung sắt căng hiflex hoặc cái frame ko đủ chắc chắn để tô vẽ</t>
  </si>
  <si>
    <t>Diecut</t>
  </si>
  <si>
    <t>Sticker</t>
  </si>
  <si>
    <t>Bút màu 7 sắc cầu vồng</t>
  </si>
  <si>
    <t>Phí thiết kế</t>
  </si>
  <si>
    <t>Phí vận chuyển, lắp đặt, tháo dỡ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</si>
</sst>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_(* #,##0.00_);_(* (#,##0.00);_(* &quot;-&quot;??_);_(@_)"/>
    <numFmt numFmtId="165" formatCode="_(* #,##0_);_(* (#,##0);_(* &quot;-&quot;_);_(@_)"/>
    <numFmt numFmtId="166" formatCode="_(* #,##0_);_(* (#,##0);_(* &quot;-&quot;??_);_(@_)"/>
    <numFmt numFmtId="167" formatCode="_-* #,##0.00_-;-* #,##0.00_-;_-* &quot;-&quot;??_-;_-@_-"/>
  </numFmts>
  <fonts count="20" x14ac:knownFonts="1">
    <font>
      <color theme="1"/>
      <family val="2"/>
      <scheme val="minor"/>
      <sz val="11"/>
      <name val="Calibri"/>
    </font>
    <font>
      <family val="1"/>
      <sz val="11"/>
      <name val="Times New Roman"/>
    </font>
    <font>
      <color rgb="FFFF0000"/>
      <family val="2"/>
      <sz val="11"/>
      <name val="Calibri"/>
    </font>
    <font>
      <color rgb="FF000000"/>
      <family val="2"/>
      <sz val="11"/>
      <name val="Calibri"/>
    </font>
    <font>
      <i/>
      <family val="1"/>
      <sz val="11"/>
      <name val="Times New Roman"/>
    </font>
    <font>
      <b/>
      <color rgb="FF000080"/>
      <family val="1"/>
      <sz val="11"/>
      <name val="Times New Roman"/>
    </font>
    <font>
      <b/>
      <color rgb="FFFF0000"/>
      <family val="1"/>
      <sz val="11"/>
      <name val="Times New Roman"/>
    </font>
    <font>
      <family val="1"/>
      <sz val="10"/>
      <name val="Times New Roman"/>
    </font>
    <font>
      <i/>
      <family val="1"/>
      <sz val="10"/>
      <name val="Times New Roman"/>
    </font>
    <font>
      <i/>
      <color theme="1"/>
      <family val="1"/>
      <sz val="11"/>
      <name val="Times New Roman"/>
    </font>
    <font>
      <b/>
      <family val="1"/>
      <sz val="14"/>
      <name val="Times New Roman"/>
    </font>
    <font>
      <b/>
      <family val="1"/>
      <sz val="10"/>
      <name val="Times New Roman"/>
    </font>
    <font>
      <color rgb="FF000000"/>
      <family val="1"/>
      <sz val="11"/>
      <name val="SVN-Avo"/>
    </font>
    <font>
      <b/>
      <color rgb="FF0070C0"/>
      <family val="1"/>
      <sz val="11"/>
      <name val="Times New Roman"/>
    </font>
    <font>
      <color theme="1"/>
      <family val="1"/>
      <sz val="11"/>
      <name val="Times New Roman"/>
    </font>
    <font>
      <color theme="1"/>
      <family val="1"/>
      <sz val="10"/>
      <name val="Times New Roman"/>
    </font>
    <font>
      <color rgb="FF0070C0"/>
      <family val="2"/>
      <sz val="11"/>
      <name val="Calibri"/>
    </font>
    <font>
      <color rgb="FF0070C0"/>
      <family val="1"/>
      <sz val="11"/>
      <name val="Times New Roman"/>
    </font>
    <font>
      <b/>
      <family val="1"/>
      <sz val="11"/>
      <name val="Times New Roman"/>
    </font>
    <font>
      <color rgb="FFFF0000"/>
      <family val="2"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"/>
        <bgColor rgb="FF000000"/>
      </patternFill>
    </fill>
  </fills>
  <borders count="21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164" fontId="1" fillId="0" borderId="0" xfId="0" applyNumberFormat="1" applyFont="1"/>
    <xf numFmtId="165" fontId="2" fillId="0" borderId="0" xfId="0" applyNumberFormat="1" applyFont="1" applyAlignment="1">
      <alignment horizontal="center"/>
    </xf>
    <xf numFmtId="0" fontId="3" fillId="0" borderId="0" xfId="0" applyFont="1" applyAlignment="1">
      <alignment vertical="center"/>
    </xf>
    <xf numFmtId="0" fontId="3" fillId="0" borderId="0" xfId="0" applyFont="1"/>
    <xf numFmtId="3" fontId="3" fillId="0" borderId="0" xfId="0" applyNumberFormat="1" applyFont="1"/>
    <xf numFmtId="0" fontId="4" fillId="0" borderId="0" xfId="0" applyFont="1" applyAlignment="1">
      <alignment horizontal="right"/>
    </xf>
    <xf numFmtId="0" fontId="5" fillId="0" borderId="0" xfId="0" applyFont="1"/>
    <xf numFmtId="166" fontId="6" fillId="0" borderId="0" xfId="0" applyNumberFormat="1" applyFont="1"/>
    <xf numFmtId="164" fontId="7" fillId="0" borderId="0" xfId="0" applyNumberFormat="1" applyFont="1"/>
    <xf numFmtId="0" fontId="7" fillId="0" borderId="0" xfId="0" applyFont="1"/>
    <xf numFmtId="0" fontId="8" fillId="0" borderId="0" xfId="0" applyFont="1" applyAlignment="1">
      <alignment horizontal="right"/>
    </xf>
    <xf numFmtId="0" fontId="7" fillId="0" borderId="0" xfId="0" applyFont="1" applyAlignment="1">
      <alignment horizontal="left"/>
    </xf>
    <xf numFmtId="0" fontId="1" fillId="0" borderId="0" xfId="0" applyFont="1" applyAlignment="1">
      <alignment vertical="center"/>
    </xf>
    <xf numFmtId="0" fontId="9" fillId="0" borderId="0" xfId="0" applyFont="1"/>
    <xf numFmtId="164" fontId="7" fillId="0" borderId="0" xfId="0" applyNumberFormat="1" applyFont="1" applyAlignment="1">
      <alignment horizontal="center" vertical="center"/>
    </xf>
    <xf numFmtId="164" fontId="7" fillId="0" borderId="0" xfId="0" applyNumberFormat="1" applyFont="1" applyAlignment="1">
      <alignment vertical="center"/>
    </xf>
    <xf numFmtId="164" fontId="10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/>
    </xf>
    <xf numFmtId="164" fontId="8" fillId="0" borderId="0" xfId="0" applyNumberFormat="1" applyFont="1" applyAlignment="1">
      <alignment horizontal="left"/>
    </xf>
    <xf numFmtId="164" fontId="8" fillId="0" borderId="0" xfId="0" applyNumberFormat="1" applyFont="1"/>
    <xf numFmtId="164" fontId="8" fillId="0" borderId="0" xfId="0" applyNumberFormat="1" applyFont="1" applyAlignment="1">
      <alignment horizontal="center"/>
    </xf>
    <xf numFmtId="164" fontId="4" fillId="0" borderId="1" xfId="0" applyNumberFormat="1" applyFont="1" applyBorder="1" applyAlignment="1">
      <alignment horizont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 wrapText="1"/>
    </xf>
    <xf numFmtId="165" fontId="11" fillId="2" borderId="4" xfId="0" applyNumberFormat="1" applyFont="1" applyFill="1" applyBorder="1" applyAlignment="1">
      <alignment horizontal="center" vertical="center" wrapText="1"/>
    </xf>
    <xf numFmtId="3" fontId="12" fillId="0" borderId="0" xfId="0" applyNumberFormat="1" applyFont="1" applyAlignment="1">
      <alignment wrapText="1"/>
    </xf>
    <xf numFmtId="164" fontId="1" fillId="0" borderId="0" xfId="0" applyNumberFormat="1" applyFont="1" applyAlignment="1">
      <alignment vertical="center"/>
    </xf>
    <xf numFmtId="0" fontId="13" fillId="0" borderId="5" xfId="0" applyFont="1" applyBorder="1" applyAlignment="1">
      <alignment horizontal="center" vertical="center"/>
    </xf>
    <xf numFmtId="0" fontId="13" fillId="3" borderId="6" xfId="0" applyFont="1" applyFill="1" applyBorder="1" applyAlignment="1">
      <alignment horizontal="left" vertical="center"/>
    </xf>
    <xf numFmtId="0" fontId="14" fillId="0" borderId="6" xfId="0" applyFont="1" applyBorder="1" applyAlignment="1">
      <alignment horizontal="center" vertical="center"/>
    </xf>
    <xf numFmtId="0" fontId="15" fillId="3" borderId="6" xfId="0" applyFont="1" applyFill="1" applyBorder="1" applyAlignment="1">
      <alignment horizontal="center" vertical="center"/>
    </xf>
    <xf numFmtId="3" fontId="14" fillId="0" borderId="6" xfId="0" applyNumberFormat="1" applyFont="1" applyBorder="1" applyAlignment="1">
      <alignment vertical="center"/>
    </xf>
    <xf numFmtId="3" fontId="14" fillId="0" borderId="6" xfId="0" applyNumberFormat="1" applyFont="1" applyBorder="1" applyAlignment="1">
      <alignment horizontal="right" vertical="center"/>
    </xf>
    <xf numFmtId="165" fontId="14" fillId="0" borderId="7" xfId="0" applyNumberFormat="1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/>
    </xf>
    <xf numFmtId="0" fontId="13" fillId="3" borderId="9" xfId="0" applyFont="1" applyFill="1" applyBorder="1" applyAlignment="1">
      <alignment horizontal="left" vertical="center"/>
    </xf>
    <xf numFmtId="0" fontId="14" fillId="0" borderId="9" xfId="0" applyFont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3" fontId="14" fillId="0" borderId="10" xfId="0" applyNumberFormat="1" applyFont="1" applyBorder="1" applyAlignment="1">
      <alignment vertical="center"/>
    </xf>
    <xf numFmtId="3" fontId="14" fillId="0" borderId="9" xfId="0" applyNumberFormat="1" applyFont="1" applyBorder="1" applyAlignment="1">
      <alignment horizontal="right" vertical="center"/>
    </xf>
    <xf numFmtId="165" fontId="14" fillId="0" borderId="11" xfId="0" applyNumberFormat="1" applyFont="1" applyBorder="1" applyAlignment="1">
      <alignment horizontal="center" vertical="center" wrapText="1"/>
    </xf>
    <xf numFmtId="0" fontId="16" fillId="0" borderId="0" xfId="0" applyFont="1"/>
    <xf numFmtId="164" fontId="17" fillId="0" borderId="0" xfId="0" applyNumberFormat="1" applyFont="1" applyAlignment="1">
      <alignment vertical="center"/>
    </xf>
    <xf numFmtId="0" fontId="18" fillId="4" borderId="12" xfId="0" applyFont="1" applyFill="1" applyBorder="1" applyAlignment="1">
      <alignment horizontal="center" vertical="center"/>
    </xf>
    <xf numFmtId="0" fontId="18" fillId="4" borderId="13" xfId="0" applyFont="1" applyFill="1" applyBorder="1" applyAlignment="1">
      <alignment horizontal="center" vertical="center"/>
    </xf>
    <xf numFmtId="3" fontId="6" fillId="4" borderId="14" xfId="0" applyNumberFormat="1" applyFont="1" applyFill="1" applyBorder="1" applyAlignment="1">
      <alignment horizontal="right" vertical="center"/>
    </xf>
    <xf numFmtId="0" fontId="16" fillId="0" borderId="0" xfId="0" applyFont="1" applyAlignment="1">
      <alignment vertical="center"/>
    </xf>
    <xf numFmtId="3" fontId="16" fillId="0" borderId="0" xfId="0" applyNumberFormat="1" applyFont="1"/>
    <xf numFmtId="167" fontId="19" fillId="0" borderId="0" xfId="0" applyNumberFormat="1" applyFont="1" applyAlignment="1">
      <alignment vertical="center"/>
    </xf>
    <xf numFmtId="0" fontId="18" fillId="4" borderId="15" xfId="0" applyFont="1" applyFill="1" applyBorder="1" applyAlignment="1">
      <alignment horizontal="center" vertical="center"/>
    </xf>
    <xf numFmtId="0" fontId="18" fillId="4" borderId="16" xfId="0" applyFont="1" applyFill="1" applyBorder="1" applyAlignment="1">
      <alignment horizontal="center" vertical="center"/>
    </xf>
    <xf numFmtId="3" fontId="6" fillId="4" borderId="17" xfId="0" applyNumberFormat="1" applyFont="1" applyFill="1" applyBorder="1" applyAlignment="1">
      <alignment horizontal="right" vertical="center"/>
    </xf>
    <xf numFmtId="0" fontId="2" fillId="0" borderId="0" xfId="0" applyFont="1" applyAlignment="1">
      <alignment horizontal="center"/>
    </xf>
    <xf numFmtId="0" fontId="18" fillId="4" borderId="18" xfId="0" applyFont="1" applyFill="1" applyBorder="1" applyAlignment="1">
      <alignment horizontal="center" vertical="center"/>
    </xf>
    <xf numFmtId="0" fontId="18" fillId="4" borderId="19" xfId="0" applyFont="1" applyFill="1" applyBorder="1" applyAlignment="1">
      <alignment horizontal="center" vertical="center"/>
    </xf>
    <xf numFmtId="3" fontId="6" fillId="4" borderId="20" xfId="0" applyNumberFormat="1" applyFont="1" applyFill="1" applyBorder="1" applyAlignment="1">
      <alignment horizontal="right" vertical="center"/>
    </xf>
    <xf numFmtId="3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69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38100</xdr:colOff>
      <xdr:row>1</xdr:row>
      <xdr:rowOff>12700</xdr:rowOff>
    </xdr:from>
    <xdr:to>
      <xdr:col>6</xdr:col>
      <xdr:colOff>419100</xdr:colOff>
      <xdr:row>1</xdr:row>
      <xdr:rowOff>215900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6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33"/>
  <sheetViews>
    <sheetView workbookViewId="0" showGridLines="0" zoomScale="100" zoomScaleNormal="100">
      <selection activeCell="K20" sqref="K20"/>
    </sheetView>
  </sheetViews>
  <sheetFormatPr defaultRowHeight="14.5" outlineLevelRow="0" outlineLevelCol="0" x14ac:dyDescent="0" customHeight="1"/>
  <cols>
    <col min="1" max="1" width="2.36328125" style="1" customWidth="1"/>
    <col min="2" max="2" width="6.6328125" style="1" customWidth="1"/>
    <col min="3" max="3" width="29" style="1" customWidth="1"/>
    <col min="4" max="4" width="8.36328125" style="1" customWidth="1"/>
    <col min="5" max="6" width="10.453125" style="1" customWidth="1"/>
    <col min="7" max="7" width="14.6328125" style="1" customWidth="1"/>
    <col min="8" max="8" width="15.453125" style="1" customWidth="1"/>
    <col min="9" max="9" width="16.81640625" style="2" customWidth="1"/>
    <col min="10" max="10" width="8.453125" style="3" customWidth="1"/>
    <col min="11" max="11" width="7.81640625" style="4" customWidth="1"/>
    <col min="12" max="12" width="10.1796875" style="5" customWidth="1"/>
    <col min="13" max="13" width="8.81640625" style="4" customWidth="1"/>
    <col min="14" max="14" width="12.1796875" style="4" customWidth="1"/>
    <col min="15" max="15" width="8.81640625" style="4" customWidth="1"/>
    <col min="16" max="16" width="11" style="4" customWidth="1"/>
    <col min="17" max="19" width="8.81640625" style="4" customWidth="1"/>
    <col min="20" max="20" width="6.453125" style="4" customWidth="1"/>
    <col min="21" max="21" width="8.81640625" style="4" hidden="1" customWidth="1"/>
    <col min="22" max="249" width="8.81640625" style="4" customWidth="1"/>
    <col min="250" max="250" width="2.36328125" style="4" customWidth="1"/>
    <col min="251" max="251" width="8" style="4" customWidth="1"/>
    <col min="252" max="252" style="4" hidden="1" customWidth="1"/>
    <col min="253" max="253" width="55" style="4" customWidth="1"/>
    <col min="254" max="16384" style="4" hidden="1" customWidth="1"/>
  </cols>
  <sheetData>
    <row r="2" ht="18" customHeight="1" spans="2:7" x14ac:dyDescent="0.25">
      <c r="B2" s="6" t="s">
        <v>0</v>
      </c>
      <c r="C2" s="7" t="s">
        <v>1</v>
      </c>
      <c r="D2" s="7"/>
      <c r="E2" s="6" t="s">
        <v>2</v>
      </c>
      <c r="F2" s="8"/>
      <c r="G2" s="8"/>
    </row>
    <row r="3" spans="1:8" x14ac:dyDescent="0.25">
      <c r="A3" s="9"/>
      <c r="B3" s="6" t="s">
        <v>3</v>
      </c>
      <c r="C3" s="10" t="s">
        <v>4</v>
      </c>
      <c r="D3" s="10"/>
      <c r="E3" s="11" t="s">
        <v>3</v>
      </c>
      <c r="F3" s="10" t="s">
        <v>5</v>
      </c>
      <c r="G3" s="10"/>
      <c r="H3" s="9"/>
    </row>
    <row r="4" spans="1:8" x14ac:dyDescent="0.25">
      <c r="A4" s="9"/>
      <c r="B4" s="11"/>
      <c r="C4" s="12"/>
      <c r="D4" s="12"/>
      <c r="E4" s="11" t="s">
        <v>6</v>
      </c>
      <c r="F4" s="13" t="s">
        <v>7</v>
      </c>
      <c r="G4" s="10"/>
      <c r="H4" s="9"/>
    </row>
    <row r="5" spans="1:8" x14ac:dyDescent="0.25">
      <c r="A5" s="9"/>
      <c r="B5" s="11"/>
      <c r="C5" s="10"/>
      <c r="D5" s="10"/>
      <c r="E5" s="11"/>
      <c r="F5" s="14"/>
      <c r="G5" s="10"/>
      <c r="H5" s="9"/>
    </row>
    <row r="6" spans="1:11" x14ac:dyDescent="0.25">
      <c r="A6" s="9"/>
      <c r="B6" s="15" t="s">
        <v>8</v>
      </c>
      <c r="C6" s="15"/>
      <c r="D6" s="15"/>
      <c r="E6" s="15"/>
      <c r="F6" s="15"/>
      <c r="G6" s="15"/>
      <c r="H6" s="15"/>
      <c r="I6" s="15"/>
      <c r="J6" s="16"/>
      <c r="K6" s="16"/>
    </row>
    <row r="7" ht="17.5" customHeight="1" spans="2:9" x14ac:dyDescent="0.25">
      <c r="B7" s="17" t="s">
        <v>9</v>
      </c>
      <c r="C7" s="17"/>
      <c r="D7" s="17"/>
      <c r="E7" s="17"/>
      <c r="F7" s="17"/>
      <c r="G7" s="17"/>
      <c r="H7" s="17"/>
      <c r="I7" s="17"/>
    </row>
    <row r="8" spans="2:9" x14ac:dyDescent="0.25">
      <c r="B8" s="18" t="s">
        <v>10</v>
      </c>
      <c r="C8" s="18"/>
      <c r="D8" s="18"/>
      <c r="E8" s="18"/>
      <c r="F8" s="18"/>
      <c r="G8" s="18"/>
      <c r="H8" s="18"/>
      <c r="I8" s="18"/>
    </row>
    <row r="9" spans="1:12" x14ac:dyDescent="0.25">
      <c r="A9" s="9"/>
      <c r="B9" s="19" t="s">
        <v>11</v>
      </c>
      <c r="C9" s="20"/>
      <c r="D9" s="20"/>
      <c r="E9" s="21"/>
      <c r="F9" s="21"/>
      <c r="G9" s="20"/>
      <c r="H9" s="21"/>
      <c r="L9" s="4"/>
    </row>
    <row r="10" ht="12" customHeight="1" spans="2:12" x14ac:dyDescent="0.25">
      <c r="B10" s="22"/>
      <c r="C10" s="22"/>
      <c r="D10" s="22"/>
      <c r="E10" s="22"/>
      <c r="F10" s="22"/>
      <c r="G10" s="22"/>
      <c r="H10" s="22"/>
      <c r="I10" s="22"/>
      <c r="L10" s="4"/>
    </row>
    <row r="11" ht="33" customHeight="1" spans="2:12" x14ac:dyDescent="0.25">
      <c r="B11" s="23" t="s">
        <v>12</v>
      </c>
      <c r="C11" s="24" t="s">
        <v>13</v>
      </c>
      <c r="D11" s="24" t="s">
        <v>14</v>
      </c>
      <c r="E11" s="24" t="s">
        <v>15</v>
      </c>
      <c r="F11" s="24" t="s">
        <v>16</v>
      </c>
      <c r="G11" s="25" t="s">
        <v>17</v>
      </c>
      <c r="H11" s="25" t="s">
        <v>18</v>
      </c>
      <c r="I11" s="26" t="s">
        <v>19</v>
      </c>
      <c r="L11" s="27"/>
    </row>
    <row r="12" ht="25" customHeight="1" spans="1:9" x14ac:dyDescent="0.25">
      <c r="A12" s="28"/>
      <c r="B12" s="29">
        <v>1</v>
      </c>
      <c r="C12" s="30" t="s">
        <v>20</v>
      </c>
      <c r="D12" s="31"/>
      <c r="E12" s="32"/>
      <c r="F12" s="32"/>
      <c r="G12" s="33">
        <v>150000</v>
      </c>
      <c r="H12" s="34">
        <f>G12*F12</f>
        <v>150000</v>
      </c>
      <c r="I12" s="35"/>
    </row>
    <row r="13" ht="44" customHeight="1" spans="1:9" x14ac:dyDescent="0.25">
      <c r="A13" s="28"/>
      <c r="B13" s="29">
        <v>2</v>
      </c>
      <c r="C13" s="30" t="s">
        <v>21</v>
      </c>
      <c r="D13" s="31"/>
      <c r="E13" s="32"/>
      <c r="F13" s="32"/>
      <c r="G13" s="33">
        <v>22000</v>
      </c>
      <c r="H13" s="34">
        <f>G13*F13</f>
        <v>11000000</v>
      </c>
      <c r="I13" s="35"/>
    </row>
    <row r="14" ht="44" customHeight="1" spans="1:9" x14ac:dyDescent="0.25">
      <c r="A14" s="28"/>
      <c r="B14" s="29">
        <v>3</v>
      </c>
      <c r="C14" s="30" t="s">
        <v>22</v>
      </c>
      <c r="D14" s="31"/>
      <c r="E14" s="32"/>
      <c r="F14" s="32"/>
      <c r="G14" s="33">
        <v>95000</v>
      </c>
      <c r="H14" s="34">
        <f>G14*F14</f>
        <v>1900000</v>
      </c>
      <c r="I14" s="35"/>
    </row>
    <row r="15" ht="44" customHeight="1" spans="1:9" x14ac:dyDescent="0.25">
      <c r="A15" s="28"/>
      <c r="B15" s="29">
        <v>4</v>
      </c>
      <c r="C15" s="30" t="s">
        <v>23</v>
      </c>
      <c r="D15" s="31"/>
      <c r="E15" s="32"/>
      <c r="F15" s="32"/>
      <c r="G15" s="33">
        <v>150000</v>
      </c>
      <c r="H15" s="34">
        <f>G15*F15</f>
        <v>300000</v>
      </c>
      <c r="I15" s="35"/>
    </row>
    <row r="16" ht="44" customHeight="1" spans="1:10" x14ac:dyDescent="0.25">
      <c r="A16" s="28"/>
      <c r="B16" s="29">
        <v>5</v>
      </c>
      <c r="C16" s="30" t="s">
        <v>24</v>
      </c>
      <c r="D16" s="31"/>
      <c r="E16" s="32"/>
      <c r="F16" s="32"/>
      <c r="G16" s="33">
        <f>2.5*2.5*650000</f>
        <v>4062500</v>
      </c>
      <c r="H16" s="34"/>
      <c r="I16" s="35"/>
      <c r="J16" s="3" t="s">
        <v>25</v>
      </c>
    </row>
    <row r="17" ht="44" customHeight="1" spans="1:9" x14ac:dyDescent="0.25">
      <c r="A17" s="28"/>
      <c r="B17" s="29">
        <v>6</v>
      </c>
      <c r="C17" s="30" t="s">
        <v>26</v>
      </c>
      <c r="D17" s="31"/>
      <c r="E17" s="32"/>
      <c r="F17" s="32"/>
      <c r="G17" s="33">
        <v>2000000</v>
      </c>
      <c r="H17" s="34"/>
      <c r="I17" s="35"/>
    </row>
    <row r="18" ht="44" customHeight="1" spans="1:9" x14ac:dyDescent="0.25">
      <c r="A18" s="28"/>
      <c r="B18" s="29">
        <v>7</v>
      </c>
      <c r="C18" s="30" t="s">
        <v>27</v>
      </c>
      <c r="D18" s="31"/>
      <c r="E18" s="32"/>
      <c r="F18" s="32"/>
      <c r="G18" s="33">
        <v>600000</v>
      </c>
      <c r="H18" s="34"/>
      <c r="I18" s="35"/>
    </row>
    <row r="19" ht="44" customHeight="1" spans="1:9" x14ac:dyDescent="0.25">
      <c r="A19" s="28"/>
      <c r="B19" s="29">
        <v>8</v>
      </c>
      <c r="C19" s="30" t="s">
        <v>28</v>
      </c>
      <c r="D19" s="31"/>
      <c r="E19" s="32"/>
      <c r="F19" s="32"/>
      <c r="G19" s="33">
        <v>100000</v>
      </c>
      <c r="H19" s="34"/>
      <c r="I19" s="35"/>
    </row>
    <row r="20" ht="31" customHeight="1" spans="1:9" x14ac:dyDescent="0.25">
      <c r="A20" s="28"/>
      <c r="B20" s="29">
        <v>9</v>
      </c>
      <c r="C20" s="30" t="s">
        <v>29</v>
      </c>
      <c r="D20" s="31"/>
      <c r="E20" s="32"/>
      <c r="F20" s="32"/>
      <c r="G20" s="33">
        <v>800000</v>
      </c>
      <c r="H20" s="34"/>
      <c r="I20" s="35"/>
    </row>
    <row r="21" ht="30" customHeight="1" spans="1:9" x14ac:dyDescent="0.25">
      <c r="A21" s="28"/>
      <c r="B21" s="36">
        <v>10</v>
      </c>
      <c r="C21" s="37" t="s">
        <v>30</v>
      </c>
      <c r="D21" s="38"/>
      <c r="E21" s="39"/>
      <c r="F21" s="39"/>
      <c r="G21" s="40">
        <v>1500000</v>
      </c>
      <c r="H21" s="41">
        <f>G21*F21</f>
        <v>1500000</v>
      </c>
      <c r="I21" s="42"/>
    </row>
    <row r="22" ht="22" customHeight="1" spans="1:12" s="43" customFormat="1" x14ac:dyDescent="0.25">
      <c r="A22" s="44"/>
      <c r="B22" s="1"/>
      <c r="C22" s="1"/>
      <c r="D22" s="1"/>
      <c r="E22" s="45"/>
      <c r="F22" s="45"/>
      <c r="G22" s="46"/>
      <c r="H22" s="47">
        <f>SUM(H12:H21)</f>
        <v>14850000</v>
      </c>
      <c r="I22" s="2"/>
      <c r="J22" s="48"/>
      <c r="L22" s="49"/>
    </row>
    <row r="23" ht="22" customHeight="1" spans="1:9" x14ac:dyDescent="0.25">
      <c r="A23" s="28"/>
      <c r="B23" s="50"/>
      <c r="D23" s="1"/>
      <c r="E23" s="51"/>
      <c r="F23" s="51"/>
      <c r="G23" s="52"/>
      <c r="H23" s="53">
        <f>H22*8%</f>
        <v>1188000</v>
      </c>
      <c r="I23" s="2"/>
    </row>
    <row r="24" ht="22" customHeight="1" spans="1:12" s="54" customFormat="1" x14ac:dyDescent="0.25">
      <c r="A24" s="4"/>
      <c r="B24" s="1"/>
      <c r="C24" s="1"/>
      <c r="D24" s="1"/>
      <c r="E24" s="55"/>
      <c r="F24" s="55"/>
      <c r="G24" s="56"/>
      <c r="H24" s="57">
        <f>H22+H23</f>
        <v>16038000</v>
      </c>
      <c r="I24" s="2"/>
      <c r="J24" s="3"/>
      <c r="K24" s="4"/>
      <c r="L24" s="58"/>
    </row>
    <row r="25" spans="1:12" s="54" customFormat="1" x14ac:dyDescent="0.25">
      <c r="A25" s="4"/>
      <c r="B25" s="1"/>
      <c r="C25" s="1"/>
      <c r="D25" s="1"/>
      <c r="E25" s="1"/>
      <c r="F25" s="1"/>
      <c r="G25" s="1"/>
      <c r="H25" s="1"/>
      <c r="I25" s="2"/>
      <c r="J25" s="3"/>
      <c r="K25" s="4"/>
      <c r="L25" s="58"/>
    </row>
    <row r="26" spans="1:12" s="54" customFormat="1" x14ac:dyDescent="0.25">
      <c r="A26" s="1"/>
      <c r="B26" s="1"/>
      <c r="C26" s="1"/>
      <c r="D26" s="1"/>
      <c r="E26" s="1"/>
      <c r="F26" s="1"/>
      <c r="G26" s="1"/>
      <c r="H26" s="1"/>
      <c r="I26" s="2"/>
      <c r="J26" s="3"/>
      <c r="K26" s="4"/>
      <c r="L26" s="58"/>
    </row>
    <row r="27" spans="1:12" s="54" customFormat="1" x14ac:dyDescent="0.25">
      <c r="A27" s="1"/>
      <c r="B27" s="1"/>
      <c r="C27" s="1"/>
      <c r="D27" s="1"/>
      <c r="E27" s="1"/>
      <c r="F27" s="1"/>
      <c r="G27" s="1"/>
      <c r="H27" s="1"/>
      <c r="I27" s="2"/>
      <c r="J27" s="3"/>
      <c r="K27" s="4"/>
      <c r="L27" s="58"/>
    </row>
    <row r="28" spans="1:12" s="54" customFormat="1" x14ac:dyDescent="0.25">
      <c r="A28" s="1"/>
      <c r="B28" s="1"/>
      <c r="C28" s="1"/>
      <c r="D28" s="1"/>
      <c r="E28" s="1"/>
      <c r="F28" s="1"/>
      <c r="G28" s="1"/>
      <c r="H28" s="1"/>
      <c r="I28" s="2"/>
      <c r="J28" s="3"/>
      <c r="K28" s="4"/>
      <c r="L28" s="58"/>
    </row>
    <row r="29" spans="1:12" s="54" customFormat="1" x14ac:dyDescent="0.25">
      <c r="A29" s="4"/>
      <c r="B29" s="1"/>
      <c r="C29" s="1"/>
      <c r="D29" s="1"/>
      <c r="E29" s="1"/>
      <c r="F29" s="1"/>
      <c r="G29" s="1"/>
      <c r="H29" s="1"/>
      <c r="I29" s="2"/>
      <c r="J29" s="3"/>
      <c r="K29" s="4"/>
      <c r="L29" s="58"/>
    </row>
    <row r="30" spans="1:12" s="54" customFormat="1" x14ac:dyDescent="0.25">
      <c r="A30" s="4"/>
      <c r="B30" s="1"/>
      <c r="C30" s="1"/>
      <c r="D30" s="1"/>
      <c r="E30" s="1"/>
      <c r="F30" s="1"/>
      <c r="G30" s="1"/>
      <c r="H30" s="1"/>
      <c r="I30" s="2"/>
      <c r="J30" s="3"/>
      <c r="K30" s="4"/>
      <c r="L30" s="58"/>
    </row>
    <row r="31" spans="1:12" s="54" customFormat="1" x14ac:dyDescent="0.25">
      <c r="A31" s="4"/>
      <c r="B31" s="1"/>
      <c r="C31" s="1"/>
      <c r="D31" s="1"/>
      <c r="E31" s="1"/>
      <c r="F31" s="1"/>
      <c r="G31" s="1"/>
      <c r="H31" s="1"/>
      <c r="I31" s="2"/>
      <c r="J31" s="3"/>
      <c r="K31" s="4"/>
      <c r="L31" s="58"/>
    </row>
    <row r="32" spans="1:12" s="54" customFormat="1" x14ac:dyDescent="0.25">
      <c r="A32" s="4"/>
      <c r="B32" s="1"/>
      <c r="C32" s="1"/>
      <c r="D32" s="1"/>
      <c r="E32" s="1"/>
      <c r="F32" s="1"/>
      <c r="G32" s="1"/>
      <c r="H32" s="1"/>
      <c r="I32" s="2"/>
      <c r="J32" s="3"/>
      <c r="K32" s="4"/>
      <c r="L32" s="58"/>
    </row>
    <row r="33" spans="1:12" s="54" customFormat="1" x14ac:dyDescent="0.25">
      <c r="A33" s="4"/>
      <c r="B33" s="1"/>
      <c r="C33" s="1"/>
      <c r="D33" s="1"/>
      <c r="E33" s="1"/>
      <c r="F33" s="1"/>
      <c r="G33" s="1"/>
      <c r="H33" s="1"/>
      <c r="I33" s="2"/>
      <c r="J33" s="3"/>
      <c r="K33" s="4"/>
      <c r="L33" s="58"/>
    </row>
  </sheetData>
  <mergeCells count="7">
    <mergeCell ref="B6:I6"/>
    <mergeCell ref="B7:I7"/>
    <mergeCell ref="B8:I8"/>
    <mergeCell ref="B10:I10"/>
    <mergeCell ref="F22:G22"/>
    <mergeCell ref="F23:G23"/>
    <mergeCell ref="F24:G24"/>
  </mergeCells>
  <pageMargins left="0.7" right="0.7" top="0.75" bottom="0.75" header="0.3" footer="0.3"/>
  <pageSetup paperSize="9" orientation="portrait" horizontalDpi="0" verticalDpi="0" scale="55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Décor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Customer</dc:creator>
  <cp:lastModifiedBy>Administrator</cp:lastModifiedBy>
  <cp:lastPrinted>2023-11-28T10:37:37Z</cp:lastPrinted>
  <dcterms:created xsi:type="dcterms:W3CDTF">2000-06-22T04:23:24Z</dcterms:created>
  <dcterms:modified xsi:type="dcterms:W3CDTF">2026-05-28T05:51:45Z</dcterms:modified>
</cp:coreProperties>
</file>