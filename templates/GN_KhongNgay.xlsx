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mc:AlternateContent xmlns:mc="http://schemas.openxmlformats.org/markup-compatibility/2006">
    <mc:Choice Requires="x15">
      <x15ac:absPath xmlns:x15ac="http://schemas.microsoft.com/office/spreadsheetml/2010/11/ac" url="C:\Users\Admin\Desktop\QuanLY\templates\"/>
    </mc:Choice>
  </mc:AlternateContent>
  <xr:revisionPtr revIDLastSave="0" documentId="8_{CFE0DF00-7DB2-4FEC-BF25-6C3CA06884CA}" xr6:coauthVersionLast="47" xr6:coauthVersionMax="47" xr10:uidLastSave="{00000000-0000-0000-0000-000000000000}"/>
  <bookViews>
    <workbookView xWindow="2240" yWindow="2240" windowWidth="19200" windowHeight="11170" xr2:uid="{E9E04353-7B7F-4ECB-9B4A-CE962A55AE92}"/>
  </bookViews>
  <sheets>
    <sheet name="GN" sheetId="7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#REF!</definedName>
    <definedName name="\D">#REF!</definedName>
    <definedName name="\gfresgh" hidden="1">{#N/A,#N/A,FALSE,"sum";#N/A,#N/A,FALSE,"MARTV";#N/A,#N/A,FALSE,"APRTV"}</definedName>
    <definedName name="\I">#REF!</definedName>
    <definedName name="\J">#REF!</definedName>
    <definedName name="\P">#REF!</definedName>
    <definedName name="\T">#REF!</definedName>
    <definedName name="_cao1">#REF!</definedName>
    <definedName name="_cao2">#REF!</definedName>
    <definedName name="_cao3">#REF!</definedName>
    <definedName name="_cao4">#REF!</definedName>
    <definedName name="_cao5">#REF!</definedName>
    <definedName name="_cao6">#REF!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EAU95">#REF!</definedName>
    <definedName name="_EJL95">#REF!</definedName>
    <definedName name="_ESE95">#REF!</definedName>
    <definedName name="_Fill" hidden="1">#REF!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slg1">#REF!</definedName>
    <definedName name="_slg2">#REF!</definedName>
    <definedName name="_slg3">#REF!</definedName>
    <definedName name="_slg4">#REF!</definedName>
    <definedName name="_slg5">#REF!</definedName>
    <definedName name="_slg6">#REF!</definedName>
    <definedName name="_Sort" hidden="1">#REF!</definedName>
    <definedName name="agstyhjt">[2]expenditure!#REF!</definedName>
    <definedName name="Apr">#REF!</definedName>
    <definedName name="ARJN95">[2]I!#REF!</definedName>
    <definedName name="aSC">#REF!</definedName>
    <definedName name="asdgadthrtj">#REF!</definedName>
    <definedName name="asgfwerg">[3]S!#REF!,[3]S!#REF!</definedName>
    <definedName name="Aug">#REF!</definedName>
    <definedName name="AWDVG" hidden="1">{#N/A,#N/A,FALSE,"sum";#N/A,#N/A,FALSE,"MARTV";#N/A,#N/A,FALSE,"APRTV"}</definedName>
    <definedName name="azwrhjny7i5l97" hidden="1">{#N/A,#N/A,FALSE,"sum";#N/A,#N/A,FALSE,"MARTV";#N/A,#N/A,FALSE,"APRTV"}</definedName>
    <definedName name="bangchu">#REF!</definedName>
    <definedName name="bengam">#REF!</definedName>
    <definedName name="benuoc">#REF!</definedName>
    <definedName name="BINH">#REF!</definedName>
    <definedName name="Blademan" hidden="1">{#N/A,#N/A,FALSE,"sum";#N/A,#N/A,FALSE,"MARTV";#N/A,#N/A,FALSE,"APRTV"}</definedName>
    <definedName name="cao">#REF!</definedName>
    <definedName name="CC3Q95">[2]expenditure!#REF!</definedName>
    <definedName name="CC4Q95">[2]expenditure!#REF!</definedName>
    <definedName name="cd">#REF!</definedName>
    <definedName name="CD3Q95">[2]expenditure!#REF!</definedName>
    <definedName name="CD4Q95">[2]expenditure!#REF!</definedName>
    <definedName name="Channels">[4]Lists!$A$1:$A$17</definedName>
    <definedName name="CO">[5]DATA!$I$12:$I$318</definedName>
    <definedName name="coc">#REF!</definedName>
    <definedName name="cocbtct">#REF!</definedName>
    <definedName name="cock">#REF!</definedName>
    <definedName name="cocot">#REF!</definedName>
    <definedName name="cocott">#REF!</definedName>
    <definedName name="comong">#REF!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no">#REF!</definedName>
    <definedName name="congpanen">#REF!</definedName>
    <definedName name="congsan">#REF!</definedName>
    <definedName name="congthang">#REF!</definedName>
    <definedName name="cottron">#REF!</definedName>
    <definedName name="cotvuong">#REF!</definedName>
    <definedName name="CT3Q95">[2]expenditure!#REF!</definedName>
    <definedName name="dam">#REF!</definedName>
    <definedName name="danducsan">#REF!</definedName>
    <definedName name="_xlnm.Database" hidden="1">#REF!</definedName>
    <definedName name="DC">[6]DC!$A$1:$D$395</definedName>
    <definedName name="Dec">#REF!</definedName>
    <definedName name="dfbgf">#REF!</definedName>
    <definedName name="dfdfas" hidden="1">{#N/A,#N/A,FALSE,"sum";#N/A,#N/A,FALSE,"MARTV";#N/A,#N/A,FALSE,"APRTV"}</definedName>
    <definedName name="dfjhfkg" hidden="1">{#N/A,#N/A,FALSE,"sum";#N/A,#N/A,FALSE,"MARTV";#N/A,#N/A,FALSE,"APRTV"}</definedName>
    <definedName name="dientichck">#REF!</definedName>
    <definedName name="Discount">'[7]Rate-Card-04'!$W$6:$AF$7</definedName>
    <definedName name="DL50SEC">#REF!</definedName>
    <definedName name="DL50SEC_5">#REF!</definedName>
    <definedName name="DLSCM15">#REF!</definedName>
    <definedName name="DLSCM15_5">#REF!</definedName>
    <definedName name="DLSCM30">#REF!</definedName>
    <definedName name="DLSCM30_5">#REF!</definedName>
    <definedName name="DLSCM40">#REF!</definedName>
    <definedName name="DLSCM40_5">#REF!</definedName>
    <definedName name="DLUHT">#REF!</definedName>
    <definedName name="DLUHT_5">#REF!</definedName>
    <definedName name="DLUHT30">#REF!</definedName>
    <definedName name="DLUHT40">#REF!</definedName>
    <definedName name="dnjret" hidden="1">{#N/A,#N/A,FALSE,"sum";#N/A,#N/A,FALSE,"MARTV";#N/A,#N/A,FALSE,"APRTV"}</definedName>
    <definedName name="doan1">#REF!</definedName>
    <definedName name="doan2">#REF!</definedName>
    <definedName name="doan3">#REF!</definedName>
    <definedName name="doan4">#REF!</definedName>
    <definedName name="doan5">#REF!</definedName>
    <definedName name="doan6">#REF!</definedName>
    <definedName name="DocumentYear">'[8]#REF'!#REF!</definedName>
    <definedName name="dsds" hidden="1">{#N/A,#N/A,FALSE,"sum";#N/A,#N/A,FALSE,"MARTV";#N/A,#N/A,FALSE,"APRTV"}</definedName>
    <definedName name="dtich1">#REF!</definedName>
    <definedName name="dtich2">#REF!</definedName>
    <definedName name="dtich3">#REF!</definedName>
    <definedName name="dtich4">#REF!</definedName>
    <definedName name="dtich5">#REF!</definedName>
    <definedName name="dtich6">#REF!</definedName>
    <definedName name="eatfgbhrgb">#REF!</definedName>
    <definedName name="ecpn">#REF!</definedName>
    <definedName name="EDAU95">#REF!</definedName>
    <definedName name="edjl95">#REF!</definedName>
    <definedName name="EDSE95">#REF!</definedName>
    <definedName name="Est">'[9]Cover Estimator'!$C$10</definedName>
    <definedName name="fb" hidden="1">{#N/A,#N/A,FALSE,"sum";#N/A,#N/A,FALSE,"MARTV";#N/A,#N/A,FALSE,"APRTV"}</definedName>
    <definedName name="fdfdsd" hidden="1">{#N/A,#N/A,FALSE,"sum";#N/A,#N/A,FALSE,"MARTV";#N/A,#N/A,FALSE,"APRTV"}</definedName>
    <definedName name="feb">#REF!</definedName>
    <definedName name="FLEX">[10]data!#REF!</definedName>
    <definedName name="FLO1Q96">#REF!</definedName>
    <definedName name="FLO2Q96">#REF!</definedName>
    <definedName name="FLO3Q96">#REF!</definedName>
    <definedName name="FLO4Q95">#REF!</definedName>
    <definedName name="FLO4Q96">#REF!</definedName>
    <definedName name="FLOAU95">#REF!</definedName>
    <definedName name="FLOJL95">#REF!</definedName>
    <definedName name="FLOJN95">#REF!</definedName>
    <definedName name="FLOSE95">#REF!</definedName>
    <definedName name="fnghx">[11]Ratecard!$AG$5</definedName>
    <definedName name="frawerh">#REF!</definedName>
    <definedName name="gfg">#REF!</definedName>
    <definedName name="GOC_NGAY">[5]DATA!#REF!</definedName>
    <definedName name="GOC_SO">[5]DATA!#REF!</definedName>
    <definedName name="GOC_TENHANG">[5]DATA!#REF!</definedName>
    <definedName name="GOC_TIENHANG">[5]DATA!#REF!</definedName>
    <definedName name="Grad">'[9]Cover Estimator'!$C$7</definedName>
    <definedName name="IAR1Q96">[2]I!#REF!</definedName>
    <definedName name="IAR2Q96">[2]I!#REF!</definedName>
    <definedName name="IAR3Q95">[2]I!#REF!</definedName>
    <definedName name="IAR3Q96">[2]I!#REF!</definedName>
    <definedName name="IAR4Q95">[2]I!#REF!</definedName>
    <definedName name="IAR4Q96">[2]I!#REF!</definedName>
    <definedName name="IARJN95">[2]I!#REF!</definedName>
    <definedName name="Info">[11]Ratecard!$A$7:$AG$451</definedName>
    <definedName name="Input">'[9]Cover Estimator'!$A$11</definedName>
    <definedName name="INV3Q95">[2]I!#REF!</definedName>
    <definedName name="INV4Q95">[2]I!#REF!</definedName>
    <definedName name="IPP3Q95">[2]I!#REF!</definedName>
    <definedName name="IPP4Q95">[2]I!#REF!</definedName>
    <definedName name="IV16384\">#REF!</definedName>
    <definedName name="jan">#REF!</definedName>
    <definedName name="jhlhyioh" hidden="1">{#N/A,#N/A,FALSE,"sum";#N/A,#N/A,FALSE,"MARTV";#N/A,#N/A,FALSE,"APRTV"}</definedName>
    <definedName name="Jul">#REF!</definedName>
    <definedName name="Jun">#REF!</definedName>
    <definedName name="KCSCM">#REF!</definedName>
    <definedName name="KCSCM_5">#REF!</definedName>
    <definedName name="lanhto">#REF!</definedName>
    <definedName name="LAO1Q96">#REF!</definedName>
    <definedName name="LAO2Q96">#REF!</definedName>
    <definedName name="LAO3Q96">#REF!</definedName>
    <definedName name="LAO4Q95">#REF!</definedName>
    <definedName name="LAO4Q96">#REF!</definedName>
    <definedName name="LAOAU95">#REF!</definedName>
    <definedName name="LAOJL95">#REF!</definedName>
    <definedName name="LAOJN95">#REF!</definedName>
    <definedName name="LAOSE95">#REF!</definedName>
    <definedName name="LCODE">[3]S!#REF!</definedName>
    <definedName name="Limit">'[9]Cover Estimator'!$C$8</definedName>
    <definedName name="link_cd">#REF!</definedName>
    <definedName name="LOTG" hidden="1">{#N/A,#N/A,FALSE,"sum";#N/A,#N/A,FALSE,"MARTV";#N/A,#N/A,FALSE,"APRTV"}</definedName>
    <definedName name="lsdrjhnopjy5io">#REF!</definedName>
    <definedName name="MACN">#REF!</definedName>
    <definedName name="MACO">[5]DATA!$L$12:$L$318</definedName>
    <definedName name="MajorHeader">'[8]#REF'!#REF!</definedName>
    <definedName name="MANO">[5]DATA!$K$12:$K$318</definedName>
    <definedName name="mar">#REF!</definedName>
    <definedName name="may">#REF!</definedName>
    <definedName name="MENG1Q96">#REF!</definedName>
    <definedName name="MENG2Q96">#REF!</definedName>
    <definedName name="MENG3Q95">#REF!</definedName>
    <definedName name="MENG3Q96">#REF!</definedName>
    <definedName name="MENG4Q95">#REF!</definedName>
    <definedName name="MENG4Q96">#REF!</definedName>
    <definedName name="MENGAU95">#REF!</definedName>
    <definedName name="MENGJL95">#REF!</definedName>
    <definedName name="MENGJN95">#REF!</definedName>
    <definedName name="MENGSE95">#REF!</definedName>
    <definedName name="MEQU1Q96">#REF!</definedName>
    <definedName name="MEQU2Q96">#REF!</definedName>
    <definedName name="MEQU3Q95">#REF!</definedName>
    <definedName name="MEQU3Q96">#REF!</definedName>
    <definedName name="MEQU4Q95">#REF!</definedName>
    <definedName name="MEQU4Q96">#REF!</definedName>
    <definedName name="MEQUAU95">#REF!</definedName>
    <definedName name="MEQUJL95">#REF!</definedName>
    <definedName name="MEQUJN95">#REF!</definedName>
    <definedName name="MEQUSE95">#REF!</definedName>
    <definedName name="MFLO1Q96">#REF!</definedName>
    <definedName name="MFLO2Q96">#REF!</definedName>
    <definedName name="MFLO3Q96">#REF!</definedName>
    <definedName name="MFLO4Q95">#REF!</definedName>
    <definedName name="MFLO4Q96">#REF!</definedName>
    <definedName name="MFLOAU95">#REF!</definedName>
    <definedName name="MFLOJL95">#REF!</definedName>
    <definedName name="MFLOJN95">#REF!</definedName>
    <definedName name="MFLOSE95">#REF!</definedName>
    <definedName name="MFLU1Q96">#REF!</definedName>
    <definedName name="MFLU2Q96">#REF!</definedName>
    <definedName name="MFLU3Q95">#REF!</definedName>
    <definedName name="MFLU3Q96">#REF!</definedName>
    <definedName name="MFLU4Q95">#REF!</definedName>
    <definedName name="MFLU4Q96">#REF!</definedName>
    <definedName name="MFLUAU95">#REF!</definedName>
    <definedName name="MFLUJL95">#REF!</definedName>
    <definedName name="MFLUJN95">#REF!</definedName>
    <definedName name="MFLUSE95">#REF!</definedName>
    <definedName name="MLAO1Q96">#REF!</definedName>
    <definedName name="MLAO2Q96">#REF!</definedName>
    <definedName name="MLAO3Q96">#REF!</definedName>
    <definedName name="MLAO4Q95">#REF!</definedName>
    <definedName name="MLAO4Q96">#REF!</definedName>
    <definedName name="MLAOAU95">#REF!</definedName>
    <definedName name="MLAOJL95">#REF!</definedName>
    <definedName name="MLAOJN95">#REF!</definedName>
    <definedName name="MLAOSE95">#REF!</definedName>
    <definedName name="MMENG1Q96">#REF!</definedName>
    <definedName name="MMENG2Q96">#REF!</definedName>
    <definedName name="MMENG3Q95">#REF!</definedName>
    <definedName name="MMENG3Q96">#REF!</definedName>
    <definedName name="MMENG4Q95">#REF!</definedName>
    <definedName name="MMENG4Q96">#REF!</definedName>
    <definedName name="MMENGAU95">#REF!</definedName>
    <definedName name="MMENGJL95">#REF!</definedName>
    <definedName name="MMENGJN95">#REF!</definedName>
    <definedName name="MMENGSE95">#REF!</definedName>
    <definedName name="MMEQU1Q96">#REF!</definedName>
    <definedName name="MMEQU2Q96">#REF!</definedName>
    <definedName name="MMEQU3Q95">#REF!</definedName>
    <definedName name="MMEQU3Q96">#REF!</definedName>
    <definedName name="MMEQU4Q95">#REF!</definedName>
    <definedName name="MMEQU4Q96">#REF!</definedName>
    <definedName name="MMEQUAU95">#REF!</definedName>
    <definedName name="MMEQUJL95">#REF!</definedName>
    <definedName name="MMEQUJN95">#REF!</definedName>
    <definedName name="MMEQUSE95">#REF!</definedName>
    <definedName name="MMFLU1Q96">#REF!</definedName>
    <definedName name="MMFLU2Q96">#REF!</definedName>
    <definedName name="MMFLU3Q95">#REF!</definedName>
    <definedName name="MMFLU3Q96">#REF!</definedName>
    <definedName name="MMFLU4Q95">#REF!</definedName>
    <definedName name="MMFLU4Q96">#REF!</definedName>
    <definedName name="MMFLUAU95">#REF!</definedName>
    <definedName name="MMFLUJL95">#REF!</definedName>
    <definedName name="MMFLUJN95">#REF!</definedName>
    <definedName name="MMFLUSE95">#REF!</definedName>
    <definedName name="MMOTH1Q96">#REF!</definedName>
    <definedName name="MMOTH2Q96">#REF!</definedName>
    <definedName name="MMOTH3Q95">#REF!</definedName>
    <definedName name="MMOTH3Q96">#REF!</definedName>
    <definedName name="MMOTH4Q95">#REF!</definedName>
    <definedName name="MMOTH4Q96">#REF!</definedName>
    <definedName name="MMOTHAU95">#REF!</definedName>
    <definedName name="MMOTHJL95">#REF!</definedName>
    <definedName name="MMOTHJN95">#REF!</definedName>
    <definedName name="MMOTHSE95">#REF!</definedName>
    <definedName name="MMPRO1Q96">#REF!</definedName>
    <definedName name="MMPRO2Q96">#REF!</definedName>
    <definedName name="MMPRO3Q95">#REF!</definedName>
    <definedName name="MMPRO3Q96">#REF!</definedName>
    <definedName name="MMPRO4Q95">#REF!</definedName>
    <definedName name="MMPRO4Q96">#REF!</definedName>
    <definedName name="MMPROAU95">#REF!</definedName>
    <definedName name="MMPROJL95">#REF!</definedName>
    <definedName name="MMPROJN95">#REF!</definedName>
    <definedName name="MMPROSE95">#REF!</definedName>
    <definedName name="MMTRA1Q96">#REF!</definedName>
    <definedName name="MMTRA2Q96">#REF!</definedName>
    <definedName name="MMTRA3Q95">#REF!</definedName>
    <definedName name="MMTRA3Q96">#REF!</definedName>
    <definedName name="MMTRA4Q95">#REF!</definedName>
    <definedName name="MMTRA4Q96">#REF!</definedName>
    <definedName name="MMTRAAU95">#REF!</definedName>
    <definedName name="MMTRAJL95">#REF!</definedName>
    <definedName name="MMTRAJN95">#REF!</definedName>
    <definedName name="MMTRASE95">#REF!</definedName>
    <definedName name="mongbang">#REF!</definedName>
    <definedName name="mongdon">#REF!</definedName>
    <definedName name="MOTH1Q96">#REF!</definedName>
    <definedName name="MOTH2Q96">#REF!</definedName>
    <definedName name="MOTH3Q95">#REF!</definedName>
    <definedName name="MOTH3Q96">#REF!</definedName>
    <definedName name="MOTH4Q95">#REF!</definedName>
    <definedName name="MOTH4Q96">#REF!</definedName>
    <definedName name="MOTHAU95">#REF!</definedName>
    <definedName name="MOTHJL95">#REF!</definedName>
    <definedName name="MOTHJN95">#REF!</definedName>
    <definedName name="MOTHSE95">#REF!</definedName>
    <definedName name="MPAO1Q96">#REF!</definedName>
    <definedName name="MPAO2Q96">#REF!</definedName>
    <definedName name="MPAO3Q96">#REF!</definedName>
    <definedName name="MPAO4Q95">#REF!</definedName>
    <definedName name="MPAO4Q96">#REF!</definedName>
    <definedName name="MPAOAU95">#REF!</definedName>
    <definedName name="MPAOJL95">#REF!</definedName>
    <definedName name="MPAOJN95">#REF!</definedName>
    <definedName name="MPAOSE95">#REF!</definedName>
    <definedName name="MPRO1Q96">#REF!</definedName>
    <definedName name="MPRO2Q96">#REF!</definedName>
    <definedName name="MPRO3Q95">#REF!</definedName>
    <definedName name="MPRO3Q96">#REF!</definedName>
    <definedName name="MPRO4Q95">#REF!</definedName>
    <definedName name="MPRO4Q96">#REF!</definedName>
    <definedName name="MPROAU95">#REF!</definedName>
    <definedName name="MPROJL95">#REF!</definedName>
    <definedName name="MPROJN95">#REF!</definedName>
    <definedName name="MPROSE95">#REF!</definedName>
    <definedName name="MSYN1Q96">#REF!</definedName>
    <definedName name="MSYN2Q96">#REF!</definedName>
    <definedName name="MSYN3Q96">#REF!</definedName>
    <definedName name="MSYN4Q95">#REF!</definedName>
    <definedName name="MSYN4Q96">#REF!</definedName>
    <definedName name="MSYNAU95">#REF!</definedName>
    <definedName name="MSYNJL95">#REF!</definedName>
    <definedName name="MSYNJN95">#REF!</definedName>
    <definedName name="MSYNSE95">#REF!</definedName>
    <definedName name="MTHPLAN">#REF!</definedName>
    <definedName name="MTRA1Q96">#REF!</definedName>
    <definedName name="MTRA2Q96">#REF!</definedName>
    <definedName name="MTRA3Q95">#REF!</definedName>
    <definedName name="MTRA3Q96">#REF!</definedName>
    <definedName name="MTRA4Q95">#REF!</definedName>
    <definedName name="MTRA4Q96">#REF!</definedName>
    <definedName name="MTRAAU95">#REF!</definedName>
    <definedName name="MTRAJL95">#REF!</definedName>
    <definedName name="MTRAJN95">#REF!</definedName>
    <definedName name="MTRASE95">#REF!</definedName>
    <definedName name="MWELL95">#REF!</definedName>
    <definedName name="MWELL96">#REF!</definedName>
    <definedName name="NAME">#REF!</definedName>
    <definedName name="NET_PDT">[3]S!#REF!,[3]S!#REF!</definedName>
    <definedName name="NET_PDT16">[3]S!#REF!,[3]S!#REF!</definedName>
    <definedName name="NET_PDT26">[3]S!#REF!,[3]S!#REF!</definedName>
    <definedName name="NET_PDT35">[3]S!#REF!,[3]S!#REF!</definedName>
    <definedName name="NET_PDT36">[3]S!#REF!,[3]S!#REF!</definedName>
    <definedName name="NET_PDT45">[3]S!#REF!,[3]S!#REF!</definedName>
    <definedName name="NET_PDT46">[3]S!#REF!,[3]S!#REF!</definedName>
    <definedName name="NET_PDT55">[3]S!#REF!,[3]S!#REF!</definedName>
    <definedName name="NET_PDT56">[3]S!$Q$18:$Q$24,[3]S!$Q$27</definedName>
    <definedName name="NET_PDT66">[3]S!$R$18:$R$24,[3]S!$R$27</definedName>
    <definedName name="nkmjk" hidden="1">{#N/A,#N/A,FALSE,"sum";#N/A,#N/A,FALSE,"MARTV";#N/A,#N/A,FALSE,"APRTV"}</definedName>
    <definedName name="NL01_InKTS_nganhang">#REF!</definedName>
    <definedName name="NO">[5]DATA!$H$12:$H$318</definedName>
    <definedName name="nock">#REF!</definedName>
    <definedName name="Nov">#REF!</definedName>
    <definedName name="object">#REF!</definedName>
    <definedName name="Oct">#REF!</definedName>
    <definedName name="ojec">#REF!</definedName>
    <definedName name="OneTwoThree">#REF!</definedName>
    <definedName name="OneTwoThree_5">#REF!</definedName>
    <definedName name="Online" hidden="1">{#N/A,#N/A,FALSE,"sum";#N/A,#N/A,FALSE,"MARTV";#N/A,#N/A,FALSE,"APRTV"}</definedName>
    <definedName name="PAGE1">'[3]MI2A-A:MI3'!$A$1:$N$58</definedName>
    <definedName name="PAGE2">#REF!</definedName>
    <definedName name="PAGE3">'[3]MI3:MI20(1)'!$A$1:$I$41</definedName>
    <definedName name="PAGE4">#REF!</definedName>
    <definedName name="PAGE5">#REF!</definedName>
    <definedName name="PAGE6">#REF!</definedName>
    <definedName name="PAGE7">#REF!</definedName>
    <definedName name="panen">#REF!</definedName>
    <definedName name="PAO1Q96">#REF!</definedName>
    <definedName name="PAO2Q96">#REF!</definedName>
    <definedName name="PAO3Q96">#REF!</definedName>
    <definedName name="PAO4Q95">#REF!</definedName>
    <definedName name="PAO4Q96">#REF!</definedName>
    <definedName name="PAOAU95">#REF!</definedName>
    <definedName name="PAOJL95">#REF!</definedName>
    <definedName name="PAOJN95">#REF!</definedName>
    <definedName name="PAOSE95">#REF!</definedName>
    <definedName name="_xlnm.Print_Area">#REF!</definedName>
    <definedName name="PRINT_AREA_MI">#REF!</definedName>
    <definedName name="PS">[5]DATA!$J$12:$J$318</definedName>
    <definedName name="q">#REF!</definedName>
    <definedName name="QQWQFG">#REF!</definedName>
    <definedName name="qw" hidden="1">{#N/A,#N/A,FALSE,"sum";#N/A,#N/A,FALSE,"MARTV";#N/A,#N/A,FALSE,"APRTV"}</definedName>
    <definedName name="qwd" hidden="1">{#N/A,#N/A,FALSE,"sum";#N/A,#N/A,FALSE,"MARTV";#N/A,#N/A,FALSE,"APRTV"}</definedName>
    <definedName name="qwdEF" hidden="1">{#N/A,#N/A,FALSE,"sum";#N/A,#N/A,FALSE,"MARTV";#N/A,#N/A,FALSE,"APRTV"}</definedName>
    <definedName name="qwe">#REF!</definedName>
    <definedName name="rate10">#REF!</definedName>
    <definedName name="Rate2004Print">'[7]Rate-Card-04'!$A$6:$AP$116</definedName>
    <definedName name="Ratecard">[11]Ratecard!$K$7:$P$451</definedName>
    <definedName name="rateù0">#REF!</definedName>
    <definedName name="rere" hidden="1">{#N/A,#N/A,FALSE,"sum";#N/A,#N/A,FALSE,"MARTV";#N/A,#N/A,FALSE,"APRTV"}</definedName>
    <definedName name="rong1">#REF!</definedName>
    <definedName name="rong2">#REF!</definedName>
    <definedName name="rong3">#REF!</definedName>
    <definedName name="rong4">#REF!</definedName>
    <definedName name="rong5">#REF!</definedName>
    <definedName name="rong6">#REF!</definedName>
    <definedName name="Row">[11]Ratecard!$AG$5</definedName>
    <definedName name="san">#REF!</definedName>
    <definedName name="sccr">#REF!</definedName>
    <definedName name="scdt">#REF!</definedName>
    <definedName name="SDF" hidden="1">{#N/A,#N/A,FALSE,"sum";#N/A,#N/A,FALSE,"MARTV";#N/A,#N/A,FALSE,"APRTV"}</definedName>
    <definedName name="sdfdsf">#REF!</definedName>
    <definedName name="Sep">#REF!</definedName>
    <definedName name="sfagasertuyjhrt6">#REF!</definedName>
    <definedName name="sGB" hidden="1">{#N/A,#N/A,FALSE,"sum";#N/A,#N/A,FALSE,"MARTV";#N/A,#N/A,FALSE,"APRTV"}</definedName>
    <definedName name="Size">'[7]Rate-Card-04'!$F$5:$V$7</definedName>
    <definedName name="slg">#REF!</definedName>
    <definedName name="sm">#REF!</definedName>
    <definedName name="sqacf" hidden="1">{#N/A,#N/A,FALSE,"sum";#N/A,#N/A,FALSE,"MARTV";#N/A,#N/A,FALSE,"APRTV"}</definedName>
    <definedName name="SUM_VND_SPARE">#REF!</definedName>
    <definedName name="SYN1Q96">#REF!</definedName>
    <definedName name="SYN2Q96">#REF!</definedName>
    <definedName name="SYN3Q96">#REF!</definedName>
    <definedName name="SYN4Q95">#REF!</definedName>
    <definedName name="SYN4Q96">#REF!</definedName>
    <definedName name="SYNAU95">#REF!</definedName>
    <definedName name="SYNJL95">#REF!</definedName>
    <definedName name="SYNJN95">#REF!</definedName>
    <definedName name="SYNSE95">#REF!</definedName>
    <definedName name="TA07_Bang_Doimoitungngay">#REF!</definedName>
    <definedName name="Table1">[7]BRAND!$B$6:$F$53</definedName>
    <definedName name="Tangled">#REF!</definedName>
    <definedName name="TEMP">#REF!</definedName>
    <definedName name="tenck">#REF!</definedName>
    <definedName name="TENG1Q96">#REF!</definedName>
    <definedName name="TENG2Q96">#REF!</definedName>
    <definedName name="TENG3Q95">#REF!</definedName>
    <definedName name="TENG3Q96">#REF!</definedName>
    <definedName name="TENG4Q95">#REF!</definedName>
    <definedName name="TENG4Q96">#REF!</definedName>
    <definedName name="TENGAU95">#REF!</definedName>
    <definedName name="TENGJL95">#REF!</definedName>
    <definedName name="TENGJN95">#REF!</definedName>
    <definedName name="TENGSE95">#REF!</definedName>
    <definedName name="TEQU1Q96">#REF!</definedName>
    <definedName name="TEQU2Q96">#REF!</definedName>
    <definedName name="TEQU3Q95">#REF!</definedName>
    <definedName name="TEQU3Q96">#REF!</definedName>
    <definedName name="TEQU4Q95">#REF!</definedName>
    <definedName name="TEQU4Q96">#REF!</definedName>
    <definedName name="TEQUAU95">#REF!</definedName>
    <definedName name="TEQUJL95">#REF!</definedName>
    <definedName name="TEQUJN95">#REF!</definedName>
    <definedName name="TEQUSE95">#REF!</definedName>
    <definedName name="TFLU1Q96">#REF!</definedName>
    <definedName name="TFLU2Q96">#REF!</definedName>
    <definedName name="TFLU3Q95">#REF!</definedName>
    <definedName name="TFLU3Q96">#REF!</definedName>
    <definedName name="TFLU4Q95">#REF!</definedName>
    <definedName name="TFLU4Q96">#REF!</definedName>
    <definedName name="TFLUAU95">#REF!</definedName>
    <definedName name="TFLUJL95">#REF!</definedName>
    <definedName name="TFLUJN95">#REF!</definedName>
    <definedName name="TFLUSE95">#REF!</definedName>
    <definedName name="thang">#REF!</definedName>
    <definedName name="thanhtien">#REF!</definedName>
    <definedName name="thepban">#REF!</definedName>
    <definedName name="thetichck">#REF!</definedName>
    <definedName name="thtich1">#REF!</definedName>
    <definedName name="thtich2">#REF!</definedName>
    <definedName name="thtich3">#REF!</definedName>
    <definedName name="thtich4">#REF!</definedName>
    <definedName name="thtich5">#REF!</definedName>
    <definedName name="thtich6">#REF!</definedName>
    <definedName name="TO_HANGVAO">[5]MUAVAO!#REF!</definedName>
    <definedName name="TO_THUEVAO">#REF!</definedName>
    <definedName name="tongbt">#REF!</definedName>
    <definedName name="tongcong">#REF!</definedName>
    <definedName name="tongdientich">#REF!</definedName>
    <definedName name="tongthep">#REF!</definedName>
    <definedName name="tongthetich">#REF!</definedName>
    <definedName name="tongvao">#REF!</definedName>
    <definedName name="TOTH1Q96">#REF!</definedName>
    <definedName name="TOTH2Q96">#REF!</definedName>
    <definedName name="TOTH3Q95">#REF!</definedName>
    <definedName name="TOTH3Q96">#REF!</definedName>
    <definedName name="TOTH4Q95">#REF!</definedName>
    <definedName name="TOTH4Q96">#REF!</definedName>
    <definedName name="TOTHAU95">#REF!</definedName>
    <definedName name="TOTHJL95">#REF!</definedName>
    <definedName name="TOTHJN95">#REF!</definedName>
    <definedName name="TOTHSE95">#REF!</definedName>
    <definedName name="TPRO1Q96">#REF!</definedName>
    <definedName name="TPRO2Q96">#REF!</definedName>
    <definedName name="TPRO3Q95">#REF!</definedName>
    <definedName name="TPRO3Q96">#REF!</definedName>
    <definedName name="TPRO4Q95">#REF!</definedName>
    <definedName name="TPRO4Q96">#REF!</definedName>
    <definedName name="TPROAU95">#REF!</definedName>
    <definedName name="TPROJL95">#REF!</definedName>
    <definedName name="TPROJN95">#REF!</definedName>
    <definedName name="TPROSE95">#REF!</definedName>
    <definedName name="trt" hidden="1">{#N/A,#N/A,FALSE,"sum";#N/A,#N/A,FALSE,"MARTV";#N/A,#N/A,FALSE,"APRTV"}</definedName>
    <definedName name="TSSCM">#REF!</definedName>
    <definedName name="TSSCM_5">#REF!</definedName>
    <definedName name="TTRA1Q96">#REF!</definedName>
    <definedName name="TTRA2Q96">#REF!</definedName>
    <definedName name="TTRA3Q95">#REF!</definedName>
    <definedName name="TTRA3Q96">#REF!</definedName>
    <definedName name="TTRA4Q95">#REF!</definedName>
    <definedName name="TTRA4Q96">#REF!</definedName>
    <definedName name="TTRAAU95">#REF!</definedName>
    <definedName name="TTRAJL95">#REF!</definedName>
    <definedName name="TTRAJN95">#REF!</definedName>
    <definedName name="TTRASE95">#REF!</definedName>
    <definedName name="Ttruc01_thiep2004">#REF!</definedName>
    <definedName name="TV0997_TV0997_List">#REF!</definedName>
    <definedName name="TWELL95">#REF!</definedName>
    <definedName name="TWELL96">#REF!</definedName>
    <definedName name="uiui">#REF!</definedName>
    <definedName name="WeekNumbers">'[8]#REF'!#REF!</definedName>
    <definedName name="weqw">[13]P3!#REF!</definedName>
    <definedName name="werwr">#REF!</definedName>
    <definedName name="WQGVWET35YHJ" hidden="1">{#N/A,#N/A,FALSE,"sum";#N/A,#N/A,FALSE,"MARTV";#N/A,#N/A,FALSE,"APRTV"}</definedName>
    <definedName name="wrgftqw" hidden="1">{#N/A,#N/A,FALSE,"sum";#N/A,#N/A,FALSE,"MARTV";#N/A,#N/A,FALSE,"APRTV"}</definedName>
    <definedName name="wrn.BAOCAO." hidden="1">{#N/A,#N/A,FALSE,"sum";#N/A,#N/A,FALSE,"MARTV";#N/A,#N/A,FALSE,"APRTV"}</definedName>
    <definedName name="wtaehashb">#REF!</definedName>
    <definedName name="xgfjdtyj">#REF!</definedName>
    <definedName name="xgs">#REF!</definedName>
    <definedName name="Yomost">#REF!</definedName>
    <definedName name="Yomost_5">#REF!</definedName>
    <definedName name="전">#REF!</definedName>
    <definedName name="주택사업본부">#REF!</definedName>
    <definedName name="철구사업본부">#REF!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4" i="72" l="1"/>
  <c r="G12" i="72"/>
  <c r="F13" i="72"/>
  <c r="G13" i="72"/>
  <c r="G19" i="72"/>
  <c r="G20" i="72"/>
  <c r="G21" i="72"/>
  <c r="F16" i="72"/>
</calcChain>
</file>

<file path=xl/sharedStrings.xml><?xml version="1.0" encoding="utf-8"?>
<sst xmlns="http://schemas.openxmlformats.org/spreadsheetml/2006/main" count="40" uniqueCount="37">
  <si>
    <t>STT</t>
  </si>
  <si>
    <t>Hạng Mục</t>
  </si>
  <si>
    <t>ĐVT</t>
  </si>
  <si>
    <t>Thành Tiền</t>
  </si>
  <si>
    <t>cái</t>
  </si>
  <si>
    <t>Ghi Chú</t>
  </si>
  <si>
    <t xml:space="preserve">To: </t>
  </si>
  <si>
    <t>CJ CGV Company Limited</t>
  </si>
  <si>
    <t>Ms. Nguyệt Minh</t>
  </si>
  <si>
    <t>Ms.Hồng Tôn</t>
  </si>
  <si>
    <t>Tel:</t>
  </si>
  <si>
    <t>3822 0333</t>
  </si>
  <si>
    <t>0285 411 0872/75 Ext: 20</t>
  </si>
  <si>
    <t>Add:</t>
  </si>
  <si>
    <t xml:space="preserve">Tầng 2 | Rivera  Park SaiGon | Số 7/28 Thành Thái, P.14, Q.10 </t>
  </si>
  <si>
    <t xml:space="preserve">P.3.19 Thiên Sơn Plaza,800 Nguyễn Văn Linh, P.Tân Phú, Q.7 </t>
  </si>
  <si>
    <t>TP. Hồ Chí Minh, ngày 06 tháng 11  năm 2025</t>
  </si>
  <si>
    <t>Số Lượng</t>
  </si>
  <si>
    <t>Đơn Giá</t>
  </si>
  <si>
    <r>
      <rPr>
        <b/>
        <sz val="12"/>
        <color indexed="8"/>
        <rFont val="Times New Roman"/>
        <family val="1"/>
      </rPr>
      <t xml:space="preserve">SEAT COVER (Bọc Ghế)
</t>
    </r>
    <r>
      <rPr>
        <sz val="12"/>
        <color indexed="8"/>
        <rFont val="Times New Roman"/>
        <family val="1"/>
      </rPr>
      <t xml:space="preserve">01 ghế tương ứng 01 seat cover.
Bọc ghế có 06 mẫu, in 02 mặt/ mẫu.
Kích thước: NCC đo thực tế tại rạp.
*Lưu ý bọc ghế không làm quá chật sẽ bị nhăn nhúm lại.
Chất liệu: Vải thun không quá mỏng (để co giãn được).
Thiết kế: In hình các nhân vật phim Doraemon. CGV sẽ cung cấp file final sau khi duyệt mẫu.
Từ file thiết kế NCC sẽ đánh số thứ tự phù hợp lên bọc ghế theo sơ đồ ghế của từng rạp.
</t>
    </r>
    <r>
      <rPr>
        <b/>
        <sz val="12"/>
        <color indexed="8"/>
        <rFont val="Times New Roman"/>
        <family val="1"/>
      </rPr>
      <t xml:space="preserve">
- Số lượng:</t>
    </r>
    <r>
      <rPr>
        <sz val="12"/>
        <color indexed="8"/>
        <rFont val="Times New Roman"/>
        <family val="1"/>
      </rPr>
      <t xml:space="preserve">
TOTAL:  681 seat cover
- Rạp MCM: 206 cái
- Rạp VCT: 231 cái
- Rạp ALB: 104 cái
- Rạp TPC: 140 cái</t>
    </r>
  </si>
  <si>
    <t>thời gian sản xuất 12 ngày</t>
  </si>
  <si>
    <r>
      <rPr>
        <b/>
        <sz val="12"/>
        <color indexed="8"/>
        <rFont val="Times New Roman"/>
        <family val="1"/>
      </rPr>
      <t xml:space="preserve">STANDEE DIE-CUT
</t>
    </r>
    <r>
      <rPr>
        <sz val="12"/>
        <color indexed="8"/>
        <rFont val="Times New Roman"/>
        <family val="1"/>
      </rPr>
      <t xml:space="preserve">01 standee gồm 01 tấm formex in thiết kế die-cut + 01 chân khung sắt.
Chất liệu:
In PP hoặc decal in kỹ thuật số dán vào tấm formex.
Diecut 1 mặt (formex + khung sắt).
Formex dày 10mm.
Sản xuất với chất liệu tương tự hình minh họa bên dưới.
Mục đích: sử dụng trong rạp.
Kích thước dự kiến:
Cao ~2m1.
Ngang ~1m2.
 </t>
    </r>
    <r>
      <rPr>
        <b/>
        <sz val="12"/>
        <color indexed="8"/>
        <rFont val="Times New Roman"/>
        <family val="1"/>
      </rPr>
      <t xml:space="preserve">
- Số lượng:</t>
    </r>
    <r>
      <rPr>
        <sz val="12"/>
        <color indexed="8"/>
        <rFont val="Times New Roman"/>
        <family val="1"/>
      </rPr>
      <t xml:space="preserve">
TOTAL: 4 standee (mỗi rạp 01 standee)</t>
    </r>
  </si>
  <si>
    <t>Lắt đặt: SEAT COVER (Bọc Ghế) và 'STANDEE DIE-CUT</t>
  </si>
  <si>
    <t>rạp</t>
  </si>
  <si>
    <r>
      <t>Chi phí làm mẫu :</t>
    </r>
    <r>
      <rPr>
        <sz val="12"/>
        <color indexed="8"/>
        <rFont val="Times New Roman"/>
        <family val="1"/>
      </rPr>
      <t xml:space="preserve"> </t>
    </r>
  </si>
  <si>
    <t>.  SEAT COVER : mẫu 5 nhân vật</t>
  </si>
  <si>
    <t>Không tính phí làm mẫu khi CGV đặt đơn hàng</t>
  </si>
  <si>
    <r>
      <t xml:space="preserve">. STANDEE DIE-CUT: </t>
    </r>
    <r>
      <rPr>
        <sz val="12"/>
        <color indexed="8"/>
        <rFont val="Times New Roman"/>
        <family val="1"/>
      </rPr>
      <t>chỉ in test hình ảnh màu</t>
    </r>
  </si>
  <si>
    <t>Cộng</t>
  </si>
  <si>
    <t>Rất mong nhận được sự phúc đáp sớm từ Quí công ty</t>
  </si>
  <si>
    <t>Ý Kiến Khách Hàng</t>
  </si>
  <si>
    <t>Trân trọng kính chào</t>
  </si>
  <si>
    <t>BẢNG BÁO GIÁ_DRM _ SEAT COVER &amp; STANDEE DIE CUT</t>
  </si>
  <si>
    <t>Chân thành cảm ơn Quí khách hàng đã quan tâm đến dịch vụ của công ty Gia Nguyễn, chúng tôi xin gởi bảng báo giá theo yêu cầu như sau:</t>
  </si>
  <si>
    <t>VAT 8%</t>
  </si>
  <si>
    <t>* Ghi chú:
. Thời hạn thanh toán 60 ngày kể từ ngày CGV nhận đủ chứng từ thanh toán</t>
  </si>
  <si>
    <t>tạo hàng 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</si>
</sst>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1" formatCode="_(* #,##0_);_(* \(#,##0\);_(* &quot;-&quot;_);_(@_)"/>
    <numFmt numFmtId="44" formatCode="_(&quot;$&quot;* #,##0.00_);_(&quot;$&quot;* \(#,##0.00\);_(&quot;$&quot;* &quot;-&quot;??_);_(@_)"/>
    <numFmt numFmtId="43" formatCode="_(* #,##0.00_);_(* \(#,##0.00\);_(* &quot;-&quot;??_);_(@_)"/>
    <numFmt numFmtId="182" formatCode="&quot;$&quot;#,##0.00;[Red]&quot;\&quot;&quot;\&quot;&quot;\&quot;&quot;\&quot;&quot;\&quot;&quot;\&quot;\-&quot;$&quot;#,##0.00"/>
    <numFmt numFmtId="183" formatCode="_-&quot;$&quot;* #,##0_-;&quot;\&quot;&quot;\&quot;&quot;\&quot;&quot;\&quot;&quot;\&quot;&quot;\&quot;\-&quot;$&quot;* #,##0_-;_-&quot;$&quot;* &quot;-&quot;_-;_-@_-"/>
    <numFmt numFmtId="184" formatCode="_-* #,##0.00_-;\-* #,##0.00_-;_-* &quot;-&quot;??_-;_-@_-"/>
    <numFmt numFmtId="185" formatCode="_-&quot;\&quot;* #,##0.00_-;&quot;\&quot;\-&quot;\&quot;* #,##0.00_-;_-&quot;\&quot;* &quot;-&quot;??_-;_-@_-"/>
    <numFmt numFmtId="186" formatCode="\$#,##0.00_);[Red]\(\$#,##0.00\)"/>
    <numFmt numFmtId="187" formatCode="&quot;\&quot;#,##0.00;[Red]&quot;\&quot;\-#,##0.00"/>
    <numFmt numFmtId="188" formatCode="\$#,##0\ ;\(\$#,##0\)"/>
    <numFmt numFmtId="189" formatCode="_(&quot;$&quot;* #,##0.0_);_(&quot;$&quot;* \(#,##0.0\);_(&quot;$&quot;* &quot;-&quot;??_);_(@_)"/>
    <numFmt numFmtId="190" formatCode="_ * #,##0.00_ ;_ * \-#,##0.00_ ;_ * &quot;-&quot;??_ ;_ @_ "/>
    <numFmt numFmtId="191" formatCode="0.00\ &quot;in&quot;"/>
    <numFmt numFmtId="192" formatCode="[Blue]0.00\ &quot;in&quot;"/>
    <numFmt numFmtId="193" formatCode="&quot;¥&quot;#,##0.00;[Red]&quot;¥&quot;&quot;¥&quot;&quot;¥&quot;&quot;¥&quot;&quot;¥&quot;&quot;¥&quot;\-#,##0.00"/>
    <numFmt numFmtId="194" formatCode="_-&quot;$&quot;* #,##0.00_-;\-&quot;$&quot;* #,##0.00_-;_-&quot;$&quot;* &quot;-&quot;??_-;_-@_-"/>
    <numFmt numFmtId="195" formatCode="_(\$* #,##0.00_);_(\$* \(#,##0.00\);_(\$* \-??_);_(@_)"/>
    <numFmt numFmtId="196" formatCode="&quot;¥&quot;#,##0;[Red]&quot;¥&quot;&quot;¥&quot;\-#,##0"/>
    <numFmt numFmtId="197" formatCode="&quot;$&quot;#,##0.00;&quot;\&quot;&quot;\&quot;&quot;\&quot;&quot;\&quot;&quot;\&quot;&quot;\&quot;\-&quot;$&quot;#,##0.00"/>
    <numFmt numFmtId="198" formatCode="[Blue]0.0000\ &quot;Cft/ft&quot;"/>
    <numFmt numFmtId="199" formatCode="&quot;$&quot;#,##0;[Red]&quot;\&quot;&quot;\&quot;&quot;\&quot;&quot;\&quot;&quot;\&quot;&quot;\&quot;\-&quot;$&quot;#,##0"/>
    <numFmt numFmtId="200" formatCode="_-&quot;$&quot;* #,##0_-;\-&quot;$&quot;* #,##0_-;_-&quot;$&quot;* &quot;-&quot;_-;_-@_-"/>
    <numFmt numFmtId="201" formatCode="#,###,;\-#,###,"/>
    <numFmt numFmtId="202" formatCode="#,##0;\-#,##0;&quot;---&quot;"/>
    <numFmt numFmtId="203" formatCode="&quot;\&quot;#,##0;[Red]&quot;\&quot;&quot;\&quot;\-#,##0"/>
    <numFmt numFmtId="204" formatCode="_ * #,##0_ ;_ * \-#,##0_ ;_ * &quot;-&quot;_ ;_ @_ "/>
    <numFmt numFmtId="205" formatCode="_-* #,##0_-;\-* #,##0_-;_-* &quot;-&quot;_-;_-@_-"/>
    <numFmt numFmtId="206" formatCode="_-&quot;\&quot;* #,##0_-;&quot;\&quot;&quot;\&quot;\-&quot;\&quot;* #,##0_-;_-&quot;\&quot;* &quot;-&quot;_-;_-@_-"/>
    <numFmt numFmtId="207" formatCode="_-&quot;\&quot;* #,##0.00_-;&quot;\&quot;&quot;\&quot;\-&quot;\&quot;* #,##0.00_-;_-&quot;\&quot;* &quot;-&quot;??_-;_-@_-"/>
    <numFmt numFmtId="208" formatCode="&quot;\&quot;#,##0.00;[Red]&quot;\&quot;&quot;\&quot;&quot;\&quot;&quot;\&quot;&quot;\&quot;&quot;\&quot;\-#,##0.00"/>
    <numFmt numFmtId="209" formatCode="&quot;\&quot;#,##0;[Red]&quot;\&quot;\-#,##0"/>
    <numFmt numFmtId="210" formatCode="_(* #,##0_);_(* \(#,##0\);_(* &quot;-&quot;??_);_(@_)"/>
  </numFmts>
  <fonts count="65">
    <font>
      <sz val="10"/>
      <name val="Arial"/>
      <family val="2"/>
    </font>
    <font>
      <sz val="11"/>
      <name val="Times New Roman"/>
      <family val="1"/>
    </font>
    <font>
      <sz val="10"/>
      <name val="Times New Roman"/>
      <family val="1"/>
    </font>
    <font>
      <i/>
      <sz val="10"/>
      <name val="Times New Roman"/>
      <family val="1"/>
    </font>
    <font>
      <sz val="7"/>
      <name val="Small Fonts"/>
      <family val="2"/>
    </font>
    <font>
      <sz val="11"/>
      <color indexed="20"/>
      <name val="宋体"/>
      <charset val="134"/>
    </font>
    <font>
      <sz val="11"/>
      <color indexed="17"/>
      <name val="宋体"/>
      <charset val="134"/>
    </font>
    <font>
      <sz val="11"/>
      <color indexed="8"/>
      <name val="Calibri"/>
      <family val="2"/>
    </font>
    <font>
      <sz val="12"/>
      <name val="¹ÙÅÁÃ¼"/>
      <family val="2"/>
    </font>
    <font>
      <sz val="10"/>
      <name val="VNI-Aptima"/>
    </font>
    <font>
      <sz val="11"/>
      <color indexed="8"/>
      <name val="宋体"/>
      <charset val="134"/>
    </font>
    <font>
      <sz val="11"/>
      <name val="–¾’©"/>
      <family val="2"/>
    </font>
    <font>
      <sz val="11"/>
      <color indexed="9"/>
      <name val="宋体"/>
      <charset val="134"/>
    </font>
    <font>
      <sz val="12"/>
      <name val="Times New Roman"/>
      <family val="1"/>
    </font>
    <font>
      <u/>
      <sz val="10"/>
      <color indexed="12"/>
      <name val="Arial"/>
      <family val="2"/>
    </font>
    <font>
      <sz val="10"/>
      <color indexed="8"/>
      <name val="MS Sans Serif"/>
      <family val="2"/>
    </font>
    <font>
      <sz val="14"/>
      <name val="??"/>
      <family val="2"/>
    </font>
    <font>
      <sz val="12"/>
      <name val="宋体"/>
      <charset val="134"/>
    </font>
    <font>
      <sz val="10"/>
      <name val="N Helvetica Narrow"/>
      <family val="2"/>
    </font>
    <font>
      <sz val="12"/>
      <name val="바탕체"/>
      <family val="2"/>
    </font>
    <font>
      <sz val="12"/>
      <name val="Helv"/>
      <family val="2"/>
    </font>
    <font>
      <b/>
      <sz val="12"/>
      <name val="Arial"/>
      <family val="2"/>
    </font>
    <font>
      <sz val="12"/>
      <name val="VNI-Aptima"/>
    </font>
    <font>
      <sz val="10"/>
      <name val="Verdana"/>
      <family val="2"/>
    </font>
    <font>
      <b/>
      <sz val="18"/>
      <color indexed="62"/>
      <name val="宋体"/>
      <charset val="134"/>
    </font>
    <font>
      <sz val="11"/>
      <color indexed="52"/>
      <name val="宋体"/>
      <charset val="134"/>
    </font>
    <font>
      <sz val="8"/>
      <name val="Arial"/>
      <family val="2"/>
    </font>
    <font>
      <sz val="12"/>
      <name val="新細明體"/>
      <family val="1"/>
      <charset val="136"/>
    </font>
    <font>
      <sz val="10"/>
      <name val="???"/>
      <family val="2"/>
    </font>
    <font>
      <u/>
      <sz val="12"/>
      <color indexed="12"/>
      <name val="宋体"/>
      <charset val="134"/>
    </font>
    <font>
      <sz val="12"/>
      <name val="뼻뮝"/>
      <family val="2"/>
    </font>
    <font>
      <sz val="12"/>
      <name val="±¼¸²Ã¼"/>
      <family val="2"/>
    </font>
    <font>
      <b/>
      <sz val="13"/>
      <color indexed="62"/>
      <name val="宋体"/>
      <charset val="134"/>
    </font>
    <font>
      <b/>
      <i/>
      <sz val="9"/>
      <name val="Arial"/>
      <family val="2"/>
    </font>
    <font>
      <b/>
      <sz val="9"/>
      <name val="Arial"/>
      <family val="2"/>
    </font>
    <font>
      <b/>
      <sz val="11"/>
      <color indexed="8"/>
      <name val="宋体"/>
      <charset val="134"/>
    </font>
    <font>
      <sz val="14"/>
      <name val="뼻뮝"/>
      <family val="2"/>
    </font>
    <font>
      <b/>
      <sz val="11"/>
      <color indexed="9"/>
      <name val="宋体"/>
      <charset val="134"/>
    </font>
    <font>
      <b/>
      <sz val="11"/>
      <color indexed="62"/>
      <name val="宋体"/>
      <charset val="134"/>
    </font>
    <font>
      <i/>
      <sz val="11"/>
      <color indexed="23"/>
      <name val="宋体"/>
      <charset val="134"/>
    </font>
    <font>
      <sz val="10"/>
      <name val="VNI-Helve-Condense"/>
    </font>
    <font>
      <sz val="10"/>
      <name val="굴림체"/>
      <family val="2"/>
    </font>
    <font>
      <sz val="11"/>
      <color indexed="60"/>
      <name val="宋体"/>
      <charset val="134"/>
    </font>
    <font>
      <b/>
      <sz val="15"/>
      <color indexed="62"/>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0"/>
      <name val="Arial"/>
      <family val="2"/>
    </font>
    <font>
      <sz val="12"/>
      <color indexed="8"/>
      <name val="Times New Roman"/>
      <family val="1"/>
    </font>
    <font>
      <b/>
      <sz val="12"/>
      <color indexed="8"/>
      <name val="Times New Roman"/>
      <family val="1"/>
    </font>
    <font>
      <i/>
      <sz val="11"/>
      <name val="Times New Roman"/>
      <family val="1"/>
    </font>
    <font>
      <b/>
      <sz val="14"/>
      <name val="Times New Roman"/>
      <family val="1"/>
    </font>
    <font>
      <sz val="11"/>
      <color theme="1"/>
      <name val="Calibri"/>
      <family val="2"/>
      <scheme val="minor"/>
    </font>
    <font>
      <sz val="11"/>
      <color indexed="8"/>
      <name val="Calibri"/>
      <family val="2"/>
      <scheme val="minor"/>
    </font>
    <font>
      <sz val="12"/>
      <color theme="1"/>
      <name val="Times New Roman"/>
      <family val="1"/>
    </font>
    <font>
      <sz val="11"/>
      <color theme="1"/>
      <name val="Times New Roman"/>
      <family val="1"/>
    </font>
    <font>
      <b/>
      <sz val="11"/>
      <color rgb="FF000080"/>
      <name val="Times New Roman"/>
      <family val="1"/>
    </font>
    <font>
      <b/>
      <sz val="11"/>
      <color rgb="FFDD0806"/>
      <name val="Times New Roman"/>
      <family val="1"/>
    </font>
    <font>
      <i/>
      <sz val="12"/>
      <color rgb="FFFF0000"/>
      <name val="Times New Roman"/>
      <family val="1"/>
    </font>
    <font>
      <b/>
      <sz val="12"/>
      <color theme="1"/>
      <name val="Times New Roman"/>
      <family val="1"/>
    </font>
    <font>
      <sz val="11"/>
      <color rgb="FFFF0000"/>
      <name val="Times New Roman"/>
      <family val="1"/>
    </font>
    <font>
      <b/>
      <sz val="12"/>
      <color theme="0"/>
      <name val="Times New Roman"/>
      <family val="1"/>
    </font>
    <font>
      <sz val="12"/>
      <color rgb="FFFF0000"/>
      <name val="Times New Roman"/>
      <family val="1"/>
    </font>
    <font>
      <sz val="12"/>
      <color theme="9" tint="-0.499984740745262"/>
      <name val="Times New Roman"/>
      <family val="1"/>
    </font>
  </fonts>
  <fills count="20">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2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38"/>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indexed="10"/>
        <bgColor indexed="64"/>
      </patternFill>
    </fill>
    <fill>
      <patternFill patternType="solid">
        <fgColor theme="9" tint="-0.499984740745262"/>
        <bgColor rgb="FF93C47D"/>
      </patternFill>
    </fill>
    <fill>
      <patternFill patternType="solid">
        <fgColor theme="9" tint="-0.499984740745262"/>
        <bgColor rgb="FFFFFF00"/>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64"/>
      </left>
      <right style="thin">
        <color indexed="64"/>
      </right>
      <top style="thin">
        <color indexed="64"/>
      </top>
      <bottom style="thin">
        <color indexed="64"/>
      </bottom>
      <diagonal/>
    </border>
    <border>
      <left style="thick">
        <color indexed="64"/>
      </left>
      <right style="medium">
        <color indexed="64"/>
      </right>
      <top style="thick">
        <color indexed="64"/>
      </top>
      <bottom/>
      <diagonal/>
    </border>
    <border>
      <left style="thick">
        <color indexed="64"/>
      </left>
      <right style="medium">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style="thin">
        <color indexed="64"/>
      </right>
      <top style="thin">
        <color rgb="FF000000"/>
      </top>
      <bottom/>
      <diagonal/>
    </border>
  </borders>
  <cellStyleXfs count="1393">
    <xf numFmtId="0" fontId="0" fillId="0" borderId="0"/>
    <xf numFmtId="193" fontId="48" fillId="0" borderId="0" applyFont="0" applyFill="0" applyBorder="0" applyAlignment="0" applyProtection="0"/>
    <xf numFmtId="0" fontId="16" fillId="0" borderId="0" applyFont="0" applyFill="0" applyBorder="0" applyAlignment="0" applyProtection="0"/>
    <xf numFmtId="196" fontId="48"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0" fontId="48" fillId="0" borderId="0" applyFont="0" applyFill="0" applyBorder="0" applyAlignment="0" applyProtection="0"/>
    <xf numFmtId="0" fontId="28" fillId="0" borderId="0"/>
    <xf numFmtId="0" fontId="15" fillId="0" borderId="0" applyNumberForma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5" fillId="0" borderId="0" applyNumberFormat="0" applyFill="0" applyBorder="0" applyAlignment="0" applyProtection="0"/>
    <xf numFmtId="0" fontId="13" fillId="0" borderId="0"/>
    <xf numFmtId="0" fontId="13" fillId="0" borderId="0"/>
    <xf numFmtId="0" fontId="1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3" fillId="0" borderId="0"/>
    <xf numFmtId="0" fontId="13" fillId="0" borderId="0"/>
    <xf numFmtId="0" fontId="13" fillId="0" borderId="0"/>
    <xf numFmtId="0" fontId="1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5" fillId="0" borderId="0" applyNumberForma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5"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1" fillId="0" borderId="0"/>
    <xf numFmtId="9" fontId="8" fillId="0" borderId="0" applyFont="0" applyFill="0" applyBorder="0" applyAlignment="0" applyProtection="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2" borderId="0" applyNumberFormat="0" applyBorder="0" applyAlignment="0" applyProtection="0">
      <alignment vertical="center"/>
    </xf>
    <xf numFmtId="0" fontId="10" fillId="5" borderId="0" applyNumberFormat="0" applyBorder="0" applyAlignment="0" applyProtection="0">
      <alignment vertical="center"/>
    </xf>
    <xf numFmtId="0" fontId="10" fillId="3"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6" borderId="0" applyNumberFormat="0" applyBorder="0" applyAlignment="0" applyProtection="0">
      <alignment vertical="center"/>
    </xf>
    <xf numFmtId="0" fontId="10" fillId="9" borderId="0" applyNumberFormat="0" applyBorder="0" applyAlignment="0" applyProtection="0">
      <alignment vertical="center"/>
    </xf>
    <xf numFmtId="0" fontId="10" fillId="3" borderId="0" applyNumberFormat="0" applyBorder="0" applyAlignment="0" applyProtection="0">
      <alignment vertical="center"/>
    </xf>
    <xf numFmtId="0" fontId="12" fillId="10" borderId="0" applyNumberFormat="0" applyBorder="0" applyAlignment="0" applyProtection="0">
      <alignment vertical="center"/>
    </xf>
    <xf numFmtId="0" fontId="12" fillId="7" borderId="0" applyNumberFormat="0" applyBorder="0" applyAlignment="0" applyProtection="0">
      <alignment vertical="center"/>
    </xf>
    <xf numFmtId="0" fontId="12" fillId="11" borderId="0" applyNumberFormat="0" applyBorder="0" applyAlignment="0" applyProtection="0">
      <alignment vertical="center"/>
    </xf>
    <xf numFmtId="0" fontId="12" fillId="6" borderId="0" applyNumberFormat="0" applyBorder="0" applyAlignment="0" applyProtection="0">
      <alignment vertical="center"/>
    </xf>
    <xf numFmtId="0" fontId="12" fillId="10" borderId="0" applyNumberFormat="0" applyBorder="0" applyAlignment="0" applyProtection="0">
      <alignment vertical="center"/>
    </xf>
    <xf numFmtId="0" fontId="12" fillId="3" borderId="0" applyNumberFormat="0" applyBorder="0" applyAlignment="0" applyProtection="0">
      <alignment vertical="center"/>
    </xf>
    <xf numFmtId="199" fontId="9" fillId="0" borderId="0" applyFont="0" applyFill="0" applyBorder="0" applyAlignment="0" applyProtection="0"/>
    <xf numFmtId="182" fontId="9" fillId="0" borderId="0" applyFont="0" applyFill="0" applyBorder="0" applyAlignment="0" applyProtection="0"/>
    <xf numFmtId="197" fontId="9" fillId="0" borderId="0" applyFont="0" applyFill="0" applyBorder="0" applyAlignment="0" applyProtection="0"/>
    <xf numFmtId="183" fontId="9" fillId="0" borderId="0" applyFont="0" applyFill="0" applyBorder="0" applyAlignment="0" applyProtection="0"/>
    <xf numFmtId="0" fontId="31" fillId="0" borderId="0"/>
    <xf numFmtId="41"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184"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186" fontId="17" fillId="0" borderId="0" applyFont="0" applyFill="0" applyBorder="0" applyAlignment="0" applyProtection="0">
      <alignment vertical="center"/>
    </xf>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197" fontId="54"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190" fontId="17" fillId="0" borderId="0" applyFont="0" applyFill="0" applyBorder="0" applyAlignment="0" applyProtection="0">
      <alignment vertical="center"/>
    </xf>
    <xf numFmtId="43" fontId="48" fillId="0" borderId="0" applyFont="0" applyFill="0" applyBorder="0" applyAlignment="0" applyProtection="0"/>
    <xf numFmtId="43" fontId="48" fillId="0" borderId="0" applyFont="0" applyFill="0" applyBorder="0" applyAlignment="0" applyProtection="0"/>
    <xf numFmtId="43" fontId="1"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3" fontId="4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95" fontId="48" fillId="0" borderId="0" applyFill="0" applyBorder="0" applyAlignment="0" applyProtection="0"/>
    <xf numFmtId="44" fontId="7" fillId="0" borderId="0" applyFont="0" applyFill="0" applyBorder="0" applyAlignment="0" applyProtection="0"/>
    <xf numFmtId="44" fontId="48" fillId="0" borderId="0" applyFont="0" applyFill="0" applyBorder="0" applyAlignment="0" applyProtection="0"/>
    <xf numFmtId="44" fontId="48" fillId="0" borderId="0" applyFont="0" applyFill="0" applyBorder="0" applyAlignment="0" applyProtection="0"/>
    <xf numFmtId="44" fontId="7" fillId="0" borderId="0" applyFont="0" applyFill="0" applyBorder="0" applyAlignment="0" applyProtection="0"/>
    <xf numFmtId="44" fontId="48" fillId="0" borderId="0" applyFont="0" applyFill="0" applyBorder="0" applyAlignment="0" applyProtection="0"/>
    <xf numFmtId="44" fontId="48" fillId="0" borderId="0" applyFont="0" applyFill="0" applyBorder="0" applyAlignment="0" applyProtection="0"/>
    <xf numFmtId="188" fontId="48" fillId="0" borderId="0" applyFont="0" applyFill="0" applyBorder="0" applyAlignment="0" applyProtection="0"/>
    <xf numFmtId="0" fontId="48" fillId="0" borderId="0" applyFont="0" applyFill="0" applyBorder="0" applyAlignment="0" applyProtection="0"/>
    <xf numFmtId="43" fontId="48" fillId="0" borderId="0" applyFont="0" applyFill="0" applyBorder="0" applyAlignment="0" applyProtection="0"/>
    <xf numFmtId="14" fontId="48" fillId="0" borderId="0"/>
    <xf numFmtId="2" fontId="48" fillId="0" borderId="0" applyFont="0" applyFill="0" applyBorder="0" applyAlignment="0" applyProtection="0"/>
    <xf numFmtId="38" fontId="26" fillId="6" borderId="0" applyNumberFormat="0" applyBorder="0" applyAlignment="0" applyProtection="0"/>
    <xf numFmtId="0" fontId="21" fillId="0" borderId="3" applyNumberFormat="0" applyAlignment="0" applyProtection="0">
      <alignment horizontal="left" vertical="center"/>
    </xf>
    <xf numFmtId="0" fontId="21" fillId="0" borderId="4">
      <alignment horizontal="left" vertical="center"/>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10" fontId="26" fillId="4" borderId="8" applyNumberFormat="0" applyBorder="0" applyAlignment="0" applyProtection="0"/>
    <xf numFmtId="201" fontId="33" fillId="0" borderId="9" applyFont="0" applyFill="0" applyBorder="0" applyAlignment="0" applyProtection="0">
      <alignment horizontal="center"/>
    </xf>
    <xf numFmtId="202" fontId="34" fillId="0" borderId="10" applyFont="0" applyFill="0" applyBorder="0" applyAlignment="0" applyProtection="0">
      <alignment horizontal="center"/>
    </xf>
    <xf numFmtId="192" fontId="48" fillId="0" borderId="0" applyFont="0" applyFill="0" applyBorder="0" applyAlignment="0" applyProtection="0"/>
    <xf numFmtId="0" fontId="48" fillId="0" borderId="0" applyFont="0" applyFill="0" applyBorder="0" applyAlignment="0" applyProtection="0"/>
    <xf numFmtId="185" fontId="9" fillId="0" borderId="0" applyFont="0" applyFill="0" applyBorder="0" applyAlignment="0" applyProtection="0"/>
    <xf numFmtId="189" fontId="9" fillId="0" borderId="0" applyFont="0" applyFill="0" applyBorder="0" applyAlignment="0" applyProtection="0"/>
    <xf numFmtId="191" fontId="48" fillId="0" borderId="0" applyFont="0" applyFill="0" applyBorder="0" applyAlignment="0" applyProtection="0"/>
    <xf numFmtId="198" fontId="48" fillId="0" borderId="0" applyFont="0" applyFill="0" applyBorder="0" applyAlignment="0" applyProtection="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37" fontId="4" fillId="0" borderId="0"/>
    <xf numFmtId="0" fontId="20" fillId="0" borderId="0"/>
    <xf numFmtId="0" fontId="13" fillId="0" borderId="0"/>
    <xf numFmtId="0" fontId="22" fillId="0" borderId="0"/>
    <xf numFmtId="0" fontId="5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23" fillId="0" borderId="0"/>
    <xf numFmtId="0" fontId="48" fillId="0" borderId="0"/>
    <xf numFmtId="0" fontId="48" fillId="0" borderId="0"/>
    <xf numFmtId="0" fontId="48" fillId="0" borderId="0"/>
    <xf numFmtId="0" fontId="7" fillId="0" borderId="0"/>
    <xf numFmtId="0" fontId="48" fillId="0" borderId="0"/>
    <xf numFmtId="0" fontId="53" fillId="0" borderId="0"/>
    <xf numFmtId="0" fontId="48" fillId="0" borderId="0"/>
    <xf numFmtId="0" fontId="48" fillId="0" borderId="0"/>
    <xf numFmtId="0" fontId="48" fillId="0" borderId="0"/>
    <xf numFmtId="0" fontId="48" fillId="0" borderId="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xf numFmtId="0" fontId="17"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10"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40" fillId="0" borderId="0" applyFont="0" applyFill="0" applyBorder="0" applyAlignment="0" applyProtection="0"/>
    <xf numFmtId="9" fontId="48" fillId="0" borderId="0" applyFill="0" applyBorder="0" applyAlignment="0" applyProtection="0"/>
    <xf numFmtId="9" fontId="23"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18"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3" fillId="0" borderId="0"/>
    <xf numFmtId="40" fontId="36" fillId="0" borderId="0" applyFont="0" applyFill="0" applyBorder="0" applyAlignment="0" applyProtection="0"/>
    <xf numFmtId="38"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10" fontId="48" fillId="0" borderId="0" applyFont="0" applyFill="0" applyBorder="0" applyAlignment="0" applyProtection="0"/>
    <xf numFmtId="0" fontId="30" fillId="0" borderId="0"/>
    <xf numFmtId="204" fontId="19" fillId="0" borderId="0" applyFont="0" applyFill="0" applyBorder="0" applyAlignment="0" applyProtection="0"/>
    <xf numFmtId="203" fontId="48" fillId="0" borderId="0" applyFont="0" applyFill="0" applyBorder="0" applyAlignment="0" applyProtection="0"/>
    <xf numFmtId="208" fontId="48" fillId="0" borderId="0" applyFont="0" applyFill="0" applyBorder="0" applyAlignment="0" applyProtection="0"/>
    <xf numFmtId="187" fontId="19" fillId="0" borderId="0" applyFont="0" applyFill="0" applyBorder="0" applyAlignment="0" applyProtection="0"/>
    <xf numFmtId="209" fontId="19" fillId="0" borderId="0" applyFont="0" applyFill="0" applyBorder="0" applyAlignment="0" applyProtection="0"/>
    <xf numFmtId="0" fontId="41" fillId="0" borderId="0"/>
    <xf numFmtId="0" fontId="27" fillId="0" borderId="0"/>
    <xf numFmtId="205" fontId="27" fillId="0" borderId="0" applyFont="0" applyFill="0" applyBorder="0" applyAlignment="0" applyProtection="0"/>
    <xf numFmtId="184" fontId="27" fillId="0" borderId="0" applyFont="0" applyFill="0" applyBorder="0" applyAlignment="0" applyProtection="0"/>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17" fillId="0" borderId="0"/>
    <xf numFmtId="0" fontId="17" fillId="0" borderId="0">
      <alignment vertical="center"/>
    </xf>
    <xf numFmtId="0" fontId="17" fillId="0" borderId="0"/>
    <xf numFmtId="0" fontId="17" fillId="0" borderId="0"/>
    <xf numFmtId="0" fontId="12" fillId="10" borderId="0" applyNumberFormat="0" applyBorder="0" applyAlignment="0" applyProtection="0">
      <alignment vertical="center"/>
    </xf>
    <xf numFmtId="0" fontId="12" fillId="17"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24" fillId="0" borderId="0" applyNumberFormat="0" applyFill="0" applyBorder="0" applyAlignment="0" applyProtection="0">
      <alignment vertical="center"/>
    </xf>
    <xf numFmtId="0" fontId="43" fillId="0" borderId="5" applyNumberFormat="0" applyFill="0" applyAlignment="0" applyProtection="0">
      <alignment vertical="center"/>
    </xf>
    <xf numFmtId="0" fontId="32" fillId="0" borderId="6" applyNumberFormat="0" applyFill="0" applyAlignment="0" applyProtection="0">
      <alignment vertical="center"/>
    </xf>
    <xf numFmtId="0" fontId="38" fillId="0" borderId="7" applyNumberFormat="0" applyFill="0" applyAlignment="0" applyProtection="0">
      <alignment vertical="center"/>
    </xf>
    <xf numFmtId="0" fontId="38"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3" fillId="0" borderId="0"/>
    <xf numFmtId="0" fontId="37" fillId="15" borderId="2" applyNumberFormat="0" applyAlignment="0" applyProtection="0">
      <alignment vertical="center"/>
    </xf>
    <xf numFmtId="0" fontId="35" fillId="0" borderId="14" applyNumberFormat="0" applyFill="0" applyAlignment="0" applyProtection="0">
      <alignment vertical="center"/>
    </xf>
    <xf numFmtId="0" fontId="17" fillId="4" borderId="12" applyNumberFormat="0" applyFont="0" applyAlignment="0" applyProtection="0">
      <alignment vertical="center"/>
    </xf>
    <xf numFmtId="0" fontId="39"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2" borderId="1" applyNumberFormat="0" applyAlignment="0" applyProtection="0">
      <alignment vertical="center"/>
    </xf>
    <xf numFmtId="200" fontId="27" fillId="0" borderId="0" applyFont="0" applyFill="0" applyBorder="0" applyAlignment="0" applyProtection="0"/>
    <xf numFmtId="194" fontId="27" fillId="0" borderId="0" applyFont="0" applyFill="0" applyBorder="0" applyAlignment="0" applyProtection="0"/>
    <xf numFmtId="0" fontId="29" fillId="0" borderId="0" applyNumberFormat="0" applyFill="0" applyBorder="0" applyAlignment="0" applyProtection="0">
      <alignment vertical="top"/>
      <protection locked="0"/>
    </xf>
    <xf numFmtId="0" fontId="46" fillId="3" borderId="1" applyNumberFormat="0" applyAlignment="0" applyProtection="0">
      <alignment vertical="center"/>
    </xf>
    <xf numFmtId="0" fontId="47" fillId="2" borderId="13" applyNumberFormat="0" applyAlignment="0" applyProtection="0">
      <alignment vertical="center"/>
    </xf>
    <xf numFmtId="0" fontId="42" fillId="8" borderId="0" applyNumberFormat="0" applyBorder="0" applyAlignment="0" applyProtection="0">
      <alignment vertical="center"/>
    </xf>
    <xf numFmtId="0" fontId="25" fillId="0" borderId="11" applyNumberFormat="0" applyFill="0" applyAlignment="0" applyProtection="0">
      <alignment vertical="center"/>
    </xf>
  </cellStyleXfs>
  <cellXfs count="57">
    <xf numFmtId="0" fontId="0" fillId="0" borderId="0" xfId="0"/>
    <xf numFmtId="43" fontId="1" fillId="0" borderId="0" xfId="112" applyFont="1"/>
    <xf numFmtId="43" fontId="1" fillId="0" borderId="0" xfId="112" applyFont="1" applyAlignment="1">
      <alignment horizontal="center"/>
    </xf>
    <xf numFmtId="0" fontId="55" fillId="0" borderId="0" xfId="0" applyFont="1"/>
    <xf numFmtId="0" fontId="56" fillId="0" borderId="0" xfId="0" applyFont="1"/>
    <xf numFmtId="0" fontId="2" fillId="0" borderId="0" xfId="425" applyFont="1"/>
    <xf numFmtId="210" fontId="2" fillId="0" borderId="0" xfId="425" applyNumberFormat="1" applyFont="1" applyAlignment="1">
      <alignment horizontal="center"/>
    </xf>
    <xf numFmtId="0" fontId="2" fillId="0" borderId="0" xfId="425" applyFont="1" applyAlignment="1">
      <alignment horizontal="center"/>
    </xf>
    <xf numFmtId="0" fontId="51" fillId="0" borderId="0" xfId="112" applyNumberFormat="1" applyFont="1" applyAlignment="1">
      <alignment horizontal="right"/>
    </xf>
    <xf numFmtId="0" fontId="57" fillId="0" borderId="0" xfId="112" applyNumberFormat="1" applyFont="1"/>
    <xf numFmtId="210" fontId="58" fillId="0" borderId="0" xfId="112" applyNumberFormat="1" applyFont="1"/>
    <xf numFmtId="43" fontId="2" fillId="0" borderId="0" xfId="112" applyFont="1"/>
    <xf numFmtId="0" fontId="3" fillId="0" borderId="0" xfId="112" applyNumberFormat="1" applyFont="1" applyAlignment="1">
      <alignment horizontal="right"/>
    </xf>
    <xf numFmtId="0" fontId="2" fillId="0" borderId="0" xfId="112" applyNumberFormat="1" applyFont="1"/>
    <xf numFmtId="0" fontId="2" fillId="0" borderId="0" xfId="112" applyNumberFormat="1" applyFont="1" applyAlignment="1">
      <alignment horizontal="left"/>
    </xf>
    <xf numFmtId="43" fontId="3" fillId="0" borderId="0" xfId="112" applyFont="1" applyAlignment="1">
      <alignment horizontal="left"/>
    </xf>
    <xf numFmtId="43" fontId="3" fillId="0" borderId="0" xfId="112" applyFont="1"/>
    <xf numFmtId="210" fontId="3" fillId="0" borderId="0" xfId="112" applyNumberFormat="1" applyFont="1" applyAlignment="1">
      <alignment horizontal="center"/>
    </xf>
    <xf numFmtId="43" fontId="3" fillId="0" borderId="0" xfId="112" applyFont="1" applyAlignment="1">
      <alignment horizontal="center"/>
    </xf>
    <xf numFmtId="43" fontId="59" fillId="0" borderId="15" xfId="112" applyFont="1" applyBorder="1" applyAlignment="1">
      <alignment horizontal="left"/>
    </xf>
    <xf numFmtId="43" fontId="3" fillId="0" borderId="15" xfId="112" applyFont="1" applyBorder="1"/>
    <xf numFmtId="210" fontId="3" fillId="0" borderId="15" xfId="112" applyNumberFormat="1" applyFont="1" applyBorder="1" applyAlignment="1">
      <alignment horizontal="center"/>
    </xf>
    <xf numFmtId="43" fontId="3" fillId="0" borderId="15" xfId="112" applyFont="1" applyBorder="1" applyAlignment="1">
      <alignment horizontal="center"/>
    </xf>
    <xf numFmtId="0" fontId="13" fillId="0" borderId="0" xfId="425" applyFont="1" applyAlignment="1">
      <alignment vertical="center"/>
    </xf>
    <xf numFmtId="3" fontId="60" fillId="0" borderId="17" xfId="0" applyNumberFormat="1" applyFont="1" applyBorder="1" applyAlignment="1">
      <alignment horizontal="center" vertical="center"/>
    </xf>
    <xf numFmtId="3" fontId="55" fillId="0" borderId="17" xfId="0" quotePrefix="1" applyNumberFormat="1" applyFont="1" applyBorder="1" applyAlignment="1">
      <alignment horizontal="left" vertical="center" wrapText="1"/>
    </xf>
    <xf numFmtId="3" fontId="55" fillId="0" borderId="17" xfId="0" applyNumberFormat="1" applyFont="1" applyBorder="1" applyAlignment="1">
      <alignment horizontal="center" vertical="center"/>
    </xf>
    <xf numFmtId="3" fontId="55" fillId="0" borderId="17" xfId="0" applyNumberFormat="1" applyFont="1" applyBorder="1" applyAlignment="1">
      <alignment horizontal="right" vertical="center"/>
    </xf>
    <xf numFmtId="3" fontId="60" fillId="0" borderId="17" xfId="0" applyNumberFormat="1" applyFont="1" applyBorder="1" applyAlignment="1">
      <alignment horizontal="left" vertical="center" wrapText="1"/>
    </xf>
    <xf numFmtId="3" fontId="55" fillId="0" borderId="18" xfId="0" applyNumberFormat="1" applyFont="1" applyBorder="1" applyAlignment="1">
      <alignment horizontal="center" vertical="center"/>
    </xf>
    <xf numFmtId="3" fontId="60" fillId="0" borderId="19" xfId="0" applyNumberFormat="1" applyFont="1" applyBorder="1" applyAlignment="1">
      <alignment horizontal="center" vertical="center"/>
    </xf>
    <xf numFmtId="3" fontId="60" fillId="0" borderId="19" xfId="0" applyNumberFormat="1" applyFont="1" applyBorder="1" applyAlignment="1">
      <alignment horizontal="left" vertical="center" wrapText="1"/>
    </xf>
    <xf numFmtId="3" fontId="55" fillId="0" borderId="19" xfId="0" applyNumberFormat="1" applyFont="1" applyBorder="1" applyAlignment="1">
      <alignment horizontal="center" vertical="center"/>
    </xf>
    <xf numFmtId="3" fontId="55" fillId="0" borderId="19" xfId="0" applyNumberFormat="1" applyFont="1" applyBorder="1" applyAlignment="1">
      <alignment horizontal="right" vertical="center"/>
    </xf>
    <xf numFmtId="3" fontId="55" fillId="0" borderId="19" xfId="0" applyNumberFormat="1" applyFont="1" applyBorder="1" applyAlignment="1">
      <alignment horizontal="center" vertical="center" wrapText="1"/>
    </xf>
    <xf numFmtId="3" fontId="60" fillId="0" borderId="20" xfId="0" applyNumberFormat="1" applyFont="1" applyBorder="1" applyAlignment="1">
      <alignment horizontal="center" vertical="center"/>
    </xf>
    <xf numFmtId="3" fontId="60" fillId="0" borderId="20" xfId="0" applyNumberFormat="1" applyFont="1" applyBorder="1" applyAlignment="1">
      <alignment horizontal="left" vertical="center" wrapText="1"/>
    </xf>
    <xf numFmtId="3" fontId="55" fillId="0" borderId="20" xfId="0" applyNumberFormat="1" applyFont="1" applyBorder="1" applyAlignment="1">
      <alignment horizontal="center" vertical="center"/>
    </xf>
    <xf numFmtId="3" fontId="55" fillId="0" borderId="20" xfId="0" applyNumberFormat="1" applyFont="1" applyBorder="1" applyAlignment="1">
      <alignment horizontal="right" vertical="center"/>
    </xf>
    <xf numFmtId="3" fontId="55" fillId="0" borderId="20" xfId="0" applyNumberFormat="1" applyFont="1" applyBorder="1" applyAlignment="1">
      <alignment horizontal="center" vertical="center" wrapText="1"/>
    </xf>
    <xf numFmtId="3" fontId="60" fillId="0" borderId="21" xfId="0" applyNumberFormat="1" applyFont="1" applyBorder="1" applyAlignment="1">
      <alignment horizontal="center" vertical="center"/>
    </xf>
    <xf numFmtId="3" fontId="60" fillId="0" borderId="21" xfId="0" applyNumberFormat="1" applyFont="1" applyBorder="1" applyAlignment="1">
      <alignment horizontal="left" vertical="center" wrapText="1"/>
    </xf>
    <xf numFmtId="3" fontId="55" fillId="0" borderId="21" xfId="0" applyNumberFormat="1" applyFont="1" applyBorder="1" applyAlignment="1">
      <alignment horizontal="center" vertical="center"/>
    </xf>
    <xf numFmtId="3" fontId="55" fillId="0" borderId="21" xfId="0" applyNumberFormat="1" applyFont="1" applyBorder="1" applyAlignment="1">
      <alignment horizontal="right" vertical="center"/>
    </xf>
    <xf numFmtId="3" fontId="55" fillId="0" borderId="21" xfId="0" applyNumberFormat="1" applyFont="1" applyBorder="1" applyAlignment="1">
      <alignment horizontal="center" vertical="center" wrapText="1"/>
    </xf>
    <xf numFmtId="41" fontId="13" fillId="0" borderId="0" xfId="105" applyFont="1" applyAlignment="1">
      <alignment vertical="center"/>
    </xf>
    <xf numFmtId="0" fontId="61" fillId="0" borderId="0" xfId="0" applyFont="1" applyAlignment="1">
      <alignment horizontal="left" wrapText="1"/>
    </xf>
    <xf numFmtId="210" fontId="55" fillId="0" borderId="0" xfId="0" applyNumberFormat="1" applyFont="1"/>
    <xf numFmtId="210" fontId="1" fillId="0" borderId="0" xfId="112" applyNumberFormat="1" applyFont="1" applyAlignment="1">
      <alignment horizontal="center"/>
    </xf>
    <xf numFmtId="0" fontId="62" fillId="18" borderId="17" xfId="0" applyFont="1" applyFill="1" applyBorder="1" applyAlignment="1">
      <alignment horizontal="center" vertical="center"/>
    </xf>
    <xf numFmtId="3" fontId="62" fillId="19" borderId="8" xfId="0" applyNumberFormat="1" applyFont="1" applyFill="1" applyBorder="1" applyAlignment="1">
      <alignment horizontal="right" vertical="center"/>
    </xf>
    <xf numFmtId="0" fontId="63" fillId="0" borderId="0" xfId="425" applyFont="1" applyAlignment="1">
      <alignment vertical="center"/>
    </xf>
    <xf numFmtId="3" fontId="62" fillId="19" borderId="8" xfId="0" applyNumberFormat="1" applyFont="1" applyFill="1" applyBorder="1" applyAlignment="1">
      <alignment horizontal="center" vertical="center"/>
    </xf>
    <xf numFmtId="0" fontId="64" fillId="0" borderId="22" xfId="0" applyFont="1" applyBorder="1" applyAlignment="1">
      <alignment horizontal="left" vertical="center" wrapText="1"/>
    </xf>
    <xf numFmtId="0" fontId="64" fillId="0" borderId="16" xfId="0" applyFont="1" applyBorder="1" applyAlignment="1">
      <alignment horizontal="left" vertical="center"/>
    </xf>
    <xf numFmtId="43" fontId="52" fillId="0" borderId="0" xfId="112" applyFont="1" applyFill="1" applyBorder="1" applyAlignment="1">
      <alignment horizontal="center" vertical="center" wrapText="1"/>
    </xf>
    <xf numFmtId="43" fontId="2" fillId="0" borderId="0" xfId="112" applyFont="1" applyFill="1" applyBorder="1" applyAlignment="1">
      <alignment horizontal="center" vertical="center"/>
    </xf>
  </cellXfs>
  <cellStyles count="1393">
    <cellStyle name="??" xfId="1" xr:uid="{9BD4BF9F-6992-42AD-AB24-708CE4BC40D6}"/>
    <cellStyle name="?? [0.00]_PRODUCT DETAIL Q1" xfId="2" xr:uid="{71640492-A894-4252-A262-7E1A3E3F704F}"/>
    <cellStyle name="?? [0]" xfId="3" xr:uid="{A12256EF-F39C-405A-9329-34FD68272891}"/>
    <cellStyle name="???? [0.00]_PRODUCT DETAIL Q1" xfId="4" xr:uid="{1EF49CFB-3BA4-4520-A253-85B919FA03F4}"/>
    <cellStyle name="????_PRODUCT DETAIL Q1" xfId="5" xr:uid="{57FAA33F-64AA-4838-AF1D-8D54E90EC2B2}"/>
    <cellStyle name="???_HOBONG" xfId="6" xr:uid="{04EEA1DD-B3AF-4C1E-9DA7-301D2D148D1D}"/>
    <cellStyle name="??_(????)??????" xfId="7" xr:uid="{991420B9-099C-47E4-B5F0-D7227F1C8C54}"/>
    <cellStyle name="_~6064872" xfId="8" xr:uid="{20F8C634-7D6A-4E1B-B1D8-3FA8D938F8D4}"/>
    <cellStyle name="_06.Media Plan Jun'09-option 2" xfId="9" xr:uid="{08CC700F-746A-449D-AA51-AE925388517B}"/>
    <cellStyle name="_06.Media Plan Jun'09-option 2_ADJUSTMENT BUREAU" xfId="10" xr:uid="{29A58F24-0D8A-464F-84E8-FEB9DE06623F}"/>
    <cellStyle name="_06.Media Plan Jun'09-option 2_I am Number Four MP - Master" xfId="11" xr:uid="{39791EA7-85C8-4B4B-9C93-7AD8EF991742}"/>
    <cellStyle name="_06.Media Plan Jun'09-option 2_Little Fockers MP - Master" xfId="12" xr:uid="{008ACF31-43CB-44BF-9868-724967BBF580}"/>
    <cellStyle name="_06.Media Plan Jun'09-option 2_MARS NEEDS MOMS" xfId="13" xr:uid="{433C9D5F-F87A-4B8D-AF51-FFE91B31D8DF}"/>
    <cellStyle name="_06.Media Plan Jun'09-option 2_MEgamind updated 23.10" xfId="14" xr:uid="{AB8808AA-38F4-4C85-93F9-330F068F0AFE}"/>
    <cellStyle name="_06.Media Plan Jun'09-option 2_Plan of FOH, OOH " xfId="15" xr:uid="{750C834E-2E21-4A02-A473-F43C5E73A0C5}"/>
    <cellStyle name="_06.Media Plan Jun'09-option 2_RANGO MP" xfId="16" xr:uid="{FA491A5E-A46C-43DA-A8C1-30927B9CB08E}"/>
    <cellStyle name="_06.Media Plan Jun'09-option 2_Tangled MP - Master" xfId="17" xr:uid="{CFFABF49-BB83-43A7-8B18-1DF1ADCDF699}"/>
    <cellStyle name="_Biore Sparkling-Booking (Apr'09) " xfId="18" xr:uid="{168888FB-7945-49C4-8E00-C13564442818}"/>
    <cellStyle name="_Danh sách thang máy tòa nhà " xfId="19" xr:uid="{BF2794C2-45E1-42FD-8FD6-D56F106AF1AF}"/>
    <cellStyle name="_Kotex_media plan V8 in Jan.08" xfId="20" xr:uid="{48A962BE-438B-4523-80E5-510F4457BFEE}"/>
    <cellStyle name="_List Update 09-07-09" xfId="21" xr:uid="{6676FFAD-AFD2-462F-8E43-13BFD95DDCD1}"/>
    <cellStyle name="_Material" xfId="22" xr:uid="{9B4509CF-C97F-4A0C-AE94-66F3373956C3}"/>
    <cellStyle name="_Material_ADJUSTMENT BUREAU" xfId="23" xr:uid="{096E8A21-0340-459A-8452-E8FE745A2F31}"/>
    <cellStyle name="_Material_I am Number Four MP - Master" xfId="24" xr:uid="{CD5C80D9-5E9D-4C34-825F-49FB9D4DA038}"/>
    <cellStyle name="_Material_Little Fockers MP - Master" xfId="25" xr:uid="{F75A4CC5-B811-4E81-AAC0-2B0F5829624F}"/>
    <cellStyle name="_Material_MARS NEEDS MOMS" xfId="26" xr:uid="{7A867E87-AE97-4D8D-8C0C-BAD84ED77B91}"/>
    <cellStyle name="_Material_MEgamind updated 23.10" xfId="27" xr:uid="{E6379483-2008-4A0D-A11D-80AF694740D1}"/>
    <cellStyle name="_Material_Plan of FOH, OOH " xfId="28" xr:uid="{168F3EC6-EE04-4A8A-9C64-C56241ACDE4B}"/>
    <cellStyle name="_Material_RANGO MP" xfId="29" xr:uid="{62AE4C74-477B-45E7-B2EA-A182BB35871A}"/>
    <cellStyle name="_Material_Tangled MP - Master" xfId="30" xr:uid="{561300B2-CBBA-41F1-8592-720F917EF000}"/>
    <cellStyle name="_MEGASTAR-CHICILON Proposal Master2011-2012" xfId="31" xr:uid="{E9FEC40A-89D1-40CE-BCB1-70750754F91E}"/>
    <cellStyle name="_MEGASTAR-CHICILON Proposal Nov Option2 (5)" xfId="32" xr:uid="{EC70D3A9-C9E7-4719-9B5F-799AE8736027}"/>
    <cellStyle name="_MEGASTAR-CHICILON.Proposal.HN4w.Jan" xfId="33" xr:uid="{307313DF-1A36-4BF8-99E8-B9567D06DB7B}"/>
    <cellStyle name="_MEGASTAR-CHICILON.Proposal.Master2011" xfId="34" xr:uid="{5E414542-6241-466D-B681-C320A25DFB26}"/>
    <cellStyle name="_MKT Plan 2008 - A&amp;P expense" xfId="35" xr:uid="{80F77DD1-A1F8-4254-A951-24563CD300F9}"/>
    <cellStyle name="_MKT Plan 2008 - A&amp;P expense_ADJUSTMENT BUREAU" xfId="36" xr:uid="{1699E443-25A2-41BF-A261-B35C032D1ED0}"/>
    <cellStyle name="_MKT Plan 2008 - A&amp;P expense_I am Number Four MP - Master" xfId="37" xr:uid="{4FDB1A70-7C8F-40D2-BB7E-52D41D31B736}"/>
    <cellStyle name="_MKT Plan 2008 - A&amp;P expense_Little Fockers MP - Master" xfId="38" xr:uid="{EDFB8422-2914-4E71-9373-6284A6E15F4F}"/>
    <cellStyle name="_MKT Plan 2008 - A&amp;P expense_MARS NEEDS MOMS" xfId="39" xr:uid="{1643DF79-CBA4-4B80-81FA-812D03D8E59F}"/>
    <cellStyle name="_MKT Plan 2008 - A&amp;P expense_MEgamind updated 23.10" xfId="40" xr:uid="{927C5BF8-2B6A-4D65-B565-03F2B6066D81}"/>
    <cellStyle name="_MKT Plan 2008 - A&amp;P expense_Plan of FOH, OOH " xfId="41" xr:uid="{9DE0D2FE-6D00-4108-BF28-19A9C2143C52}"/>
    <cellStyle name="_MKT Plan 2008 - A&amp;P expense_RANGO MP" xfId="42" xr:uid="{FA04A874-D379-4448-BF9D-76B0A7F75B97}"/>
    <cellStyle name="_MKT Plan 2008 - A&amp;P expense_Tangled MP - Master" xfId="43" xr:uid="{D4589C73-3BDF-4278-B9BA-64DBA819D662}"/>
    <cellStyle name="_OOH Plan for Latte 020609" xfId="44" xr:uid="{2C2BF084-EC0B-469B-940C-845B6A74E0A5}"/>
    <cellStyle name="_Print plan  - Nov &amp; Dec (Revised)" xfId="45" xr:uid="{E92331E1-ABD5-4BBF-88F5-0802FFEFA4B6}"/>
    <cellStyle name="_Print plan  - Nov &amp; Dec (Revised)_ADJUSTMENT BUREAU" xfId="46" xr:uid="{75ED5CFA-3EB7-4376-ABF2-62C9678A5F65}"/>
    <cellStyle name="_Print plan  - Nov &amp; Dec (Revised)_I am Number Four MP - Master" xfId="47" xr:uid="{65D8E9E6-151F-4B36-9CFC-7C2DF2DFB93A}"/>
    <cellStyle name="_Print plan  - Nov &amp; Dec (Revised)_Little Fockers MP - Master" xfId="48" xr:uid="{9DC04183-ADAB-441B-9407-21F722F2480C}"/>
    <cellStyle name="_Print plan  - Nov &amp; Dec (Revised)_MARS NEEDS MOMS" xfId="49" xr:uid="{7B5E5617-3A04-4B88-9B46-9EC407CDEE7F}"/>
    <cellStyle name="_Print plan  - Nov &amp; Dec (Revised)_MEgamind updated 23.10" xfId="50" xr:uid="{75697F5D-43BD-484A-82D1-EE67C6B2C9C4}"/>
    <cellStyle name="_Print plan  - Nov &amp; Dec (Revised)_Plan of FOH, OOH " xfId="51" xr:uid="{D9A27252-5878-413C-800C-32182F37CAAD}"/>
    <cellStyle name="_Print plan  - Nov &amp; Dec (Revised)_RANGO MP" xfId="52" xr:uid="{3668184E-88CF-4C1D-A452-EF924A0C6B2F}"/>
    <cellStyle name="_Print plan  - Nov &amp; Dec (Revised)_Tangled MP - Master" xfId="53" xr:uid="{0B3107DE-4E76-41AC-A388-7D3424F225E7}"/>
    <cellStyle name="_Print plan - bargain'08" xfId="54" xr:uid="{F5BA1A56-6872-4551-9671-DA8232D3D9EB}"/>
    <cellStyle name="_Print plan - bargain'08_ADJUSTMENT BUREAU" xfId="55" xr:uid="{579CBFD4-1055-46B1-8499-99894A86F32C}"/>
    <cellStyle name="_Print plan - bargain'08_I am Number Four MP - Master" xfId="56" xr:uid="{0F45EB03-E41F-4AD4-A55B-11C72E862C34}"/>
    <cellStyle name="_Print plan - bargain'08_Little Fockers MP - Master" xfId="57" xr:uid="{10FA8484-2AE7-407D-A6DA-F32D6A4F8DC1}"/>
    <cellStyle name="_Print plan - bargain'08_MARS NEEDS MOMS" xfId="58" xr:uid="{6EE50B88-AF79-4990-A3C7-F87E5ACA8F85}"/>
    <cellStyle name="_Print plan - bargain'08_MEgamind updated 23.10" xfId="59" xr:uid="{6E985ACE-26BB-476E-8ACC-37C88B318FD3}"/>
    <cellStyle name="_Print plan - bargain'08_Plan of FOH, OOH " xfId="60" xr:uid="{2EDBC8BD-230A-49EF-9E54-5F0132EF4971}"/>
    <cellStyle name="_Print plan - bargain'08_RANGO MP" xfId="61" xr:uid="{7967BB50-7066-4B33-88E0-861AE69D218A}"/>
    <cellStyle name="_Print plan - bargain'08_Tangled MP - Master" xfId="62" xr:uid="{D1402FF9-1BCD-49D2-B7E9-10C6B52633DB}"/>
    <cellStyle name="_TRI PR 0806" xfId="63" xr:uid="{699F9AA1-5F7E-466D-92E8-1FC5BCA0B56D}"/>
    <cellStyle name="_Triumph_Print plan" xfId="64" xr:uid="{4E65367A-C238-42F2-B4F6-438975BDEB81}"/>
    <cellStyle name="_Triumph_Print plan_ADJUSTMENT BUREAU" xfId="65" xr:uid="{1E0B95FF-97FB-4CE3-8C86-F279E3B52BD9}"/>
    <cellStyle name="_Triumph_Print plan_I am Number Four MP - Master" xfId="66" xr:uid="{E238D0D5-9294-410B-85FD-439C01A8D612}"/>
    <cellStyle name="_Triumph_Print plan_Little Fockers MP - Master" xfId="67" xr:uid="{D696A7B2-B5CE-48A5-8DB3-A2D82C804848}"/>
    <cellStyle name="_Triumph_Print plan_MARS NEEDS MOMS" xfId="68" xr:uid="{64C2CC48-2BF3-4FCC-88D4-CA8EFAEA5647}"/>
    <cellStyle name="_Triumph_Print plan_MEgamind updated 23.10" xfId="69" xr:uid="{2C3B5589-49C5-4569-B46B-E9D0E7A2F3D3}"/>
    <cellStyle name="_Triumph_Print plan_Plan of FOH, OOH " xfId="70" xr:uid="{A1393771-416B-48E8-8301-1E061A11274E}"/>
    <cellStyle name="_Triumph_Print plan_RANGO MP" xfId="71" xr:uid="{2F3CFB31-A102-4778-B44E-B922A1AC3B8B}"/>
    <cellStyle name="_Triumph_Print plan_Tangled MP - Master" xfId="72" xr:uid="{ACD34C04-EE33-4CC8-9E1A-15BB69131321}"/>
    <cellStyle name="_VIERA TVad 02.07" xfId="73" xr:uid="{EE34C61F-D6AE-4AAB-A034-64E84064BB60}"/>
    <cellStyle name="=C:\WINNT\SYSTEM32\COMMAND.COM" xfId="74" xr:uid="{6DE080A1-CD29-4BE4-BADE-4E5D8EB4CF25}"/>
    <cellStyle name="=C:\WINNT\SYSTEM32\COMMAND.COM 2" xfId="75" xr:uid="{EBB0620D-66DF-4F93-A4FB-4E342E1201C7}"/>
    <cellStyle name="=C:\WINNT\SYSTEM32\COMMAND.COM 2 2" xfId="76" xr:uid="{3580197C-7F19-48AB-8C95-6B53B68C6D2F}"/>
    <cellStyle name="=C:\WINNT\SYSTEM32\COMMAND.COM 2_ADJUSTMENT BUREAU" xfId="77" xr:uid="{E97A9E2A-4D5A-4861-9DFF-0DEAC1F761A3}"/>
    <cellStyle name="=C:\WINNT\SYSTEM32\COMMAND.COM 3" xfId="78" xr:uid="{9EBF96CC-B994-4EBF-994B-E0746936F467}"/>
    <cellStyle name="=C:\WINNT\SYSTEM32\COMMAND.COM_ADJUSTMENT BUREAU" xfId="79" xr:uid="{53D5D8E2-829E-44E8-B28D-0968758271CF}"/>
    <cellStyle name="•W_ Index" xfId="80" xr:uid="{8C22A161-4D26-4EF8-BA9F-170A1C613668}"/>
    <cellStyle name="¹éºÐÀ²_±âÅ¸" xfId="81" xr:uid="{0AA55E3B-9295-4201-A5B6-1252F54C0172}"/>
    <cellStyle name="20% - 强调文字颜色 1" xfId="82" xr:uid="{A84BF59C-7D05-4586-9A35-6D8C04E4DE6C}"/>
    <cellStyle name="20% - 强调文字颜色 2" xfId="83" xr:uid="{E89101F1-7F0F-4D2A-AE31-470035617B03}"/>
    <cellStyle name="20% - 强调文字颜色 3" xfId="84" xr:uid="{D9682F4A-C0BD-4F3E-A111-92D8CD61C7AE}"/>
    <cellStyle name="20% - 强调文字颜色 4" xfId="85" xr:uid="{FD1EC876-4FA4-4344-961B-782B41493243}"/>
    <cellStyle name="20% - 强调文字颜色 5" xfId="86" xr:uid="{14D5D240-5637-451C-BA30-33347FDEFB77}"/>
    <cellStyle name="20% - 强调文字颜色 6" xfId="87" xr:uid="{4F952955-83A0-40F7-BCA0-13D464CF7569}"/>
    <cellStyle name="40% - 强调文字颜色 1" xfId="88" xr:uid="{0309DAEF-8FE8-48F8-9E1E-EF1B98398B54}"/>
    <cellStyle name="40% - 强调文字颜色 2" xfId="89" xr:uid="{0C31BDFD-5A91-45EA-B37E-8AE7E6E1130B}"/>
    <cellStyle name="40% - 强调文字颜色 3" xfId="90" xr:uid="{39E2CBA6-5D63-4C46-B47D-990E2E47B7AE}"/>
    <cellStyle name="40% - 强调文字颜色 4" xfId="91" xr:uid="{A5107609-F1FE-48B7-A5D5-7F5E42E80D33}"/>
    <cellStyle name="40% - 强调文字颜色 5" xfId="92" xr:uid="{1CA51F3E-9447-44AB-B075-636C5A1261CF}"/>
    <cellStyle name="40% - 强调文字颜色 6" xfId="93" xr:uid="{99686352-3B57-4D15-B2F9-ADDD5A9AD67E}"/>
    <cellStyle name="60% - 强调文字颜色 1" xfId="94" xr:uid="{0DA58C50-4BA3-466B-B9BB-5D74896733E7}"/>
    <cellStyle name="60% - 强调文字颜色 2" xfId="95" xr:uid="{62829E13-D74F-487E-8593-631FACCDF682}"/>
    <cellStyle name="60% - 强调文字颜色 3" xfId="96" xr:uid="{2AAD568F-4FB9-4C4D-B263-C7B03F28DEB5}"/>
    <cellStyle name="60% - 强调文字颜色 4" xfId="97" xr:uid="{397DF378-A996-4471-B008-C40AD1158DEB}"/>
    <cellStyle name="60% - 强调文字颜色 5" xfId="98" xr:uid="{A5A4A891-7381-43A3-883E-2DA163E7F5AF}"/>
    <cellStyle name="60% - 强调文字颜色 6" xfId="99" xr:uid="{5DB0EF96-3D96-4D69-8D75-925BFEEC7D5F}"/>
    <cellStyle name="ÅëÈ­ [0]_±âÅ¸" xfId="100" xr:uid="{7CA21761-8342-4312-9706-F2B3EF9F458A}"/>
    <cellStyle name="ÅëÈ­_±âÅ¸" xfId="101" xr:uid="{0B27EF29-7301-4C27-BE85-AD659B08FA76}"/>
    <cellStyle name="ÄÞ¸¶ [0]_±âÅ¸" xfId="102" xr:uid="{0CAA5DC6-0BEB-4526-888D-877C0621ADC7}"/>
    <cellStyle name="ÄÞ¸¶_±âÅ¸" xfId="103" xr:uid="{592C2229-31C4-49F8-9E1A-55000B8D8617}"/>
    <cellStyle name="Ç¥ÁØ_¿ù°£¿ä¾àº¸°í" xfId="104" xr:uid="{0EF86C08-71C6-4230-A21D-0ACDEE5362D6}"/>
    <cellStyle name="Comma [0]" xfId="105" builtinId="6"/>
    <cellStyle name="Comma 10" xfId="106" xr:uid="{CA045433-92A9-4B5F-8084-9CE32E4C2699}"/>
    <cellStyle name="Comma 10 2" xfId="107" xr:uid="{827E10A6-5C5D-4003-B3E8-02ACADAE8E8E}"/>
    <cellStyle name="Comma 10 2 2" xfId="108" xr:uid="{A3158543-5626-4EC7-B7B7-D75058CD0A34}"/>
    <cellStyle name="Comma 10 2 2 2" xfId="109" xr:uid="{76143302-7CC5-4609-95E1-FBB3EAE3DB4D}"/>
    <cellStyle name="Comma 10 2 3" xfId="110" xr:uid="{61DCF1AA-7309-4672-ADE9-7503323E56EC}"/>
    <cellStyle name="Comma 10 2 4" xfId="111" xr:uid="{55A400EB-7F83-457D-8F40-B3A1C9EA1A02}"/>
    <cellStyle name="Comma 10 2 5" xfId="112" xr:uid="{8D4F528D-36B8-43EB-B403-8E5679ED3E3D}"/>
    <cellStyle name="Comma 10 2 5 2 2" xfId="113" xr:uid="{67AECFFB-B67A-4C38-B851-67A3C449A5D8}"/>
    <cellStyle name="Comma 11" xfId="114" xr:uid="{5FEADCF4-294F-4C9C-B7F7-3DB8FF4D64D9}"/>
    <cellStyle name="Comma 11 2" xfId="115" xr:uid="{54A75215-23A4-4C5F-8D81-66C9EB4DDF3A}"/>
    <cellStyle name="Comma 11 2 2" xfId="116" xr:uid="{3927B91B-7EB4-4EFD-8D64-971548236551}"/>
    <cellStyle name="Comma 11 2 3" xfId="117" xr:uid="{B099CFC5-D783-43AB-92F0-891C141DCAA0}"/>
    <cellStyle name="Comma 11 2 4" xfId="118" xr:uid="{9247B73B-E9E7-460C-8A2F-BFC09FCD2488}"/>
    <cellStyle name="Comma 11 3" xfId="119" xr:uid="{A0953BC7-AB84-4328-9161-4DABF9961E6D}"/>
    <cellStyle name="Comma 11 4" xfId="120" xr:uid="{5E724DCA-34ED-4922-B4B8-00CF39B9670C}"/>
    <cellStyle name="Comma 11 5" xfId="121" xr:uid="{F0B78602-C180-41D3-8761-E6EEBC1852A0}"/>
    <cellStyle name="Comma 12" xfId="122" xr:uid="{0656ED4A-5779-4F7A-9E95-BA0A78F84F24}"/>
    <cellStyle name="Comma 12 2" xfId="123" xr:uid="{1B659321-D8EF-4696-A992-F3EC94C3BE52}"/>
    <cellStyle name="Comma 12 2 2" xfId="124" xr:uid="{6803927D-FF0C-47D5-8926-3CCC12EB1E93}"/>
    <cellStyle name="Comma 12 2 3" xfId="125" xr:uid="{5DBF44E3-1F82-48A6-8E15-DC469E864AF2}"/>
    <cellStyle name="Comma 12 2 4" xfId="126" xr:uid="{F820C01F-60A6-468C-A5DA-B2E265D6061E}"/>
    <cellStyle name="Comma 12 3" xfId="127" xr:uid="{68D8DDF2-670C-4D2A-8605-CD1128C2204F}"/>
    <cellStyle name="Comma 12 4" xfId="128" xr:uid="{956B3D75-BA55-40DE-9D6A-8F1192BC60BF}"/>
    <cellStyle name="Comma 12 5" xfId="129" xr:uid="{9CEF4EB1-55AD-433D-A168-DFAF0E1020AD}"/>
    <cellStyle name="Comma 12 6" xfId="130" xr:uid="{FFF3F836-2193-43EE-BB93-4FC709FC2083}"/>
    <cellStyle name="Comma 13" xfId="131" xr:uid="{DA6D3ED3-FA45-442E-BDB5-32F25C68E024}"/>
    <cellStyle name="Comma 13 2" xfId="132" xr:uid="{76E0C6AC-8CB6-43FF-BF47-57F3F12A7B80}"/>
    <cellStyle name="Comma 13 2 2" xfId="133" xr:uid="{2B0640CF-DF3F-499F-9C28-D35B56D20652}"/>
    <cellStyle name="Comma 13 2 3" xfId="134" xr:uid="{477DB2DE-9768-4637-92C0-CD3DD009570C}"/>
    <cellStyle name="Comma 13 2 4" xfId="135" xr:uid="{6FBFADFD-AC40-4C48-9E84-3E6E84200310}"/>
    <cellStyle name="Comma 14" xfId="136" xr:uid="{7CA3C51E-71C2-4469-AEFB-55418DA9A6DC}"/>
    <cellStyle name="Comma 14 2" xfId="137" xr:uid="{80DBCB4C-D292-484C-871F-785B5C51B119}"/>
    <cellStyle name="Comma 14 3" xfId="138" xr:uid="{7D1A9C5D-E039-4C15-85B5-7979B96B5E5B}"/>
    <cellStyle name="Comma 14 4" xfId="139" xr:uid="{F39F6D65-04A3-4CC1-920E-6F894375EC5F}"/>
    <cellStyle name="Comma 15" xfId="140" xr:uid="{B8C5582C-0963-445B-B379-DD05B898166A}"/>
    <cellStyle name="Comma 15 2" xfId="141" xr:uid="{1D0443BF-B582-4E77-9F3B-F1901DBA300A}"/>
    <cellStyle name="Comma 15 3" xfId="142" xr:uid="{A519911D-0D81-4653-97A1-5CB37BC64144}"/>
    <cellStyle name="Comma 15 4" xfId="143" xr:uid="{CE31056F-E79C-4343-BDA1-32517719DCE1}"/>
    <cellStyle name="Comma 16" xfId="144" xr:uid="{050219AA-9085-4AF3-8188-595486CC1686}"/>
    <cellStyle name="Comma 16 2" xfId="145" xr:uid="{66C324B3-32E4-4842-8F1E-49580B7F086A}"/>
    <cellStyle name="Comma 16 3" xfId="146" xr:uid="{4223DBAB-3E28-47F1-B042-165A4FF5497B}"/>
    <cellStyle name="Comma 16 4" xfId="147" xr:uid="{5290797C-BFB9-4A48-BCC3-554EFE0135B5}"/>
    <cellStyle name="Comma 17" xfId="148" xr:uid="{C148FC7D-12DB-4D0A-A1EB-1A92F125FCE8}"/>
    <cellStyle name="Comma 17 2" xfId="149" xr:uid="{491C6BC3-2F78-4B61-AE19-C873B8A516EB}"/>
    <cellStyle name="Comma 17 3" xfId="150" xr:uid="{B517271B-ADC1-4158-9345-D41670271A1B}"/>
    <cellStyle name="Comma 17 4" xfId="151" xr:uid="{F3D943A4-E440-4EBF-A715-7BAFD3FB45A0}"/>
    <cellStyle name="Comma 18" xfId="152" xr:uid="{62709217-547C-4AE6-9907-EE7A208EEB18}"/>
    <cellStyle name="Comma 18 2" xfId="153" xr:uid="{9368C279-504D-4573-B7A8-FE5285D4017D}"/>
    <cellStyle name="Comma 18 3" xfId="154" xr:uid="{C4CF5EC7-5E0E-410A-B9DA-4EA06BB6C635}"/>
    <cellStyle name="Comma 18 4" xfId="155" xr:uid="{440711B4-5340-417B-85CC-71DE824BE8C7}"/>
    <cellStyle name="Comma 19" xfId="156" xr:uid="{C8819599-32AB-4CF1-AED8-5E47CC751BE9}"/>
    <cellStyle name="Comma 19 2" xfId="157" xr:uid="{67C2C354-3D0A-4A65-A0E2-F4D5D03790DE}"/>
    <cellStyle name="Comma 19 3" xfId="158" xr:uid="{A12BC6E9-B5B8-47F9-8BFF-99B09E66E8AF}"/>
    <cellStyle name="Comma 19 4" xfId="159" xr:uid="{90B1DCC1-A5E9-4A16-AC3D-5E9CD64633F8}"/>
    <cellStyle name="Comma 2" xfId="160" xr:uid="{47662DC7-3DFE-491B-A500-01A3C8DD24A0}"/>
    <cellStyle name="Comma 2 10" xfId="161" xr:uid="{A0940FE0-1F92-4A46-8DA9-218F12297B1F}"/>
    <cellStyle name="Comma 2 10 2" xfId="162" xr:uid="{4D5A6BFA-D419-488B-83B0-E6E4D1FD0E6F}"/>
    <cellStyle name="Comma 2 10 3" xfId="163" xr:uid="{AE20B916-379F-436B-81EB-F5AACE873D0C}"/>
    <cellStyle name="Comma 2 10 4" xfId="164" xr:uid="{6C0A346D-0A58-483F-9A97-B2411AF31566}"/>
    <cellStyle name="Comma 2 11" xfId="165" xr:uid="{CA360C2B-D5B3-4152-ADD0-203001223C85}"/>
    <cellStyle name="Comma 2 11 2" xfId="166" xr:uid="{994F852C-5A2A-488B-86A1-B2DEF005909C}"/>
    <cellStyle name="Comma 2 11 3" xfId="167" xr:uid="{C88C5563-5600-469F-9C52-A2530A283159}"/>
    <cellStyle name="Comma 2 11 4" xfId="168" xr:uid="{B7D0D1F7-103A-4A9C-84E1-FFB664D84501}"/>
    <cellStyle name="Comma 2 12" xfId="169" xr:uid="{0B3F86BF-C811-4D5B-9E9D-6B4E739B73F9}"/>
    <cellStyle name="Comma 2 12 2" xfId="170" xr:uid="{1D41F661-9625-4D62-AC50-9D341507C4A6}"/>
    <cellStyle name="Comma 2 12 3" xfId="171" xr:uid="{4036F67D-BD4E-4577-A9D7-E5DCBE7ED84C}"/>
    <cellStyle name="Comma 2 12 4" xfId="172" xr:uid="{D2EF1547-793C-4EFA-A523-3324B622AA27}"/>
    <cellStyle name="Comma 2 13" xfId="173" xr:uid="{2A3DCD02-5F70-4904-8EB6-6A10A67D540E}"/>
    <cellStyle name="Comma 2 13 2" xfId="174" xr:uid="{1475DA05-BCF0-4093-9BFC-6EA6D3E85065}"/>
    <cellStyle name="Comma 2 13 3" xfId="175" xr:uid="{E7E6E047-2ADE-420A-A193-02DBE22F07AD}"/>
    <cellStyle name="Comma 2 13 4" xfId="176" xr:uid="{2FBD6A2D-F703-4FF4-A839-DDB9D615F0D9}"/>
    <cellStyle name="Comma 2 14" xfId="177" xr:uid="{36BCFCB8-F7A6-40AD-B810-455E0A8656D6}"/>
    <cellStyle name="Comma 2 14 2" xfId="178" xr:uid="{D8B9DED6-75DF-4E1F-83B8-C804BAB4E13B}"/>
    <cellStyle name="Comma 2 14 3" xfId="179" xr:uid="{657D5EED-CBF0-4F7A-8E92-0ECE0D6380BC}"/>
    <cellStyle name="Comma 2 14 4" xfId="180" xr:uid="{F33E5A6A-C068-4A62-AD6F-AD7903031F5A}"/>
    <cellStyle name="Comma 2 15" xfId="181" xr:uid="{50AFC76E-AD61-4DA7-BF1A-24AD6D72540B}"/>
    <cellStyle name="Comma 2 15 2" xfId="182" xr:uid="{ADE70754-C8E7-49D5-A228-83E1DE295D96}"/>
    <cellStyle name="Comma 2 15 3" xfId="183" xr:uid="{AC7E3F01-8A94-4B19-BE42-8D735C7140DB}"/>
    <cellStyle name="Comma 2 15 4" xfId="184" xr:uid="{F0760AAB-AF53-4C12-BCEC-8936279C26B3}"/>
    <cellStyle name="Comma 2 16" xfId="185" xr:uid="{7735FAB2-486C-4BEC-A653-3433FDCB3BB6}"/>
    <cellStyle name="Comma 2 16 2" xfId="186" xr:uid="{228F1AD4-9887-45A0-9C49-0D3A6BF9D69F}"/>
    <cellStyle name="Comma 2 16 3" xfId="187" xr:uid="{3EDFFCD8-700E-4E09-BE64-4A8BE40561BE}"/>
    <cellStyle name="Comma 2 16 4" xfId="188" xr:uid="{2D69556C-8715-4B0D-9CCE-6041784A7164}"/>
    <cellStyle name="Comma 2 17" xfId="189" xr:uid="{EDB21990-AE2F-4366-A96D-E449CA3B4B46}"/>
    <cellStyle name="Comma 2 18" xfId="190" xr:uid="{63950A2C-1850-4400-9A57-5FBC4B0639E9}"/>
    <cellStyle name="Comma 2 19" xfId="191" xr:uid="{D1444361-5379-4924-BFB0-C0AC836DFC8D}"/>
    <cellStyle name="Comma 2 2" xfId="192" xr:uid="{B1038C13-832F-4573-85D2-8AFE6BD92F4B}"/>
    <cellStyle name="Comma 2 2 2" xfId="193" xr:uid="{CC876A20-7DC3-498A-BA48-4BFAA9B46E3F}"/>
    <cellStyle name="Comma 2 2 2 2" xfId="194" xr:uid="{C0062674-FD31-452D-914C-AC01AECB5364}"/>
    <cellStyle name="Comma 2 2 2 3" xfId="195" xr:uid="{44BBA5DD-6FCE-4BA5-BB9B-92B55ABF9D67}"/>
    <cellStyle name="Comma 2 2 2 4" xfId="196" xr:uid="{49E503EB-60B1-4E7E-B711-6650E8C11E88}"/>
    <cellStyle name="Comma 2 2 3" xfId="197" xr:uid="{DD12D275-8C57-478C-BC0C-FAA486C5725C}"/>
    <cellStyle name="Comma 2 20" xfId="198" xr:uid="{CB43B485-D481-4514-BFDA-977E75E8FA91}"/>
    <cellStyle name="Comma 2 21" xfId="199" xr:uid="{1641D351-C4F1-41AD-A075-0B5CAEC4A9C8}"/>
    <cellStyle name="Comma 2 22" xfId="200" xr:uid="{22053A2E-FCAD-4F83-B6F6-8C18951ED5C9}"/>
    <cellStyle name="Comma 2 23" xfId="201" xr:uid="{311D7C1C-08B4-4626-9386-52CCD1614DCC}"/>
    <cellStyle name="Comma 2 24" xfId="202" xr:uid="{3EABCE4D-F549-4350-BD30-5ECF1BB73AB5}"/>
    <cellStyle name="Comma 2 25" xfId="203" xr:uid="{1FE442FB-9D10-43D1-9C81-0208521126C1}"/>
    <cellStyle name="Comma 2 26" xfId="204" xr:uid="{D3F4E3A0-BA35-49C4-B3CF-94C163C85901}"/>
    <cellStyle name="Comma 2 27" xfId="205" xr:uid="{DD00A63B-10E6-43A9-B338-700E34F130D5}"/>
    <cellStyle name="Comma 2 3" xfId="206" xr:uid="{D90165D6-7B18-467C-8AC7-D16D33D68C79}"/>
    <cellStyle name="Comma 2 3 2" xfId="207" xr:uid="{477BF385-32E7-4BF5-BA07-D49C38CA18F2}"/>
    <cellStyle name="Comma 2 3 2 2" xfId="208" xr:uid="{03C01D09-8B80-49D7-A7B5-497762EDBACC}"/>
    <cellStyle name="Comma 2 3 2 3" xfId="209" xr:uid="{B4336E0F-E1F8-45F3-A468-00523F43F468}"/>
    <cellStyle name="Comma 2 3 2 4" xfId="210" xr:uid="{35902FAB-F54F-4966-AF2F-DC7C688E5F2C}"/>
    <cellStyle name="Comma 2 3 3" xfId="211" xr:uid="{DF1E8216-17DA-47D7-A215-3334342B93F6}"/>
    <cellStyle name="Comma 2 3 3 2" xfId="212" xr:uid="{33A61F74-5CB5-413A-85C9-BF6F1B8C3712}"/>
    <cellStyle name="Comma 2 3 3 2 2" xfId="213" xr:uid="{78D2F0B9-AC12-488F-8977-C1A96A94B108}"/>
    <cellStyle name="Comma 2 3 3 3" xfId="214" xr:uid="{706EA6DB-B11A-4927-8636-9E57803F254E}"/>
    <cellStyle name="Comma 2 4" xfId="215" xr:uid="{3E01FB81-73F8-4C5C-8DB9-E0C5AADDB063}"/>
    <cellStyle name="Comma 2 4 2" xfId="216" xr:uid="{07114170-B29F-49B8-8CEE-E575803D4F54}"/>
    <cellStyle name="Comma 2 4 2 2" xfId="217" xr:uid="{FC23095A-5E3E-4D77-AB16-EAFAA8522855}"/>
    <cellStyle name="Comma 2 4 2 3" xfId="218" xr:uid="{E83BFC03-7DCD-4D6B-BDD7-E14572146FDC}"/>
    <cellStyle name="Comma 2 4 2 4" xfId="219" xr:uid="{1B007AD6-25C4-43EB-9E59-0E2093D99086}"/>
    <cellStyle name="Comma 2 4 3" xfId="220" xr:uid="{51FBA31A-3372-4257-87CD-053198E6BDE5}"/>
    <cellStyle name="Comma 2 5" xfId="221" xr:uid="{265CEFBE-A843-40AE-90B9-835F6F04BCEC}"/>
    <cellStyle name="Comma 2 5 2" xfId="222" xr:uid="{277B7AE2-3775-4F91-B0FB-EA082D554FDC}"/>
    <cellStyle name="Comma 2 5 2 2" xfId="223" xr:uid="{BF4098BD-619C-40DD-A99C-3849A2F9ED8B}"/>
    <cellStyle name="Comma 2 5 2 3" xfId="224" xr:uid="{5008BB99-5DB8-4BF1-84E5-CD77BD469086}"/>
    <cellStyle name="Comma 2 5 2 4" xfId="225" xr:uid="{54F31A92-EBA6-434E-B57A-A84342C2CB45}"/>
    <cellStyle name="Comma 2 6" xfId="226" xr:uid="{65329739-424E-4FDA-BED6-4AA99EE172D6}"/>
    <cellStyle name="Comma 2 6 2" xfId="227" xr:uid="{DEEAC311-A71D-45E8-A3CC-8FA9D6DE7F32}"/>
    <cellStyle name="Comma 2 6 2 2" xfId="228" xr:uid="{D4C32326-6901-486F-8B60-8A498E9A857A}"/>
    <cellStyle name="Comma 2 6 2 3" xfId="229" xr:uid="{B8C7A527-01D3-438A-989E-ECDF99E4AD02}"/>
    <cellStyle name="Comma 2 6 2 4" xfId="230" xr:uid="{9D5CC3DA-9E04-4A47-969F-CF6DB088E317}"/>
    <cellStyle name="Comma 2 7" xfId="231" xr:uid="{EA4C68F0-62D0-47C4-A5D4-A6E4A55134C7}"/>
    <cellStyle name="Comma 2 7 2" xfId="232" xr:uid="{A7CA52D5-2B6C-4A3B-930F-6CD85E8575AC}"/>
    <cellStyle name="Comma 2 7 2 2" xfId="233" xr:uid="{B08C0E55-C2D3-49F8-9140-FCC54637795A}"/>
    <cellStyle name="Comma 2 7 2 3" xfId="234" xr:uid="{7B3EDBAA-FE8A-4FA8-964B-6A3BBC38EDBF}"/>
    <cellStyle name="Comma 2 7 2 4" xfId="235" xr:uid="{77E40673-2B95-48BA-B5F1-C741B0AA7D6B}"/>
    <cellStyle name="Comma 2 8" xfId="236" xr:uid="{A9EA4D33-0C64-4785-9435-A4501A10B522}"/>
    <cellStyle name="Comma 2 8 2" xfId="237" xr:uid="{E120C499-0A06-47F2-AE2B-E5CDF605F22C}"/>
    <cellStyle name="Comma 2 8 3" xfId="238" xr:uid="{269341B9-2920-4A66-980A-C8D369B333EA}"/>
    <cellStyle name="Comma 2 8 4" xfId="239" xr:uid="{8EB19A8F-F908-4E8F-8688-960D77DFB798}"/>
    <cellStyle name="Comma 2 9" xfId="240" xr:uid="{28DCCCA6-6990-41E8-AC72-D2D49E462874}"/>
    <cellStyle name="Comma 2 9 2" xfId="241" xr:uid="{553AC7C5-EB69-40AA-A072-C6CE2B3201C2}"/>
    <cellStyle name="Comma 2 9 3" xfId="242" xr:uid="{6CD347FF-CD8E-4CC7-983B-0D753910BC8A}"/>
    <cellStyle name="Comma 2 9 4" xfId="243" xr:uid="{3A1EBF08-15F8-496D-86F6-B54BDA55D92E}"/>
    <cellStyle name="Comma 2_MEGASTAR-CHICILON Proposal Master2011-2012" xfId="244" xr:uid="{F49DAF79-83E9-4ABD-A8E4-3B01768B8F2D}"/>
    <cellStyle name="Comma 20" xfId="245" xr:uid="{D7E72F63-C00C-464F-AFF1-09372EA4BC26}"/>
    <cellStyle name="Comma 20 2" xfId="246" xr:uid="{AB861C80-1622-46A2-A5B8-246F29C580C2}"/>
    <cellStyle name="Comma 20 3" xfId="247" xr:uid="{EDA17CFE-7C38-4C34-B57B-DE52A6E3A174}"/>
    <cellStyle name="Comma 20 4" xfId="248" xr:uid="{2BA2AA76-8913-4474-960E-828FFA55513E}"/>
    <cellStyle name="Comma 21" xfId="249" xr:uid="{954C84D3-D92A-4264-BC44-D4D96F1191A3}"/>
    <cellStyle name="Comma 22" xfId="250" xr:uid="{F8C56210-DCDA-4D5F-BACA-A824554050CA}"/>
    <cellStyle name="Comma 23" xfId="251" xr:uid="{859E0756-B6DC-45EF-8786-C4B120956B41}"/>
    <cellStyle name="Comma 24" xfId="252" xr:uid="{E06172E2-A4BD-47E9-BF35-3FC81C5D0BB7}"/>
    <cellStyle name="Comma 25 2" xfId="253" xr:uid="{306C1BD7-A60D-4EB6-B5C0-5400D7DA6C28}"/>
    <cellStyle name="Comma 26" xfId="254" xr:uid="{2CDB48F9-7598-4688-841C-756D8CADCFA3}"/>
    <cellStyle name="Comma 27" xfId="255" xr:uid="{CBC611B0-80AE-4EE8-8C16-2C5430CEE3A4}"/>
    <cellStyle name="Comma 28" xfId="256" xr:uid="{053E920A-8BD2-46AB-96E1-838358939704}"/>
    <cellStyle name="Comma 3" xfId="257" xr:uid="{792C35B0-7548-4FDF-A4BC-E882355835C6}"/>
    <cellStyle name="Comma 3 2" xfId="258" xr:uid="{7572E729-2581-4D39-894F-9D24D991B193}"/>
    <cellStyle name="Comma 3 3" xfId="259" xr:uid="{95EA3557-4D80-40C7-BD75-15FFCF1F6CAD}"/>
    <cellStyle name="Comma 3 4" xfId="260" xr:uid="{AB02EB2D-FAF0-4EA4-8AED-12B45552C2A3}"/>
    <cellStyle name="Comma 3 5" xfId="261" xr:uid="{755622D8-BB8C-4399-BAC7-9AB930E02115}"/>
    <cellStyle name="Comma 3_MEGASTAR-CHICILON Proposal Master2011-2012" xfId="262" xr:uid="{672ACDF1-0FA4-4CD9-AEF4-471E5EF13A1E}"/>
    <cellStyle name="Comma 32" xfId="263" xr:uid="{5F244523-0501-4DBA-B470-9AE3ECE78C97}"/>
    <cellStyle name="Comma 4" xfId="264" xr:uid="{9F66B89C-1716-4B24-ABF9-E66EF7358896}"/>
    <cellStyle name="Comma 4 2" xfId="265" xr:uid="{53BB6EC1-BC21-433C-B561-43CA7F544A07}"/>
    <cellStyle name="Comma 4 3" xfId="266" xr:uid="{DD77B2A7-E439-4F5C-80B5-730FC219A93D}"/>
    <cellStyle name="Comma 4 4" xfId="267" xr:uid="{91EC3CA6-9F8E-438F-96B9-765D9EFC572A}"/>
    <cellStyle name="Comma 4 5" xfId="268" xr:uid="{D628C2A0-228B-4705-9D55-32182D35EF10}"/>
    <cellStyle name="Comma 5" xfId="269" xr:uid="{6700832F-4E30-4288-9F5F-91A5B475F386}"/>
    <cellStyle name="Comma 5 2" xfId="270" xr:uid="{7922A142-9EB8-43DA-A299-6AEC374C6B4E}"/>
    <cellStyle name="Comma 6" xfId="271" xr:uid="{1F3994E6-7577-4CB5-9838-3D11966DCEE9}"/>
    <cellStyle name="Comma 6 2" xfId="272" xr:uid="{23CB0C22-97FD-4248-8447-B21638A3C6A9}"/>
    <cellStyle name="Comma 6 3" xfId="273" xr:uid="{550DCDB1-BE1D-4127-ACA2-6EDDE8889123}"/>
    <cellStyle name="Comma 6 4" xfId="274" xr:uid="{88933BC9-05E6-4546-8C7C-EC8D47D30463}"/>
    <cellStyle name="Comma 6 5" xfId="275" xr:uid="{184AC402-A8DC-4D75-91EE-023B1E475271}"/>
    <cellStyle name="Comma 6 6" xfId="276" xr:uid="{3A20C5CE-39CD-437F-A953-1F474A965516}"/>
    <cellStyle name="Comma 6 7" xfId="277" xr:uid="{95241CD6-85BF-4E06-995B-8E943CD3A14B}"/>
    <cellStyle name="Comma 7" xfId="278" xr:uid="{AD8E1728-DC8B-435D-A25E-7C42802B2760}"/>
    <cellStyle name="Comma 7 10" xfId="279" xr:uid="{3DDC7AC2-9B1B-4D20-9CE0-9BF7FDEC8DD5}"/>
    <cellStyle name="Comma 7 11" xfId="280" xr:uid="{89213852-6F31-4A4E-92B3-D9503DC3D279}"/>
    <cellStyle name="Comma 7 2" xfId="281" xr:uid="{AB96BD5A-1C66-47AA-95FA-560A949F1D9D}"/>
    <cellStyle name="Comma 7 2 10" xfId="282" xr:uid="{F8DAAFA6-5930-4B22-8005-88D21208A31F}"/>
    <cellStyle name="Comma 7 3" xfId="283" xr:uid="{ABFA2134-767E-46B1-B0E1-8B8F216F0C96}"/>
    <cellStyle name="Comma 7 3 2" xfId="284" xr:uid="{502C7047-C94C-426B-BFC8-D59A4178CD46}"/>
    <cellStyle name="Comma 7 3 3" xfId="285" xr:uid="{1A4F51DB-DA61-4A28-9642-5E88342A5AD9}"/>
    <cellStyle name="Comma 7 3 4" xfId="286" xr:uid="{203FE260-7F83-4133-9A75-E83833832482}"/>
    <cellStyle name="Comma 7 4" xfId="287" xr:uid="{F62F2B76-7E40-4868-9471-147F5B0FB401}"/>
    <cellStyle name="Comma 7 5" xfId="288" xr:uid="{8F64E6B6-5D2E-4EBD-8E58-220B4B915C91}"/>
    <cellStyle name="Comma 7 6" xfId="289" xr:uid="{646DEC0C-3DD1-464E-A361-420E768A552F}"/>
    <cellStyle name="Comma 7 7" xfId="290" xr:uid="{F7590A59-D569-4617-BE5A-713313D9EE25}"/>
    <cellStyle name="Comma 7 8" xfId="291" xr:uid="{6ABF24FC-34BC-4EA4-8672-BB3E9093406B}"/>
    <cellStyle name="Comma 7 9" xfId="292" xr:uid="{C169AEE6-30C4-4F20-B1D0-2E7AFC549A73}"/>
    <cellStyle name="Comma 8" xfId="293" xr:uid="{099A49E9-4046-46D0-A83E-4C0931EF9392}"/>
    <cellStyle name="Comma 8 11" xfId="294" xr:uid="{EB3A7B67-10C2-43B8-A55C-320A50AA452B}"/>
    <cellStyle name="Comma 8 2" xfId="295" xr:uid="{0C0B8C49-BB44-4D85-8DE7-F458B5A4E84F}"/>
    <cellStyle name="Comma 8 3" xfId="296" xr:uid="{83249C4E-79C9-449A-8DA1-43A22D73D6E8}"/>
    <cellStyle name="Comma 8 4" xfId="297" xr:uid="{6663FDA6-383C-4347-878A-510467F293D8}"/>
    <cellStyle name="Comma 8 5" xfId="298" xr:uid="{0E9A8A64-1831-401F-961A-C8DF336B684B}"/>
    <cellStyle name="Comma 8 6" xfId="299" xr:uid="{3DBE358A-0856-4628-BD8C-F2E85ED5C55D}"/>
    <cellStyle name="Comma 8 7" xfId="300" xr:uid="{CB791702-4D4B-4A1F-8BE6-2D81251A9828}"/>
    <cellStyle name="Comma 9" xfId="301" xr:uid="{43B7DE80-6CCA-43A8-A992-876DFB8F75D6}"/>
    <cellStyle name="Comma 9 2" xfId="302" xr:uid="{1E45C399-1356-4E7A-85A8-F725EEBB0432}"/>
    <cellStyle name="Comma 9 2 2" xfId="303" xr:uid="{358A9727-CEC9-430C-A4F6-6066C72C402D}"/>
    <cellStyle name="Comma 9 2 3" xfId="304" xr:uid="{21D3FCB2-0139-4A45-9114-5875EFE371E7}"/>
    <cellStyle name="Comma 9 2 4" xfId="305" xr:uid="{5BCF0655-43D8-44B8-B605-A21342210D78}"/>
    <cellStyle name="Comma 9 3" xfId="306" xr:uid="{565A095C-8557-4D06-ACBD-2857F10E5477}"/>
    <cellStyle name="Comma 9 4" xfId="307" xr:uid="{A5C85703-B141-41DD-BF56-EE0C0347EEC4}"/>
    <cellStyle name="Comma 9 5" xfId="308" xr:uid="{CF5E8FA2-2BC7-4F51-A824-443217375A65}"/>
    <cellStyle name="Comma0" xfId="309" xr:uid="{190D6BD1-714C-4BF5-B4A4-9ADCA1F1AF9F}"/>
    <cellStyle name="Currency 2" xfId="310" xr:uid="{0DC61BBF-7C85-474B-AFB5-631DA6EE86CA}"/>
    <cellStyle name="Currency 2 2" xfId="311" xr:uid="{BD0D4FEC-D766-410F-B6DE-3DF83A996441}"/>
    <cellStyle name="Currency 2 2 2" xfId="312" xr:uid="{2117C730-BD48-4CE2-84B8-BA5A5BDF2C2F}"/>
    <cellStyle name="Currency 2 2 2 2" xfId="313" xr:uid="{FCA5D7ED-5C50-405A-9005-55CCD81E5725}"/>
    <cellStyle name="Currency 2 2 3" xfId="314" xr:uid="{69ABC469-C912-4414-AB16-32D862095F13}"/>
    <cellStyle name="Currency 2 3" xfId="315" xr:uid="{931EBC42-26FC-4294-BDE0-7B898162DA46}"/>
    <cellStyle name="Currency 2 3 2" xfId="316" xr:uid="{453C70AB-8B52-4A68-8A0D-EE526574597B}"/>
    <cellStyle name="Currency 2 4" xfId="317" xr:uid="{C72DE65F-9D6B-4826-91C9-28740B7F6C45}"/>
    <cellStyle name="Currency 2_Booking LCD  POSTER MEGA 2010" xfId="318" xr:uid="{4B5FD7E4-93BA-4697-9448-66599CAECD83}"/>
    <cellStyle name="Currency 3" xfId="319" xr:uid="{1BDF7E11-68AF-458A-BBA1-D135ECF43B95}"/>
    <cellStyle name="Currency 3 2" xfId="320" xr:uid="{DBA3A408-F757-4804-8C26-E7724F7F9A52}"/>
    <cellStyle name="Currency 3 2 2" xfId="321" xr:uid="{6A3FC4EE-C4FA-4D10-ABAE-80A288D6C0EA}"/>
    <cellStyle name="Currency 3 3" xfId="322" xr:uid="{80896391-E23B-47D5-8229-82269E3DCFA0}"/>
    <cellStyle name="Currency 4" xfId="323" xr:uid="{565A632A-83E9-42F9-B734-AC355C0226FB}"/>
    <cellStyle name="Currency 5" xfId="324" xr:uid="{8EFEED94-99B6-4FAB-99BB-B4869E52986F}"/>
    <cellStyle name="Currency0" xfId="325" xr:uid="{04CDEB4F-B220-4A08-825B-080A34B5C04E}"/>
    <cellStyle name="Date" xfId="326" xr:uid="{1D1045D9-E0E6-485A-AE30-4E00C9E75ADE}"/>
    <cellStyle name="Dấu phẩy 2" xfId="327" xr:uid="{9DD97809-8B1C-48E0-9A6E-12AE9C709295}"/>
    <cellStyle name="DD/MM/YY" xfId="328" xr:uid="{D7D983B7-F611-453A-96EC-83C8065FF3A3}"/>
    <cellStyle name="Fixed" xfId="329" xr:uid="{AB4474D7-1BDE-448B-85CC-830F68756B2F}"/>
    <cellStyle name="Grey" xfId="330" xr:uid="{101ADC11-D912-41C8-8843-D004199B4AF3}"/>
    <cellStyle name="Header1" xfId="331" xr:uid="{7A1E6DA7-3EFE-4A5E-A021-F3DFF6CC2442}"/>
    <cellStyle name="Header2" xfId="332" xr:uid="{3CE87E69-EEE4-4D0C-A958-6867127FFBE5}"/>
    <cellStyle name="Hyperlink 2" xfId="333" xr:uid="{D7F61F5F-0FFC-42A2-BA55-FB91F49CDD11}"/>
    <cellStyle name="Hyperlink 3" xfId="334" xr:uid="{558B21C9-B9A9-414D-ABCD-44C54BD00869}"/>
    <cellStyle name="Hyperlink 4" xfId="335" xr:uid="{2FE15017-0F4F-473D-BA1F-A7D2974AA275}"/>
    <cellStyle name="Input [yellow]" xfId="336" xr:uid="{44BED5FF-18E9-4CCB-83E8-6C8CBDC09D1B}"/>
    <cellStyle name="LeverCurrency" xfId="337" xr:uid="{D6B48A27-EFFD-472A-988B-CAC87412062A}"/>
    <cellStyle name="LeverGRP" xfId="338" xr:uid="{20A0F202-70BA-43B7-BCB8-43B7ADAF7A1A}"/>
    <cellStyle name="Milliers [0]_CREATIVE" xfId="339" xr:uid="{78655190-B055-423B-B8DB-172F94543D73}"/>
    <cellStyle name="Milliers_CREATIVE" xfId="340" xr:uid="{64A075F2-F38E-4357-B5D3-5BBB19CA6C9A}"/>
    <cellStyle name="Moeda [0]_Geral" xfId="341" xr:uid="{DAA3A5EA-E3C4-4BBB-A0D2-A010250D7D0A}"/>
    <cellStyle name="Moeda_Geral" xfId="342" xr:uid="{1C0B223A-FB9A-4FBE-9DCE-7F53A1ED3FFC}"/>
    <cellStyle name="Monétaire [0]_CREATIVE" xfId="343" xr:uid="{601E769E-DA96-438B-BE8C-77EF87A72C03}"/>
    <cellStyle name="Monétaire_CREATIVE" xfId="344" xr:uid="{5D1E8520-6A2F-45CE-B63E-63DEAEB0B383}"/>
    <cellStyle name="no dec" xfId="345" xr:uid="{A80C9AD5-51F6-46E0-B02F-928076B451EC}"/>
    <cellStyle name="no dec 10" xfId="346" xr:uid="{AE40ACD1-6018-441D-82F4-A6BA833360F2}"/>
    <cellStyle name="no dec 10 2" xfId="347" xr:uid="{4EAAA053-2574-4225-B1FD-48338BD5F05A}"/>
    <cellStyle name="no dec 10 3" xfId="348" xr:uid="{35299B92-C2F9-4157-A0D9-50AC00CDDD0C}"/>
    <cellStyle name="no dec 10 4" xfId="349" xr:uid="{D20EBC59-98A9-43CA-B352-F13C58339602}"/>
    <cellStyle name="no dec 11" xfId="350" xr:uid="{ED5F8D0B-2972-4B86-81E2-60933FEB4100}"/>
    <cellStyle name="no dec 11 2" xfId="351" xr:uid="{C8FB2741-A7D3-4BFE-B27D-778732E0DF41}"/>
    <cellStyle name="no dec 11 3" xfId="352" xr:uid="{32EBA0D3-ABFC-4CB3-975B-D93F835FAB3E}"/>
    <cellStyle name="no dec 11 4" xfId="353" xr:uid="{4DE9E574-138A-4754-9F84-791618A8957B}"/>
    <cellStyle name="no dec 12" xfId="354" xr:uid="{68F6892A-C5BC-47B0-B17B-10F6144F44F2}"/>
    <cellStyle name="no dec 12 2" xfId="355" xr:uid="{A126FDAC-324B-4BE2-A127-BE8F6D420D13}"/>
    <cellStyle name="no dec 12 3" xfId="356" xr:uid="{D4859626-9AC5-4A0E-9806-CCF311CFD93F}"/>
    <cellStyle name="no dec 12 4" xfId="357" xr:uid="{26251C02-60B5-4ED1-8FD3-B8AA6FF11A55}"/>
    <cellStyle name="no dec 13" xfId="358" xr:uid="{B801270D-B5FC-4D49-913A-DEB1C3483140}"/>
    <cellStyle name="no dec 13 2" xfId="359" xr:uid="{26434144-121D-46CB-9956-A8B97993221D}"/>
    <cellStyle name="no dec 13 3" xfId="360" xr:uid="{AE4B7DC2-BF37-4F86-8313-CED4702EAC29}"/>
    <cellStyle name="no dec 13 4" xfId="361" xr:uid="{DBA9FA3E-9C4D-41DF-A5CF-C2612132B08E}"/>
    <cellStyle name="no dec 14" xfId="362" xr:uid="{7EFB31A9-2896-4E02-9D6B-4D94354FCB57}"/>
    <cellStyle name="no dec 14 2" xfId="363" xr:uid="{BC3E9833-2668-4BFB-8713-356F92072AFB}"/>
    <cellStyle name="no dec 14 3" xfId="364" xr:uid="{ECD58525-7C84-4FA5-897E-DACFB6591C49}"/>
    <cellStyle name="no dec 14 4" xfId="365" xr:uid="{471BF05B-8940-4BCA-A5F2-E382D6B6F334}"/>
    <cellStyle name="no dec 15" xfId="366" xr:uid="{3F651BBA-2DC9-499F-A257-8ECBDA41EEE0}"/>
    <cellStyle name="no dec 15 2" xfId="367" xr:uid="{1ADF84BB-CB59-4332-87A6-62D191E32A0B}"/>
    <cellStyle name="no dec 15 3" xfId="368" xr:uid="{C193B5F8-DE1B-418D-B8B5-C8951A00852B}"/>
    <cellStyle name="no dec 15 4" xfId="369" xr:uid="{49EC356B-3F59-45FB-952A-F2C86B1244B7}"/>
    <cellStyle name="no dec 16" xfId="370" xr:uid="{369B62C0-2090-49B3-8250-95E5E42FA0CD}"/>
    <cellStyle name="no dec 16 2" xfId="371" xr:uid="{F6682547-30FB-48AC-B049-FA5FC970181B}"/>
    <cellStyle name="no dec 16 3" xfId="372" xr:uid="{CFF2B278-0EF3-4207-9FA2-755F627C66C7}"/>
    <cellStyle name="no dec 16 4" xfId="373" xr:uid="{1D65250D-9948-46F6-BC63-D82CC8654BE4}"/>
    <cellStyle name="no dec 2" xfId="374" xr:uid="{F7C3C93C-3983-4488-8829-14E39CF22239}"/>
    <cellStyle name="no dec 2 2" xfId="375" xr:uid="{0C12D85D-4F21-4A1C-91EA-A8BB535DDAE3}"/>
    <cellStyle name="no dec 2 2 2" xfId="376" xr:uid="{AB4B8786-7027-490F-BA1C-4770E529B761}"/>
    <cellStyle name="no dec 2 2 3" xfId="377" xr:uid="{5F50687F-5BCE-4EF6-BEF0-55CB32B3D3C6}"/>
    <cellStyle name="no dec 2 2 4" xfId="378" xr:uid="{3E75F36E-1390-4591-BB67-D47ED333FE3F}"/>
    <cellStyle name="no dec 3" xfId="379" xr:uid="{A35CCF16-6DEC-4CC0-A66C-4011CE893E1B}"/>
    <cellStyle name="no dec 3 2" xfId="380" xr:uid="{C0F295F8-EA7A-42C1-9B47-7A8E57E79E40}"/>
    <cellStyle name="no dec 3 2 2" xfId="381" xr:uid="{BA0C7884-857B-4E45-AB04-0EDB264F7C1B}"/>
    <cellStyle name="no dec 3 2 3" xfId="382" xr:uid="{EEDE53A2-1D39-4E1C-BB08-E4EE4FFC8C15}"/>
    <cellStyle name="no dec 3 2 4" xfId="383" xr:uid="{4EA02B56-7469-4818-8B27-F349A82BCB8D}"/>
    <cellStyle name="no dec 4" xfId="384" xr:uid="{AC732271-F821-4B20-8BFD-31CBA34FECC5}"/>
    <cellStyle name="no dec 4 2" xfId="385" xr:uid="{09B86FC8-C10B-4876-A432-18EFAD6D26B6}"/>
    <cellStyle name="no dec 4 2 2" xfId="386" xr:uid="{5DF50B21-DF97-43FB-A54A-E8CFB678E003}"/>
    <cellStyle name="no dec 4 2 3" xfId="387" xr:uid="{07CDEB00-6358-4227-82D0-1F64A9B0A057}"/>
    <cellStyle name="no dec 4 2 4" xfId="388" xr:uid="{60B99F48-2567-4184-9C1E-44290A2A78B2}"/>
    <cellStyle name="no dec 5" xfId="389" xr:uid="{2ABD0E4F-03D2-4AC0-A197-3AB11163D2CB}"/>
    <cellStyle name="no dec 5 2" xfId="390" xr:uid="{DF545C29-2C7D-4995-A07E-8F97238A4F49}"/>
    <cellStyle name="no dec 5 3" xfId="391" xr:uid="{808D85A0-2274-42E1-B499-8AE60B6616CF}"/>
    <cellStyle name="no dec 5 4" xfId="392" xr:uid="{9DFC1F56-E0B6-409C-8F25-D35C5CB0A1F2}"/>
    <cellStyle name="no dec 5 5" xfId="393" xr:uid="{38CB8BE9-DFD2-4726-83FD-274C3D7E4067}"/>
    <cellStyle name="no dec 5 6" xfId="394" xr:uid="{25B9C472-CF1F-4BAC-B8CF-32E93240BF56}"/>
    <cellStyle name="no dec 5 7" xfId="395" xr:uid="{567E0719-3C56-4509-828C-DA33E80D4107}"/>
    <cellStyle name="no dec 5 8" xfId="396" xr:uid="{BD4B7C9F-D9F8-40AD-88F1-3350C48ABB2D}"/>
    <cellStyle name="no dec 5 9" xfId="397" xr:uid="{F35F9CFD-E7A8-4E44-A158-436372827E4C}"/>
    <cellStyle name="no dec 6" xfId="398" xr:uid="{806762F0-7B5B-4B0B-A045-959723EE001C}"/>
    <cellStyle name="no dec 6 2" xfId="399" xr:uid="{46031A6F-2D88-4B3F-ADC1-D62E5A462EFD}"/>
    <cellStyle name="no dec 6 3" xfId="400" xr:uid="{10070DBE-62C2-4A6D-9151-B73DF5D8F36C}"/>
    <cellStyle name="no dec 6 4" xfId="401" xr:uid="{19035CE6-52D6-49F3-9B25-BDB5A80EF29F}"/>
    <cellStyle name="no dec 7" xfId="402" xr:uid="{AB594B61-B47D-40DF-AA20-82D002E5BA8F}"/>
    <cellStyle name="no dec 7 2" xfId="403" xr:uid="{ADE09E6F-BC1B-4EDB-89A2-9C852AD521ED}"/>
    <cellStyle name="no dec 7 3" xfId="404" xr:uid="{B1DCFDF5-1C28-495C-81A8-83D956E61C34}"/>
    <cellStyle name="no dec 7 4" xfId="405" xr:uid="{900B43D5-D61F-4491-9F89-437F70331D0E}"/>
    <cellStyle name="no dec 8" xfId="406" xr:uid="{F372CE98-5E8B-4E1F-B37C-EF1F0C0A01A8}"/>
    <cellStyle name="no dec 8 2" xfId="407" xr:uid="{45FEB5D4-A81C-466F-84E1-98ABC1545347}"/>
    <cellStyle name="no dec 8 3" xfId="408" xr:uid="{3AC92FF6-7CB6-4EDA-8982-08A57D85243B}"/>
    <cellStyle name="no dec 8 4" xfId="409" xr:uid="{AB8E9111-DB70-4CDF-8D90-15C1EF8F2FFC}"/>
    <cellStyle name="no dec 9" xfId="410" xr:uid="{367F5C69-B91D-4BC0-94B5-FD1FC3BD8C09}"/>
    <cellStyle name="no dec 9 2" xfId="411" xr:uid="{FE3C6DD8-F035-4255-A267-EE2713B19CC7}"/>
    <cellStyle name="no dec 9 3" xfId="412" xr:uid="{5DCFA8F9-5CB1-45F0-B2AB-7CCB6E55C2A3}"/>
    <cellStyle name="no dec 9 4" xfId="413" xr:uid="{BE799E28-0EB4-4508-8952-93249AFEF142}"/>
    <cellStyle name="Normal" xfId="0" builtinId="0"/>
    <cellStyle name="Normal - Style1" xfId="414" xr:uid="{BAACCA86-B27A-42C8-97A7-F6044996AFFC}"/>
    <cellStyle name="Normal 1" xfId="415" xr:uid="{5A8423D1-1532-4C06-9BF5-DF70E93C863E}"/>
    <cellStyle name="Normal 10" xfId="416" xr:uid="{88CB95AC-9F63-42EE-A602-7F64B6FDC91C}"/>
    <cellStyle name="Normal 11" xfId="417" xr:uid="{B74873BC-03D1-43C9-A5EB-AB5E9EECAAF2}"/>
    <cellStyle name="Normal 12" xfId="418" xr:uid="{5D050FD7-12E9-4072-B60E-FE8D922D5024}"/>
    <cellStyle name="Normal 12 2" xfId="419" xr:uid="{E4418429-60D2-47E1-A7FE-09EC752111EC}"/>
    <cellStyle name="Normal 13" xfId="420" xr:uid="{B7550085-8ADB-479A-8FBB-21F82B9F5A65}"/>
    <cellStyle name="Normal 14" xfId="421" xr:uid="{4B3F5F39-21D4-401D-B97C-49C102C7BC0C}"/>
    <cellStyle name="Normal 15" xfId="422" xr:uid="{7B98B3FE-D4EF-45CA-A43E-8F31CFD40A35}"/>
    <cellStyle name="Normal 2" xfId="423" xr:uid="{E97E27B9-BDFF-460D-B97C-CDCBA4488025}"/>
    <cellStyle name="Normal 2 2" xfId="424" xr:uid="{C8B0F847-9421-4DF0-A28C-AD0F627CCF33}"/>
    <cellStyle name="Normal 2 2 2" xfId="425" xr:uid="{C3E964AC-BCDE-4F01-A2CB-C0756EA2F3E6}"/>
    <cellStyle name="Normal 2 3" xfId="426" xr:uid="{AFB1EE2D-ED76-4C3D-993A-56E76C8AC284}"/>
    <cellStyle name="Normal 2 4" xfId="427" xr:uid="{EFB7EBDC-EFBC-4A2C-8AC9-D8CE438CE109}"/>
    <cellStyle name="Normal 2 5" xfId="428" xr:uid="{A202B73B-6C42-44D3-899C-0BDE0A839999}"/>
    <cellStyle name="Normal 2 6" xfId="429" xr:uid="{28769BD0-3C9D-458A-B9F5-A7845ED6821F}"/>
    <cellStyle name="Normal 2 7" xfId="430" xr:uid="{4CD41294-546D-4B2A-B1C5-9206C3ACAAB8}"/>
    <cellStyle name="Normal 2_Adjustment Bureau (2)" xfId="431" xr:uid="{34A88238-C523-496A-8840-EF49AF2F9EBB}"/>
    <cellStyle name="Normal 3" xfId="432" xr:uid="{8F63A5B5-9EFE-459F-8C2C-46E5C6AD627E}"/>
    <cellStyle name="Normal 3 2" xfId="433" xr:uid="{19FC6958-B115-4EB2-911C-8D2426997027}"/>
    <cellStyle name="Normal 3 2 2" xfId="434" xr:uid="{5C58FCAF-2472-4B78-A5D9-B6AEDB6956FF}"/>
    <cellStyle name="Normal 3 3" xfId="435" xr:uid="{0CB77088-93CA-430C-B0DB-9678375C1CA7}"/>
    <cellStyle name="Normal 3_ADJUSTMENT BUREAU" xfId="436" xr:uid="{FC5B0753-C313-41C0-86C4-B72DB47ADB91}"/>
    <cellStyle name="Normal 4" xfId="437" xr:uid="{52AF696E-9F8A-46B4-8D5F-DE61F20136AC}"/>
    <cellStyle name="Normal 4 2" xfId="438" xr:uid="{001C357A-85B8-4313-ABD5-E6C5E8BDA86B}"/>
    <cellStyle name="Normal 5" xfId="439" xr:uid="{21792CC4-BBCD-40C1-B0A4-C98FFCF6A65B}"/>
    <cellStyle name="Normal 5 2" xfId="440" xr:uid="{0863D901-BBD9-481E-BAEA-64A0195EB9B6}"/>
    <cellStyle name="Normal 6" xfId="441" xr:uid="{B2BF68A0-FC1A-478B-A7D2-9626545BD3F4}"/>
    <cellStyle name="Normal 6 2" xfId="442" xr:uid="{F8364CBA-8390-4578-A945-EC2E7801D7FF}"/>
    <cellStyle name="Normal 6 2 2" xfId="443" xr:uid="{31E02475-B1F1-4523-A188-3F5699ED7EF6}"/>
    <cellStyle name="Normal 6 3" xfId="444" xr:uid="{06F7C820-1D84-47BB-9F1D-665E309253DD}"/>
    <cellStyle name="Normal 6_Xl0000068" xfId="445" xr:uid="{34406BC3-6C54-4336-871D-35DE70BD19D1}"/>
    <cellStyle name="Normal 7" xfId="446" xr:uid="{79AD28D7-680B-44CB-BCD6-8D7394DBD787}"/>
    <cellStyle name="Normal 8" xfId="447" xr:uid="{BDB408DB-BFEB-4898-8F39-F44F7FB9DF3D}"/>
    <cellStyle name="Normal 9" xfId="448" xr:uid="{56A3F1F8-B42C-4CE3-AE68-938478F423E2}"/>
    <cellStyle name="Percent [2]" xfId="449" xr:uid="{3A944984-D292-42BD-A79B-B0BB32CDB5AA}"/>
    <cellStyle name="Percent [2] 10" xfId="450" xr:uid="{78D33A5E-FDE0-4617-885C-971D2E272AA8}"/>
    <cellStyle name="Percent [2] 10 2" xfId="451" xr:uid="{0F106F95-865E-46F7-975A-BAAF2D56CF9F}"/>
    <cellStyle name="Percent [2] 10 2 2" xfId="452" xr:uid="{4053E98F-B307-4E31-A379-A114234D6BED}"/>
    <cellStyle name="Percent [2] 10 2 3" xfId="453" xr:uid="{45A74197-ABEB-4B60-92E4-D834F0DC47FB}"/>
    <cellStyle name="Percent [2] 10 2 4" xfId="454" xr:uid="{64494E5B-6EA5-45AE-BB68-1C95D4193EBD}"/>
    <cellStyle name="Percent [2] 11" xfId="455" xr:uid="{6B4A5186-2EEE-4B99-947A-9B80626E1094}"/>
    <cellStyle name="Percent [2] 11 2" xfId="456" xr:uid="{281C1DE6-1B2D-4D75-9BDE-C0CA1852E6E8}"/>
    <cellStyle name="Percent [2] 11 3" xfId="457" xr:uid="{9248920F-631F-4699-8BCC-FD28799292AC}"/>
    <cellStyle name="Percent [2] 11 4" xfId="458" xr:uid="{7E052926-3CD7-4330-8DB3-E42B8DB3444A}"/>
    <cellStyle name="Percent [2] 12" xfId="459" xr:uid="{3BDC8FF8-294F-474D-9672-91175CC8F85E}"/>
    <cellStyle name="Percent [2] 12 2" xfId="460" xr:uid="{1A6F76FC-2273-4C97-B823-FD3D1DA622FF}"/>
    <cellStyle name="Percent [2] 12 3" xfId="461" xr:uid="{64BB3FD7-85CB-4DE2-A12E-1AC57985ACFB}"/>
    <cellStyle name="Percent [2] 12 4" xfId="462" xr:uid="{54198A35-77BC-4ECA-A15E-A342BBFD5375}"/>
    <cellStyle name="Percent [2] 13" xfId="463" xr:uid="{2E935399-F1B0-40A9-9918-5704628C1AB9}"/>
    <cellStyle name="Percent [2] 13 2" xfId="464" xr:uid="{B3128C5A-A3A2-4C35-8D9C-1656C3D5D91B}"/>
    <cellStyle name="Percent [2] 13 3" xfId="465" xr:uid="{8FAF55E7-080B-48AC-BA14-F677CB6FD036}"/>
    <cellStyle name="Percent [2] 13 4" xfId="466" xr:uid="{847DE666-C8B5-42AD-9ACF-8B6862D9D8EE}"/>
    <cellStyle name="Percent [2] 14" xfId="467" xr:uid="{61E6765F-6D88-43C1-9B08-4A4D46A5A767}"/>
    <cellStyle name="Percent [2] 14 2" xfId="468" xr:uid="{D1CF11CC-402D-4D06-B2A3-FFB5819E772C}"/>
    <cellStyle name="Percent [2] 14 3" xfId="469" xr:uid="{AF9D2B23-C015-4179-B8F4-BE28E80EEBFD}"/>
    <cellStyle name="Percent [2] 14 4" xfId="470" xr:uid="{14ECD193-FAD3-4854-B978-7CC9DE887285}"/>
    <cellStyle name="Percent [2] 15" xfId="471" xr:uid="{3FF83DA4-2241-4E9B-A0AE-CE92CD24DA50}"/>
    <cellStyle name="Percent [2] 15 2" xfId="472" xr:uid="{48C7A641-AA39-41D1-94CE-48EE2A693256}"/>
    <cellStyle name="Percent [2] 15 3" xfId="473" xr:uid="{F1715EB2-ADF6-421A-B2E6-74F8BE7A45C2}"/>
    <cellStyle name="Percent [2] 15 4" xfId="474" xr:uid="{A99326FD-4DCE-4CAF-9D8F-7F0A77CEEBA8}"/>
    <cellStyle name="Percent [2] 16" xfId="475" xr:uid="{52EDFE62-0FA9-4749-96F9-D76EB803949E}"/>
    <cellStyle name="Percent [2] 16 2" xfId="476" xr:uid="{6165ECDA-2020-4195-9C29-972BAEA84B38}"/>
    <cellStyle name="Percent [2] 16 3" xfId="477" xr:uid="{C565F726-6006-4545-98A9-E7078B5270F3}"/>
    <cellStyle name="Percent [2] 16 4" xfId="478" xr:uid="{72F6F67C-C6F4-43B1-8069-F6E41E86B90B}"/>
    <cellStyle name="Percent [2] 17" xfId="479" xr:uid="{5C841CDB-48EC-4621-BBDE-E403F069FB90}"/>
    <cellStyle name="Percent [2] 17 2" xfId="480" xr:uid="{515D0C06-45D7-491B-9594-7BFE350AE34A}"/>
    <cellStyle name="Percent [2] 17 3" xfId="481" xr:uid="{239BD6F0-2B00-4BF6-A4F1-D23661882E0A}"/>
    <cellStyle name="Percent [2] 17 4" xfId="482" xr:uid="{25552A72-C802-4DEB-8E1A-32466748E30A}"/>
    <cellStyle name="Percent [2] 18" xfId="483" xr:uid="{16292232-655A-41E3-B4E8-9192F87F43B7}"/>
    <cellStyle name="Percent [2] 18 2" xfId="484" xr:uid="{0F514C8B-2C1F-47CA-B36C-6B25B7AFBEDA}"/>
    <cellStyle name="Percent [2] 18 3" xfId="485" xr:uid="{1D6FA0D1-DB70-41BF-A7CD-F9E5F7CD4D43}"/>
    <cellStyle name="Percent [2] 18 4" xfId="486" xr:uid="{D7367483-694E-4D1C-884A-D31302B9F317}"/>
    <cellStyle name="Percent [2] 19" xfId="487" xr:uid="{74E37611-3677-4728-9423-81771FC23E72}"/>
    <cellStyle name="Percent [2] 19 2" xfId="488" xr:uid="{6771057E-BE52-4F4E-B8B7-1627DFBE7861}"/>
    <cellStyle name="Percent [2] 19 3" xfId="489" xr:uid="{BF9F17BD-376E-48AD-821E-B4533FC1AC7B}"/>
    <cellStyle name="Percent [2] 19 4" xfId="490" xr:uid="{E696B213-38BF-41AF-B1EB-554D01EA7C3E}"/>
    <cellStyle name="Percent [2] 2" xfId="491" xr:uid="{B7BA658E-CA16-4F70-9BD0-B1A4C4643F04}"/>
    <cellStyle name="Percent [2] 2 10" xfId="492" xr:uid="{1BE84F80-68B2-46D8-A82C-C2C959E80F7A}"/>
    <cellStyle name="Percent [2] 2 10 2" xfId="493" xr:uid="{8FAEC540-BFAD-4D6D-B4E6-D78749632F0E}"/>
    <cellStyle name="Percent [2] 2 10 3" xfId="494" xr:uid="{1352C4D6-EB9A-42F6-89D7-6402FC5FB5B7}"/>
    <cellStyle name="Percent [2] 2 10 4" xfId="495" xr:uid="{F0838CB9-DA13-409D-A444-53799481F800}"/>
    <cellStyle name="Percent [2] 2 11" xfId="496" xr:uid="{3746DD1F-C508-4C9C-BB87-41DD6FB43923}"/>
    <cellStyle name="Percent [2] 2 11 2" xfId="497" xr:uid="{C7BA8B6A-A079-4650-888A-3613D3A07E0C}"/>
    <cellStyle name="Percent [2] 2 11 3" xfId="498" xr:uid="{4578BF0D-196B-4170-B374-1D6B58E94804}"/>
    <cellStyle name="Percent [2] 2 11 4" xfId="499" xr:uid="{D587757B-CDC6-448E-8A8D-6CB34EF31570}"/>
    <cellStyle name="Percent [2] 2 12" xfId="500" xr:uid="{4CA07580-8C76-4EC7-BCAC-063D9AA26DC4}"/>
    <cellStyle name="Percent [2] 2 12 2" xfId="501" xr:uid="{F8B724A2-6621-447A-9501-35FB0E76CC3D}"/>
    <cellStyle name="Percent [2] 2 12 3" xfId="502" xr:uid="{65BA62CE-7829-42A1-867A-FA723A150E9B}"/>
    <cellStyle name="Percent [2] 2 12 4" xfId="503" xr:uid="{93A558A3-8982-4916-B988-0EDB5096BB30}"/>
    <cellStyle name="Percent [2] 2 13" xfId="504" xr:uid="{42674020-69DA-47B9-A586-DC60C0BD4356}"/>
    <cellStyle name="Percent [2] 2 13 2" xfId="505" xr:uid="{EFF3A3A7-943B-450E-B513-B33CC566789A}"/>
    <cellStyle name="Percent [2] 2 13 3" xfId="506" xr:uid="{0B448C6D-B1CE-4E20-A62E-198F90A58118}"/>
    <cellStyle name="Percent [2] 2 13 4" xfId="507" xr:uid="{5997395D-D77C-4D4F-B92E-08AD18C6607B}"/>
    <cellStyle name="Percent [2] 2 14" xfId="508" xr:uid="{8D0DD340-6D75-4BBA-9962-BD56D3362865}"/>
    <cellStyle name="Percent [2] 2 14 2" xfId="509" xr:uid="{8BD05F83-C246-4156-AC8B-35748D2D8696}"/>
    <cellStyle name="Percent [2] 2 14 3" xfId="510" xr:uid="{552A49AE-487A-46C7-B416-770CDF39134D}"/>
    <cellStyle name="Percent [2] 2 14 4" xfId="511" xr:uid="{162990B6-958B-4288-B1C8-F19335EEB137}"/>
    <cellStyle name="Percent [2] 2 15" xfId="512" xr:uid="{B350647B-ECA3-4F9B-BCE2-1B8ED84EB4E2}"/>
    <cellStyle name="Percent [2] 2 15 2" xfId="513" xr:uid="{E2EF5528-4691-48EB-A715-95B492388D40}"/>
    <cellStyle name="Percent [2] 2 15 3" xfId="514" xr:uid="{18060BD4-3742-454B-875D-7506F08652FA}"/>
    <cellStyle name="Percent [2] 2 15 4" xfId="515" xr:uid="{3C4485CA-584B-45A4-AD67-36195FD46F2E}"/>
    <cellStyle name="Percent [2] 2 16" xfId="516" xr:uid="{D11CB407-7E46-4DF7-9B57-2131321C2D05}"/>
    <cellStyle name="Percent [2] 2 16 2" xfId="517" xr:uid="{274450B8-1211-4CDC-83F7-DEF95F937F1E}"/>
    <cellStyle name="Percent [2] 2 16 3" xfId="518" xr:uid="{698C8C74-6469-43C3-B503-A1B101DDBDBA}"/>
    <cellStyle name="Percent [2] 2 16 4" xfId="519" xr:uid="{19B73CAC-4676-4752-AB8A-AA0DB72F8735}"/>
    <cellStyle name="Percent [2] 2 2" xfId="520" xr:uid="{5CC86ED9-1A64-400A-9F6A-5BC6C2D8E0BD}"/>
    <cellStyle name="Percent [2] 2 2 2" xfId="521" xr:uid="{7BCE669F-C649-4ABF-9C48-F9087B7C39D8}"/>
    <cellStyle name="Percent [2] 2 2 3" xfId="522" xr:uid="{0BC1A62F-7075-4853-B294-EE4E664FC0F3}"/>
    <cellStyle name="Percent [2] 2 2 4" xfId="523" xr:uid="{BE92A782-0A94-492F-BF4E-F8CD8AD69D26}"/>
    <cellStyle name="Percent [2] 2 3" xfId="524" xr:uid="{3D25E640-3FD2-480B-9B86-C1A17D13E525}"/>
    <cellStyle name="Percent [2] 2 3 2" xfId="525" xr:uid="{64FC9B5F-4C02-4360-96C3-3B98CABCB344}"/>
    <cellStyle name="Percent [2] 2 3 3" xfId="526" xr:uid="{06373E8F-06FD-4011-911F-C61DF287C6DE}"/>
    <cellStyle name="Percent [2] 2 3 4" xfId="527" xr:uid="{422C54B1-A268-4E79-8ACA-DC90D591BDC4}"/>
    <cellStyle name="Percent [2] 2 4" xfId="528" xr:uid="{A570EFAC-9581-4271-A269-D8D09AD499F9}"/>
    <cellStyle name="Percent [2] 2 4 2" xfId="529" xr:uid="{726C03EF-1403-4B34-83A8-51B4E318D2B4}"/>
    <cellStyle name="Percent [2] 2 4 3" xfId="530" xr:uid="{36C97A1B-F42D-4393-86EC-E77A202C54E0}"/>
    <cellStyle name="Percent [2] 2 4 4" xfId="531" xr:uid="{C1FE6BBC-C793-426D-995A-162840EAADE2}"/>
    <cellStyle name="Percent [2] 2 5" xfId="532" xr:uid="{B16C62E4-68D4-49F4-97CB-C83EC325F457}"/>
    <cellStyle name="Percent [2] 2 5 2" xfId="533" xr:uid="{2386DA7F-E877-40B7-AF1F-437F9BABDE8A}"/>
    <cellStyle name="Percent [2] 2 5 3" xfId="534" xr:uid="{B75F29C3-A310-45A1-B9F2-9E1BFDBD3D17}"/>
    <cellStyle name="Percent [2] 2 5 4" xfId="535" xr:uid="{E94E7F9D-7604-4D36-8985-D3986828357B}"/>
    <cellStyle name="Percent [2] 2 6" xfId="536" xr:uid="{B5E7C20A-1FF3-4248-B9AA-554B08F89FAF}"/>
    <cellStyle name="Percent [2] 2 6 2" xfId="537" xr:uid="{6DB463E0-2844-499D-AB24-351824FE4BA8}"/>
    <cellStyle name="Percent [2] 2 6 3" xfId="538" xr:uid="{9B1BCAA8-C97F-4A46-8BA1-C5AB46B8ED83}"/>
    <cellStyle name="Percent [2] 2 6 4" xfId="539" xr:uid="{FF970DC6-177A-4C10-B8FE-7ED28B74AB5E}"/>
    <cellStyle name="Percent [2] 2 7" xfId="540" xr:uid="{A85A537D-BE1A-42DC-8890-D8CD5ACD1E05}"/>
    <cellStyle name="Percent [2] 2 7 2" xfId="541" xr:uid="{61D99652-F18A-41D4-9B0E-10BF9CCEA08F}"/>
    <cellStyle name="Percent [2] 2 7 3" xfId="542" xr:uid="{1F233206-82AB-4964-B8C5-1EB8138F66FA}"/>
    <cellStyle name="Percent [2] 2 7 4" xfId="543" xr:uid="{369440A1-4117-4660-9459-021BA777C1FD}"/>
    <cellStyle name="Percent [2] 2 8" xfId="544" xr:uid="{02ABA67D-629D-4DCA-8BCF-5EBC66B6794A}"/>
    <cellStyle name="Percent [2] 2 8 2" xfId="545" xr:uid="{8D3DC7D1-5D45-4AD8-828D-E87F92ECAA18}"/>
    <cellStyle name="Percent [2] 2 8 3" xfId="546" xr:uid="{C9AF760F-EB1C-4432-8193-DD33F73761E6}"/>
    <cellStyle name="Percent [2] 2 8 4" xfId="547" xr:uid="{CFB86C79-728A-45F5-826F-DECA498B40C9}"/>
    <cellStyle name="Percent [2] 2 9" xfId="548" xr:uid="{5C39BA83-BDFA-4D37-ADCC-7E7FD5EFED70}"/>
    <cellStyle name="Percent [2] 2 9 2" xfId="549" xr:uid="{6A9A3D43-E3DC-405A-9347-C0E597252F06}"/>
    <cellStyle name="Percent [2] 2 9 3" xfId="550" xr:uid="{97531C7E-0688-4653-8240-B8EA4471BB7D}"/>
    <cellStyle name="Percent [2] 2 9 4" xfId="551" xr:uid="{E8691E7A-16F3-4A1E-80C6-3824957A5A05}"/>
    <cellStyle name="Percent [2] 20" xfId="552" xr:uid="{0260F1C0-51E4-48D0-B0A6-C891F8207066}"/>
    <cellStyle name="Percent [2] 20 2" xfId="553" xr:uid="{9B2DB0D3-E239-49DB-8793-C1E9130E1A22}"/>
    <cellStyle name="Percent [2] 20 3" xfId="554" xr:uid="{6DA612A4-0F15-4366-B086-8F3C5703C264}"/>
    <cellStyle name="Percent [2] 20 4" xfId="555" xr:uid="{7A722BC1-5189-452F-AA92-A0C35AB04B14}"/>
    <cellStyle name="Percent [2] 21" xfId="556" xr:uid="{390B0293-891D-44CF-8CEC-5838A94C94E9}"/>
    <cellStyle name="Percent [2] 22" xfId="557" xr:uid="{C19C0BBD-8235-46B9-97C0-004AC846611B}"/>
    <cellStyle name="Percent [2] 23" xfId="558" xr:uid="{646C2E4F-3433-481A-AF16-F4F6BDB619D2}"/>
    <cellStyle name="Percent [2] 24" xfId="559" xr:uid="{388CE134-2A39-47A5-84E9-AFDD89B3BAB6}"/>
    <cellStyle name="Percent [2] 25" xfId="560" xr:uid="{E17E3EBA-FCD7-4D71-97DC-2569EB86C734}"/>
    <cellStyle name="Percent [2] 26" xfId="561" xr:uid="{42A2ED8C-5298-4D5D-82E4-485FCF0859DE}"/>
    <cellStyle name="Percent [2] 27" xfId="562" xr:uid="{F2CACAAA-6EE0-40E7-8D97-C9ED69A27755}"/>
    <cellStyle name="Percent [2] 28" xfId="563" xr:uid="{132C4B7C-40B0-4F67-93D1-D097AB77D4BC}"/>
    <cellStyle name="Percent [2] 29" xfId="564" xr:uid="{4750A115-6781-4613-BC5C-F12566D95B45}"/>
    <cellStyle name="Percent [2] 3" xfId="565" xr:uid="{A8CF0EAA-5CB1-4C25-A1FE-C130844A1196}"/>
    <cellStyle name="Percent [2] 3 10" xfId="566" xr:uid="{280C356F-6D6A-400A-9B97-24E4D9AF0AB9}"/>
    <cellStyle name="Percent [2] 3 10 2" xfId="567" xr:uid="{F2A0824E-52FC-4EA5-9315-7F695D0333B3}"/>
    <cellStyle name="Percent [2] 3 10 3" xfId="568" xr:uid="{6ACF075B-983A-4FDC-AEBC-DE1E21B9FAD8}"/>
    <cellStyle name="Percent [2] 3 10 4" xfId="569" xr:uid="{61B25803-B16C-4CFF-A5F5-0987F7C1E7CA}"/>
    <cellStyle name="Percent [2] 3 11" xfId="570" xr:uid="{3D4EA7D5-4E5F-4000-B6F7-BA2D3DDF9ED1}"/>
    <cellStyle name="Percent [2] 3 11 2" xfId="571" xr:uid="{AC959FEE-5D6F-4077-9BCF-80AD75F0E0F2}"/>
    <cellStyle name="Percent [2] 3 11 3" xfId="572" xr:uid="{65CB306C-F3B8-47A4-B563-502B54C16972}"/>
    <cellStyle name="Percent [2] 3 11 4" xfId="573" xr:uid="{0791375F-4AB9-4D99-A9E6-197B32939DB4}"/>
    <cellStyle name="Percent [2] 3 12" xfId="574" xr:uid="{A9A7ACA6-B600-41C6-B597-5D3E302F6CB8}"/>
    <cellStyle name="Percent [2] 3 12 2" xfId="575" xr:uid="{873C41B8-DEE4-4F7A-95F9-D6828D06E792}"/>
    <cellStyle name="Percent [2] 3 12 3" xfId="576" xr:uid="{997CBEF3-7807-4DA1-A6A6-92575736CBBA}"/>
    <cellStyle name="Percent [2] 3 12 4" xfId="577" xr:uid="{7D414C7D-AFDD-4045-BDAF-97BA7804D28F}"/>
    <cellStyle name="Percent [2] 3 13" xfId="578" xr:uid="{6C237F2E-AC5E-43A2-B690-1616F8DA4F91}"/>
    <cellStyle name="Percent [2] 3 13 2" xfId="579" xr:uid="{22D3BF66-7927-4F97-8C94-97431A2F949B}"/>
    <cellStyle name="Percent [2] 3 13 3" xfId="580" xr:uid="{40CF17E7-6726-44EC-89EF-15FFD02E7EDD}"/>
    <cellStyle name="Percent [2] 3 13 4" xfId="581" xr:uid="{6EB59E31-AC9E-46E3-A24D-20A7DABDFAE8}"/>
    <cellStyle name="Percent [2] 3 14" xfId="582" xr:uid="{78B1A232-EEAE-47DF-B353-1CDF811C94D2}"/>
    <cellStyle name="Percent [2] 3 14 2" xfId="583" xr:uid="{5B5293F1-9560-40B7-87FF-A7D36A94C01E}"/>
    <cellStyle name="Percent [2] 3 14 3" xfId="584" xr:uid="{E8B85E8A-DC5E-49FD-9F0B-A2DB50FDF2C3}"/>
    <cellStyle name="Percent [2] 3 14 4" xfId="585" xr:uid="{D7975459-2667-4536-885A-CB794086741D}"/>
    <cellStyle name="Percent [2] 3 15" xfId="586" xr:uid="{7BB4E698-4BF0-4CE6-AEC4-F748B6C8536D}"/>
    <cellStyle name="Percent [2] 3 15 2" xfId="587" xr:uid="{D06E51CB-06C3-42BC-9814-B61070232BD4}"/>
    <cellStyle name="Percent [2] 3 15 3" xfId="588" xr:uid="{CA3EA0A4-A52F-42A3-A92A-E9E25155E204}"/>
    <cellStyle name="Percent [2] 3 15 4" xfId="589" xr:uid="{88EC497B-6586-4E67-A0A5-5A21E73E76B4}"/>
    <cellStyle name="Percent [2] 3 16" xfId="590" xr:uid="{152488F9-AAAF-4B5A-9034-77B51175FEA6}"/>
    <cellStyle name="Percent [2] 3 16 2" xfId="591" xr:uid="{840841BB-DAA1-496F-B374-D670565C7F2B}"/>
    <cellStyle name="Percent [2] 3 16 3" xfId="592" xr:uid="{2E4B583E-1D57-41E6-85ED-D1790F0567D4}"/>
    <cellStyle name="Percent [2] 3 16 4" xfId="593" xr:uid="{93E42638-7C02-4D33-9DCC-8E3BAC26E0A6}"/>
    <cellStyle name="Percent [2] 3 2" xfId="594" xr:uid="{1A0B8B83-4490-4A3A-9981-3F5AE0FE8A79}"/>
    <cellStyle name="Percent [2] 3 2 2" xfId="595" xr:uid="{D2EABBBC-7581-436B-B4E9-10BADAB258D5}"/>
    <cellStyle name="Percent [2] 3 2 3" xfId="596" xr:uid="{F5093982-1F60-4FBE-B5FB-55B7BEC46B11}"/>
    <cellStyle name="Percent [2] 3 2 4" xfId="597" xr:uid="{A1502A4D-2A73-49EC-9A68-D4339F8E32DD}"/>
    <cellStyle name="Percent [2] 3 3" xfId="598" xr:uid="{4171EE0D-9865-4BD2-AF54-A036FE5D2571}"/>
    <cellStyle name="Percent [2] 3 3 2" xfId="599" xr:uid="{BA8AC27A-F554-4B04-8D46-64B47EA5529C}"/>
    <cellStyle name="Percent [2] 3 3 3" xfId="600" xr:uid="{A6B47274-9B6C-4CBC-B477-6CD4C3BACF8D}"/>
    <cellStyle name="Percent [2] 3 3 4" xfId="601" xr:uid="{18B743DD-0EBC-4189-A966-EA2ECF93405C}"/>
    <cellStyle name="Percent [2] 3 4" xfId="602" xr:uid="{03F7D6BF-C79B-4554-BAC7-A5FA59CEF049}"/>
    <cellStyle name="Percent [2] 3 4 2" xfId="603" xr:uid="{3DBD08A7-41F0-443E-9083-122804E353C7}"/>
    <cellStyle name="Percent [2] 3 4 3" xfId="604" xr:uid="{6A606363-6509-4F36-AAE4-C14EEAE58189}"/>
    <cellStyle name="Percent [2] 3 4 4" xfId="605" xr:uid="{E3E09270-C6FB-4536-98F9-2BD1EBE6A7E3}"/>
    <cellStyle name="Percent [2] 3 5" xfId="606" xr:uid="{109332C0-1406-4ACA-B987-2C9DF669DE25}"/>
    <cellStyle name="Percent [2] 3 5 2" xfId="607" xr:uid="{06D59D83-3134-4707-8E26-7CE210AB68DA}"/>
    <cellStyle name="Percent [2] 3 5 3" xfId="608" xr:uid="{598B4116-26A3-46B7-825E-26B5BA59AA7E}"/>
    <cellStyle name="Percent [2] 3 5 4" xfId="609" xr:uid="{64701991-5C36-4AE8-B6CF-4F57FB249DB9}"/>
    <cellStyle name="Percent [2] 3 6" xfId="610" xr:uid="{10135779-335E-42BA-86F1-B236338FEB8E}"/>
    <cellStyle name="Percent [2] 3 6 2" xfId="611" xr:uid="{08765CED-98F4-4870-B77E-16CE451171CD}"/>
    <cellStyle name="Percent [2] 3 6 3" xfId="612" xr:uid="{B3F37E73-1331-4197-A901-91751FCD92A0}"/>
    <cellStyle name="Percent [2] 3 6 4" xfId="613" xr:uid="{8AEB16E7-7DD2-4D1A-A76F-06E98A181BA7}"/>
    <cellStyle name="Percent [2] 3 7" xfId="614" xr:uid="{FE39FB4F-55F0-4706-884C-C59C6F34545A}"/>
    <cellStyle name="Percent [2] 3 7 2" xfId="615" xr:uid="{21E5A1B5-36AF-49B8-AADE-3819C7E72F72}"/>
    <cellStyle name="Percent [2] 3 7 3" xfId="616" xr:uid="{1F47E982-CE7D-4018-90EB-32CB49A44E77}"/>
    <cellStyle name="Percent [2] 3 7 4" xfId="617" xr:uid="{2E64C5C0-EA41-47C8-AA66-2C3730B8DF30}"/>
    <cellStyle name="Percent [2] 3 8" xfId="618" xr:uid="{148CA468-F610-4526-846D-F066765A2527}"/>
    <cellStyle name="Percent [2] 3 8 2" xfId="619" xr:uid="{75B9DA58-172F-4CF5-8521-E3D066B85B16}"/>
    <cellStyle name="Percent [2] 3 8 3" xfId="620" xr:uid="{80CE306A-B938-4B49-AC6D-AC7C73BCA1C9}"/>
    <cellStyle name="Percent [2] 3 8 4" xfId="621" xr:uid="{A6B4CE3A-9A72-4C45-81D1-CFC965EBDA9B}"/>
    <cellStyle name="Percent [2] 3 9" xfId="622" xr:uid="{AE7AF8A5-753E-4382-B34A-4622041F43AC}"/>
    <cellStyle name="Percent [2] 3 9 2" xfId="623" xr:uid="{37A37228-5009-46A5-83F6-3DC0CD8FE51F}"/>
    <cellStyle name="Percent [2] 3 9 3" xfId="624" xr:uid="{905EF3B0-1ED4-4EA0-BF15-9D7863BB1602}"/>
    <cellStyle name="Percent [2] 3 9 4" xfId="625" xr:uid="{DE305742-CDF4-4DEB-96E9-EAE07623BAAF}"/>
    <cellStyle name="Percent [2] 30" xfId="626" xr:uid="{01E123CB-6634-4A21-A1AF-647C93D419A3}"/>
    <cellStyle name="Percent [2] 31" xfId="627" xr:uid="{906DF2F0-5149-422B-AD7E-993F4654FBA9}"/>
    <cellStyle name="Percent [2] 32" xfId="628" xr:uid="{72DC8450-A60E-4075-8FC1-F7C07DB580AB}"/>
    <cellStyle name="Percent [2] 4" xfId="629" xr:uid="{F05EB591-7B72-44D5-8C3B-01D5F5BB28D9}"/>
    <cellStyle name="Percent [2] 4 10" xfId="630" xr:uid="{B540801B-14FF-479D-B960-E0D8C81EF014}"/>
    <cellStyle name="Percent [2] 4 10 2" xfId="631" xr:uid="{37131F72-D48F-4927-9E12-E1736DF3A3AE}"/>
    <cellStyle name="Percent [2] 4 10 3" xfId="632" xr:uid="{CF1B6BCD-DA90-431E-9049-DA6D1B8A8FC6}"/>
    <cellStyle name="Percent [2] 4 10 4" xfId="633" xr:uid="{28C1A77B-6377-42A3-8E54-67C3329A8A33}"/>
    <cellStyle name="Percent [2] 4 11" xfId="634" xr:uid="{336DA17B-BBB3-4224-BF9C-D657D0E9130C}"/>
    <cellStyle name="Percent [2] 4 11 2" xfId="635" xr:uid="{18A43F03-2B9A-48CA-AFFC-8CCE48B8C659}"/>
    <cellStyle name="Percent [2] 4 11 3" xfId="636" xr:uid="{C2CA0ACC-D32B-4352-91E2-455076A6AEB1}"/>
    <cellStyle name="Percent [2] 4 11 4" xfId="637" xr:uid="{34B9DB69-2304-4662-B3C5-F45D73AF2A72}"/>
    <cellStyle name="Percent [2] 4 12" xfId="638" xr:uid="{8304C8F8-6E8C-4BB4-B2D0-042A1D8774B6}"/>
    <cellStyle name="Percent [2] 4 12 2" xfId="639" xr:uid="{B7DD26AC-F437-4759-877F-A4510924E44C}"/>
    <cellStyle name="Percent [2] 4 12 3" xfId="640" xr:uid="{7E9A8F8F-EE93-4ECB-B661-A67042761CEC}"/>
    <cellStyle name="Percent [2] 4 12 4" xfId="641" xr:uid="{5170BB89-7C23-4453-A9A7-A845F6596D88}"/>
    <cellStyle name="Percent [2] 4 13" xfId="642" xr:uid="{999B5D20-1DF4-4035-9DBA-8C9394F0688D}"/>
    <cellStyle name="Percent [2] 4 13 2" xfId="643" xr:uid="{2EF09CDF-3E18-4B72-8583-BAF2E4E4D4E5}"/>
    <cellStyle name="Percent [2] 4 13 3" xfId="644" xr:uid="{9A5B8D06-1771-4049-8252-1546FBC50B4A}"/>
    <cellStyle name="Percent [2] 4 13 4" xfId="645" xr:uid="{25E27919-CF16-4A1A-B628-8A17A4416047}"/>
    <cellStyle name="Percent [2] 4 14" xfId="646" xr:uid="{B8EBC366-B1AE-4584-98A9-5F028014ED3A}"/>
    <cellStyle name="Percent [2] 4 14 2" xfId="647" xr:uid="{3AD7689A-74F2-4D1B-BD4F-1077F609CC7C}"/>
    <cellStyle name="Percent [2] 4 14 3" xfId="648" xr:uid="{4A7012FF-74D7-461D-BA00-E0C7F1C63ADE}"/>
    <cellStyle name="Percent [2] 4 14 4" xfId="649" xr:uid="{4573CC6C-FE2E-470A-A49A-9F164CBC63E5}"/>
    <cellStyle name="Percent [2] 4 15" xfId="650" xr:uid="{4D3A7032-36DA-46CF-A10B-58EE734D2A07}"/>
    <cellStyle name="Percent [2] 4 15 2" xfId="651" xr:uid="{6A06176F-F7E8-47B9-B97C-50BFFC99B0E9}"/>
    <cellStyle name="Percent [2] 4 15 3" xfId="652" xr:uid="{2D35CF84-3D42-4BC1-AA5F-424CB70A338C}"/>
    <cellStyle name="Percent [2] 4 15 4" xfId="653" xr:uid="{E22199A8-1207-4B00-8396-F29DD63E32FE}"/>
    <cellStyle name="Percent [2] 4 16" xfId="654" xr:uid="{02D055EC-1A79-498A-A42E-CC038BD61732}"/>
    <cellStyle name="Percent [2] 4 16 2" xfId="655" xr:uid="{40D624A1-727A-412C-8D02-44FCA6CF0259}"/>
    <cellStyle name="Percent [2] 4 16 3" xfId="656" xr:uid="{A17F888B-4988-45E7-BD76-EAC655B102D8}"/>
    <cellStyle name="Percent [2] 4 16 4" xfId="657" xr:uid="{E3CC2022-DAD5-4FB4-ACE3-2B1F39DBEC1B}"/>
    <cellStyle name="Percent [2] 4 2" xfId="658" xr:uid="{F1155D92-3B5A-4B6F-9D3C-65CF41668B6A}"/>
    <cellStyle name="Percent [2] 4 2 2" xfId="659" xr:uid="{3C3D8BD8-5411-4332-BF9F-114108532B01}"/>
    <cellStyle name="Percent [2] 4 2 3" xfId="660" xr:uid="{E325F9F4-855B-4430-A002-A961D07AF8FE}"/>
    <cellStyle name="Percent [2] 4 2 4" xfId="661" xr:uid="{48C36CB6-AA48-4681-82B9-5FCD7268A686}"/>
    <cellStyle name="Percent [2] 4 3" xfId="662" xr:uid="{B03F3A47-70C0-4394-AAB7-CB2326FB95AB}"/>
    <cellStyle name="Percent [2] 4 3 2" xfId="663" xr:uid="{2AE81C80-9ED8-40B2-B290-48573A06750F}"/>
    <cellStyle name="Percent [2] 4 3 3" xfId="664" xr:uid="{4D397972-862A-433B-A6F0-5FDAA0C4F1DC}"/>
    <cellStyle name="Percent [2] 4 3 4" xfId="665" xr:uid="{107AF63D-F506-428D-A6D1-62F82B6DE17D}"/>
    <cellStyle name="Percent [2] 4 4" xfId="666" xr:uid="{46E43300-A635-4C30-8A62-F9245D662D72}"/>
    <cellStyle name="Percent [2] 4 4 2" xfId="667" xr:uid="{9F445E85-EEAD-4A94-8E6E-E1D07785628E}"/>
    <cellStyle name="Percent [2] 4 4 3" xfId="668" xr:uid="{95BFD10C-6D63-465B-BEEA-571BE666A83E}"/>
    <cellStyle name="Percent [2] 4 4 4" xfId="669" xr:uid="{58DC2CE5-380B-4AF8-9EAD-618C5BB1C090}"/>
    <cellStyle name="Percent [2] 4 5" xfId="670" xr:uid="{E645DFA3-9267-47F8-93D8-77909571DA67}"/>
    <cellStyle name="Percent [2] 4 5 2" xfId="671" xr:uid="{720DAF71-B96E-406F-938D-C1209ED10D06}"/>
    <cellStyle name="Percent [2] 4 5 3" xfId="672" xr:uid="{3ED69FD0-D8C2-460C-9E46-B34249162F44}"/>
    <cellStyle name="Percent [2] 4 5 4" xfId="673" xr:uid="{3B5CFEF3-A1DD-4051-BB9A-F83E0ACF932F}"/>
    <cellStyle name="Percent [2] 4 6" xfId="674" xr:uid="{BC0018F2-9497-4B22-A08A-48985D100691}"/>
    <cellStyle name="Percent [2] 4 6 2" xfId="675" xr:uid="{18E06DD3-E239-45ED-BD84-B030BAC4F78F}"/>
    <cellStyle name="Percent [2] 4 6 3" xfId="676" xr:uid="{EB6533BD-56BB-4331-920C-EE1BFCBE5444}"/>
    <cellStyle name="Percent [2] 4 6 4" xfId="677" xr:uid="{D50FFBC4-C467-456C-9637-384C9D0F7CD3}"/>
    <cellStyle name="Percent [2] 4 7" xfId="678" xr:uid="{6E0AFB27-3D81-4A18-BC38-C0F60C93AD29}"/>
    <cellStyle name="Percent [2] 4 7 2" xfId="679" xr:uid="{28055847-9A3B-4672-B972-AC7CEF62BD1D}"/>
    <cellStyle name="Percent [2] 4 7 3" xfId="680" xr:uid="{D46B457E-4CE3-4E2A-8692-0E78E984F911}"/>
    <cellStyle name="Percent [2] 4 7 4" xfId="681" xr:uid="{087B0362-ABE0-4668-B2D5-038D68CC9B80}"/>
    <cellStyle name="Percent [2] 4 8" xfId="682" xr:uid="{7F0CFB98-A53B-4180-9765-2FAAAB3EEBB8}"/>
    <cellStyle name="Percent [2] 4 8 2" xfId="683" xr:uid="{77C8310D-444E-49B6-B048-927653F2D3CE}"/>
    <cellStyle name="Percent [2] 4 8 3" xfId="684" xr:uid="{080336B5-C76A-4257-B42E-1E552E8BDC65}"/>
    <cellStyle name="Percent [2] 4 8 4" xfId="685" xr:uid="{148FB7A5-7992-4EF9-977D-C41F7FC16433}"/>
    <cellStyle name="Percent [2] 4 9" xfId="686" xr:uid="{411CF311-67B3-46CF-8B88-0DCF9D473E52}"/>
    <cellStyle name="Percent [2] 4 9 2" xfId="687" xr:uid="{E72C0AF1-CDC5-478D-AC63-F0CBAB620CD0}"/>
    <cellStyle name="Percent [2] 4 9 3" xfId="688" xr:uid="{F98224A8-344F-4996-8084-7A675E0DCD84}"/>
    <cellStyle name="Percent [2] 4 9 4" xfId="689" xr:uid="{6E7575D0-2B90-4C90-893F-2061745458D7}"/>
    <cellStyle name="Percent [2] 5" xfId="690" xr:uid="{68FD4401-2A5E-4CAB-8F87-60AD9D50EAFF}"/>
    <cellStyle name="Percent [2] 5 10" xfId="691" xr:uid="{BB94FC01-777E-4E0C-ACD2-C652413E9A83}"/>
    <cellStyle name="Percent [2] 5 10 2" xfId="692" xr:uid="{D894770C-3007-4396-99AF-0BA9FEAA99B6}"/>
    <cellStyle name="Percent [2] 5 10 3" xfId="693" xr:uid="{71208323-CF58-4828-8F8D-7B4143F3E886}"/>
    <cellStyle name="Percent [2] 5 10 4" xfId="694" xr:uid="{A6E9A09A-E2B0-405E-8D04-675B94F3E58C}"/>
    <cellStyle name="Percent [2] 5 11" xfId="695" xr:uid="{53C6FE33-D41D-4E9C-BC2F-C9E4C6026BC5}"/>
    <cellStyle name="Percent [2] 5 11 2" xfId="696" xr:uid="{A45E66C2-FFEC-4FCF-B481-2AF32CE49A06}"/>
    <cellStyle name="Percent [2] 5 11 3" xfId="697" xr:uid="{3D9AEC73-ABCE-4E42-9ED5-90F19612E2DB}"/>
    <cellStyle name="Percent [2] 5 11 4" xfId="698" xr:uid="{2D654443-6D54-4394-B341-0ED7D6CE4313}"/>
    <cellStyle name="Percent [2] 5 12" xfId="699" xr:uid="{FF91050C-95AD-4757-A10E-FC3033D8C977}"/>
    <cellStyle name="Percent [2] 5 12 2" xfId="700" xr:uid="{A3696A06-30DF-4F00-B786-D8CFECE25F7A}"/>
    <cellStyle name="Percent [2] 5 12 3" xfId="701" xr:uid="{17502C82-B65B-473C-B168-04FF0E521555}"/>
    <cellStyle name="Percent [2] 5 12 4" xfId="702" xr:uid="{B5495505-9146-4F8F-A098-7D24071FF11C}"/>
    <cellStyle name="Percent [2] 5 13" xfId="703" xr:uid="{045661BF-9B74-45ED-A6A1-ED9D47F6016F}"/>
    <cellStyle name="Percent [2] 5 13 2" xfId="704" xr:uid="{39140E4F-644B-4F09-B94F-B1F40808EAF2}"/>
    <cellStyle name="Percent [2] 5 13 3" xfId="705" xr:uid="{68A1D98C-3679-48D2-9CE2-E5C2A3B102D5}"/>
    <cellStyle name="Percent [2] 5 13 4" xfId="706" xr:uid="{E7576BF3-1933-45CF-9D0E-A9F9B250A536}"/>
    <cellStyle name="Percent [2] 5 14" xfId="707" xr:uid="{E785EE07-B041-4840-8B04-7B8246163CCA}"/>
    <cellStyle name="Percent [2] 5 14 2" xfId="708" xr:uid="{7F1E5ED4-1280-4D3A-BEE1-6757058AB18E}"/>
    <cellStyle name="Percent [2] 5 14 3" xfId="709" xr:uid="{0B4A7928-0C75-4CF1-9AA8-DF82F5142D17}"/>
    <cellStyle name="Percent [2] 5 14 4" xfId="710" xr:uid="{9A63A883-BB75-4007-8A83-5EC53D9BF022}"/>
    <cellStyle name="Percent [2] 5 15" xfId="711" xr:uid="{D326AEB2-DE9B-4186-B5FD-073D218FB2AA}"/>
    <cellStyle name="Percent [2] 5 15 2" xfId="712" xr:uid="{E251C250-490B-4739-952D-ACA568FA3C8E}"/>
    <cellStyle name="Percent [2] 5 15 3" xfId="713" xr:uid="{4A340523-C13C-475B-8751-65E3DDF6552F}"/>
    <cellStyle name="Percent [2] 5 15 4" xfId="714" xr:uid="{036F8B42-607B-4771-A168-D40B34D16378}"/>
    <cellStyle name="Percent [2] 5 16" xfId="715" xr:uid="{421E3220-8F74-4872-AB5C-095DE44ADD7C}"/>
    <cellStyle name="Percent [2] 5 16 2" xfId="716" xr:uid="{EA2AF118-A42F-4E07-9034-66C37B915288}"/>
    <cellStyle name="Percent [2] 5 16 3" xfId="717" xr:uid="{A90C5556-B908-4641-973E-4ED29AD38AD6}"/>
    <cellStyle name="Percent [2] 5 16 4" xfId="718" xr:uid="{49501ECB-4B3A-45D3-BD09-3F10296063E1}"/>
    <cellStyle name="Percent [2] 5 2" xfId="719" xr:uid="{C10A6BA5-FFA7-4F3F-9787-02FC050F6D3A}"/>
    <cellStyle name="Percent [2] 5 2 2" xfId="720" xr:uid="{3E61FDC6-33C1-4BCD-931A-39FD21C704CF}"/>
    <cellStyle name="Percent [2] 5 2 3" xfId="721" xr:uid="{F35879A8-AE8F-4DC1-95B3-5D9165489E4A}"/>
    <cellStyle name="Percent [2] 5 2 4" xfId="722" xr:uid="{07E43CA1-AF98-46F0-AE79-FC1C4A1FD4D6}"/>
    <cellStyle name="Percent [2] 5 3" xfId="723" xr:uid="{D72591B9-9169-4CF0-86F7-8D52CAF2C753}"/>
    <cellStyle name="Percent [2] 5 3 2" xfId="724" xr:uid="{A3B74B3E-AA8F-474E-9865-25DC05180121}"/>
    <cellStyle name="Percent [2] 5 3 3" xfId="725" xr:uid="{C47EA08D-60DB-47B3-AABC-48CCBD2A7985}"/>
    <cellStyle name="Percent [2] 5 3 4" xfId="726" xr:uid="{5E20E36C-8741-4B59-AB4B-8B8C2BF38D1D}"/>
    <cellStyle name="Percent [2] 5 4" xfId="727" xr:uid="{515E2A78-984C-4009-BE9B-41CFD60C6E5C}"/>
    <cellStyle name="Percent [2] 5 4 2" xfId="728" xr:uid="{4938FCB8-F75E-4B38-8AE1-AE9B7B6F21BD}"/>
    <cellStyle name="Percent [2] 5 4 3" xfId="729" xr:uid="{8CEC4ED7-1EFD-45AA-B74C-B1410CDB934D}"/>
    <cellStyle name="Percent [2] 5 4 4" xfId="730" xr:uid="{CC4407F1-9E26-4C95-A8A4-D0DE0559FBE6}"/>
    <cellStyle name="Percent [2] 5 5" xfId="731" xr:uid="{3A1FAB03-4717-4447-9E06-D70B161F3781}"/>
    <cellStyle name="Percent [2] 5 5 2" xfId="732" xr:uid="{3E499D0B-3F2B-453C-888C-DE48709BCD47}"/>
    <cellStyle name="Percent [2] 5 5 3" xfId="733" xr:uid="{7DFA0FFC-1EE5-4130-B357-C0430446D4C4}"/>
    <cellStyle name="Percent [2] 5 5 4" xfId="734" xr:uid="{6F553363-6EE0-4CF5-92C2-54CA3D7FDCE8}"/>
    <cellStyle name="Percent [2] 5 6" xfId="735" xr:uid="{9B1F21FB-D638-45B2-942B-CF4D108802E9}"/>
    <cellStyle name="Percent [2] 5 6 2" xfId="736" xr:uid="{0DA8DF46-630B-4EF6-B636-A8B1AFA8DBD1}"/>
    <cellStyle name="Percent [2] 5 6 3" xfId="737" xr:uid="{720DDD2A-4037-477D-A69C-E12A69F2E37F}"/>
    <cellStyle name="Percent [2] 5 6 4" xfId="738" xr:uid="{2C7C26AA-D49D-4A2F-B1FA-643671F5EFDA}"/>
    <cellStyle name="Percent [2] 5 7" xfId="739" xr:uid="{CE456BAE-E0CC-489A-A0AD-CCE360689F26}"/>
    <cellStyle name="Percent [2] 5 7 2" xfId="740" xr:uid="{0FD9D703-63C2-40AF-84D5-B7E97E600FA9}"/>
    <cellStyle name="Percent [2] 5 7 3" xfId="741" xr:uid="{8E676494-11EF-4DAE-9293-1418264E720D}"/>
    <cellStyle name="Percent [2] 5 7 4" xfId="742" xr:uid="{EB87B24C-72A3-4796-A98A-6D43273A788F}"/>
    <cellStyle name="Percent [2] 5 8" xfId="743" xr:uid="{F2E631BF-8102-472A-8D63-3A69CBFA8540}"/>
    <cellStyle name="Percent [2] 5 8 2" xfId="744" xr:uid="{0C836CDA-23E1-4341-BA82-AEF85FDB6F7C}"/>
    <cellStyle name="Percent [2] 5 8 3" xfId="745" xr:uid="{29A2FB22-A3C3-4FFB-B9C9-221DBA90228B}"/>
    <cellStyle name="Percent [2] 5 8 4" xfId="746" xr:uid="{3053010E-927A-4AED-9B45-B43FC406C4C2}"/>
    <cellStyle name="Percent [2] 5 9" xfId="747" xr:uid="{7B08CFFB-E921-4F92-8A5E-28FCAE18F327}"/>
    <cellStyle name="Percent [2] 5 9 2" xfId="748" xr:uid="{1BC7F3DC-8A2B-4FE8-B3BE-8D31EFA934A6}"/>
    <cellStyle name="Percent [2] 5 9 3" xfId="749" xr:uid="{358BD2DA-F27C-4539-A7FD-2DA0AFD15BF4}"/>
    <cellStyle name="Percent [2] 5 9 4" xfId="750" xr:uid="{141CB4C2-CD1D-46FB-BB41-091050C2C9C3}"/>
    <cellStyle name="Percent [2] 6" xfId="751" xr:uid="{97CB4C6B-5A14-4889-9402-36760BB5AA42}"/>
    <cellStyle name="Percent [2] 6 2" xfId="752" xr:uid="{48486392-79BD-4C21-A382-6B16BCD95DFB}"/>
    <cellStyle name="Percent [2] 6 2 2" xfId="753" xr:uid="{A26A6A95-7383-47E6-A48D-7259EB3674BA}"/>
    <cellStyle name="Percent [2] 6 2 3" xfId="754" xr:uid="{AD5BB276-11D6-440B-A828-F44FA2D20B86}"/>
    <cellStyle name="Percent [2] 6 2 4" xfId="755" xr:uid="{C6141A09-566D-428D-8E39-8AA34BCBD3FD}"/>
    <cellStyle name="Percent [2] 7" xfId="756" xr:uid="{B95BE7AE-3ECD-463C-BEC1-DF30CC5656F2}"/>
    <cellStyle name="Percent [2] 7 2" xfId="757" xr:uid="{B00385E0-429B-4FA1-91DE-A2F7F58897D0}"/>
    <cellStyle name="Percent [2] 7 2 2" xfId="758" xr:uid="{DDC4CD21-2AD7-431A-A858-FA06F9F40E84}"/>
    <cellStyle name="Percent [2] 7 2 3" xfId="759" xr:uid="{EC4D53CA-5367-4C8F-ABD4-A995478E1B26}"/>
    <cellStyle name="Percent [2] 7 2 4" xfId="760" xr:uid="{BE3C745F-79F9-428D-9E6C-E55683A7419E}"/>
    <cellStyle name="Percent [2] 8" xfId="761" xr:uid="{0A834267-FAE4-4DE9-9B87-5695CC8CA845}"/>
    <cellStyle name="Percent [2] 8 2" xfId="762" xr:uid="{59443649-4F42-43F1-9648-1D18A9D04984}"/>
    <cellStyle name="Percent [2] 8 2 2" xfId="763" xr:uid="{D62D6FEA-F356-491C-B472-9839AD2AC347}"/>
    <cellStyle name="Percent [2] 8 2 3" xfId="764" xr:uid="{EAC5C8BD-230B-4B9B-8256-D4327F7D9BD2}"/>
    <cellStyle name="Percent [2] 8 2 4" xfId="765" xr:uid="{528AAA53-5BF9-4B5A-9A3A-51DFA1C463B2}"/>
    <cellStyle name="Percent [2] 9" xfId="766" xr:uid="{586C69F8-D8A1-43B3-8039-B033B2C0175B}"/>
    <cellStyle name="Percent [2] 9 2" xfId="767" xr:uid="{A90F1A75-5EB3-4478-8BC5-CBF2F990D825}"/>
    <cellStyle name="Percent [2] 9 2 2" xfId="768" xr:uid="{6884AE9F-8C84-43F9-9C03-6894E4B22AFB}"/>
    <cellStyle name="Percent [2] 9 2 3" xfId="769" xr:uid="{A398CA39-CDCC-4550-8363-701CD4ED4491}"/>
    <cellStyle name="Percent [2] 9 2 4" xfId="770" xr:uid="{840839D7-7C9F-4806-BCF3-41A920805044}"/>
    <cellStyle name="Percent 10" xfId="771" xr:uid="{548C4BB3-32ED-4952-8469-66E82B08559D}"/>
    <cellStyle name="Percent 10 2" xfId="772" xr:uid="{9525F676-D979-4ACC-8A9B-301A671D35E7}"/>
    <cellStyle name="Percent 10 2 2" xfId="773" xr:uid="{A5D8E6F7-9E63-4217-BFD7-231BB4A425B7}"/>
    <cellStyle name="Percent 10 2 3" xfId="774" xr:uid="{A00AE8A8-E99D-4CB5-A174-01EDF8AE39A1}"/>
    <cellStyle name="Percent 10 2 4" xfId="775" xr:uid="{2954C44C-2CA3-45C5-B108-893979E2C5B3}"/>
    <cellStyle name="Percent 10 3" xfId="776" xr:uid="{9923D072-37FB-4277-9061-1BA38B7EE624}"/>
    <cellStyle name="Percent 10 4" xfId="777" xr:uid="{459CB2FC-6FA5-4F42-BF5B-F14040B0C877}"/>
    <cellStyle name="Percent 10 5" xfId="778" xr:uid="{6B357AAA-288A-4B36-BBF7-CF4A991FF9D3}"/>
    <cellStyle name="Percent 11 2" xfId="779" xr:uid="{D84F38C6-1299-46E7-8E5F-752785E9B43A}"/>
    <cellStyle name="Percent 11 2 2" xfId="780" xr:uid="{109C512A-946D-4DA1-8F92-DC3B7DAEDE41}"/>
    <cellStyle name="Percent 11 2 3" xfId="781" xr:uid="{402A24D4-199D-4B3C-A0AE-89202A720FBD}"/>
    <cellStyle name="Percent 11 2 4" xfId="782" xr:uid="{36AC0C89-A182-45DD-A6F8-D8CB12F0303B}"/>
    <cellStyle name="Percent 12" xfId="783" xr:uid="{49317948-D42C-42C1-B065-58DC2094820E}"/>
    <cellStyle name="Percent 12 2" xfId="784" xr:uid="{85BD1ADD-8267-4B71-B19A-796D915141DE}"/>
    <cellStyle name="Percent 12 3" xfId="785" xr:uid="{BB330A2C-EE94-4C96-B06B-DE27D5B82F4A}"/>
    <cellStyle name="Percent 12 4" xfId="786" xr:uid="{C5179B8B-8DAB-4722-BED3-59DDDAAD153F}"/>
    <cellStyle name="Percent 13" xfId="787" xr:uid="{FAFD1B8C-38B0-4B67-91E5-18D9AAB342E5}"/>
    <cellStyle name="Percent 13 2" xfId="788" xr:uid="{EEEF89C6-A941-4C5E-92A0-9A104EB37456}"/>
    <cellStyle name="Percent 13 3" xfId="789" xr:uid="{1918DA45-A237-4BBD-A620-7E7AF6BA8E44}"/>
    <cellStyle name="Percent 13 4" xfId="790" xr:uid="{2C33297E-B308-4129-A034-59BE372D2122}"/>
    <cellStyle name="Percent 14" xfId="791" xr:uid="{4B92E95F-8C46-410C-B84F-62FF33303576}"/>
    <cellStyle name="Percent 14 2" xfId="792" xr:uid="{A512CC21-8242-4F74-BF4E-850F5EFA0FF8}"/>
    <cellStyle name="Percent 14 3" xfId="793" xr:uid="{B8CD0BFF-3304-4172-9E5E-AC011A3F8713}"/>
    <cellStyle name="Percent 14 4" xfId="794" xr:uid="{55955746-885A-42D9-A19A-B19AD9144741}"/>
    <cellStyle name="Percent 15" xfId="795" xr:uid="{25C124D1-F883-4565-A40B-EFC6EF0B7953}"/>
    <cellStyle name="Percent 15 2" xfId="796" xr:uid="{FD0745F9-67E5-4081-8157-CBC7E4575629}"/>
    <cellStyle name="Percent 15 3" xfId="797" xr:uid="{49718525-20D8-40C7-BAD3-FB7E2A2FE3C5}"/>
    <cellStyle name="Percent 15 4" xfId="798" xr:uid="{B8DE6432-7059-4E2A-9628-2CC061E9C120}"/>
    <cellStyle name="Percent 16" xfId="799" xr:uid="{54CAB6B3-2CFC-457E-80CA-EC5564C0492D}"/>
    <cellStyle name="Percent 16 2" xfId="800" xr:uid="{860DD384-BCC2-4558-AE61-0B838955573E}"/>
    <cellStyle name="Percent 16 3" xfId="801" xr:uid="{FC55F9D3-1CD3-4F88-855A-0FF684D77F3F}"/>
    <cellStyle name="Percent 16 4" xfId="802" xr:uid="{A322A627-8D38-4438-BDB0-FE125FA72106}"/>
    <cellStyle name="Percent 17" xfId="803" xr:uid="{BC6699D5-83E5-477F-AA90-5FDA055E53FB}"/>
    <cellStyle name="Percent 17 2" xfId="804" xr:uid="{34D3517D-6912-4666-8BC2-D1CA6AF7FBE2}"/>
    <cellStyle name="Percent 17 3" xfId="805" xr:uid="{63178D5F-BF95-4BBD-A940-261C95CEC70C}"/>
    <cellStyle name="Percent 17 4" xfId="806" xr:uid="{54DA9622-B413-4DF1-A3D4-8BA6AD28D675}"/>
    <cellStyle name="Percent 18" xfId="807" xr:uid="{F034F0A5-EB30-419D-A7EB-ADD353509630}"/>
    <cellStyle name="Percent 18 2" xfId="808" xr:uid="{84E04625-FB8E-4CE6-9D5B-3A140D78920A}"/>
    <cellStyle name="Percent 18 3" xfId="809" xr:uid="{9E10BA4D-369D-4258-AD78-1AD04D349479}"/>
    <cellStyle name="Percent 18 4" xfId="810" xr:uid="{9720C4FA-E8FF-4FB0-8590-84C9BFE16B57}"/>
    <cellStyle name="Percent 19" xfId="811" xr:uid="{C72B4F6D-89A7-4D6C-AB11-ABB5D7A81E6D}"/>
    <cellStyle name="Percent 19 2" xfId="812" xr:uid="{66283C5A-118E-452A-8F33-5BBABB3EC54F}"/>
    <cellStyle name="Percent 19 3" xfId="813" xr:uid="{99672968-77A3-4EDA-8DA4-E33ED3239F3B}"/>
    <cellStyle name="Percent 19 4" xfId="814" xr:uid="{CA2EE883-F41D-44FE-890C-93E61297F9E3}"/>
    <cellStyle name="Percent 2" xfId="815" xr:uid="{77038798-A5FE-4EAA-B16A-DA5E40449D09}"/>
    <cellStyle name="Percent 2 10" xfId="816" xr:uid="{5D3B5768-8020-4A9D-9A96-C22B80F6BAEE}"/>
    <cellStyle name="Percent 2 10 2" xfId="817" xr:uid="{DCFD7848-A950-4A5E-8AB8-EBF05DBF3A53}"/>
    <cellStyle name="Percent 2 10 3" xfId="818" xr:uid="{4F512620-03AA-4CA9-B81D-19F75728DD83}"/>
    <cellStyle name="Percent 2 10 4" xfId="819" xr:uid="{1E27C5AF-580B-4D4C-992D-E81DE465FE37}"/>
    <cellStyle name="Percent 2 11" xfId="820" xr:uid="{C8129D1E-0F07-45BD-8C53-2CD576753246}"/>
    <cellStyle name="Percent 2 11 2" xfId="821" xr:uid="{A5ABB07F-ADBF-4D25-9D77-C8F0D6B3BBC7}"/>
    <cellStyle name="Percent 2 11 3" xfId="822" xr:uid="{470C5F02-1267-44CB-B715-01EE795BCF5B}"/>
    <cellStyle name="Percent 2 11 4" xfId="823" xr:uid="{37165D76-294B-4FD9-AC16-3ADE20C406F3}"/>
    <cellStyle name="Percent 2 12" xfId="824" xr:uid="{7C428A76-099D-4711-9DA9-190461E4D982}"/>
    <cellStyle name="Percent 2 12 2" xfId="825" xr:uid="{71D72EED-1AA0-49CE-898E-C290BF663E8A}"/>
    <cellStyle name="Percent 2 12 3" xfId="826" xr:uid="{77A511A3-90F3-46FE-87AC-D81D633D1F2B}"/>
    <cellStyle name="Percent 2 12 4" xfId="827" xr:uid="{D8DBD0F5-2525-489A-AE3C-B9E3632FDDF0}"/>
    <cellStyle name="Percent 2 13" xfId="828" xr:uid="{4C206CBC-8426-433D-835E-DA9ED29033D6}"/>
    <cellStyle name="Percent 2 13 2" xfId="829" xr:uid="{6F28F08C-9200-4C83-A95A-DF922AF0BF9A}"/>
    <cellStyle name="Percent 2 13 3" xfId="830" xr:uid="{643520C1-0E5F-467E-9E4A-BC83CE2707D7}"/>
    <cellStyle name="Percent 2 13 4" xfId="831" xr:uid="{0C1B832B-6C41-474D-892B-80FBFDA9F39D}"/>
    <cellStyle name="Percent 2 14" xfId="832" xr:uid="{0F336026-8862-4849-97BD-33353353D68A}"/>
    <cellStyle name="Percent 2 14 2" xfId="833" xr:uid="{80FB3823-62E0-453E-9620-614D0ACE1A37}"/>
    <cellStyle name="Percent 2 14 3" xfId="834" xr:uid="{5E6FA8F8-6A7B-40EB-B282-615FF125D208}"/>
    <cellStyle name="Percent 2 14 4" xfId="835" xr:uid="{53169E3F-1117-4305-8D6C-9850974679EF}"/>
    <cellStyle name="Percent 2 15" xfId="836" xr:uid="{3613989D-9221-4599-BA57-928AB283C637}"/>
    <cellStyle name="Percent 2 15 2" xfId="837" xr:uid="{555E98F3-C5F3-4CB3-8E74-7E454B93B66A}"/>
    <cellStyle name="Percent 2 15 3" xfId="838" xr:uid="{36113516-59BB-4AB1-88EF-17365C83CCD0}"/>
    <cellStyle name="Percent 2 15 4" xfId="839" xr:uid="{845A484C-0B47-4E03-ACA6-A9325C12657B}"/>
    <cellStyle name="Percent 2 16" xfId="840" xr:uid="{7AA914AC-6479-41E1-AB48-1D2298A27CCD}"/>
    <cellStyle name="Percent 2 16 2" xfId="841" xr:uid="{6C62F6F9-D996-43D8-9DCA-74AB9B3A7FA2}"/>
    <cellStyle name="Percent 2 16 3" xfId="842" xr:uid="{4FAA6787-DA5A-43FC-A5F1-09A448589D3A}"/>
    <cellStyle name="Percent 2 16 4" xfId="843" xr:uid="{EC827A82-A624-4941-BAA2-91CD5D513BB0}"/>
    <cellStyle name="Percent 2 17" xfId="844" xr:uid="{F0367C5A-3FBC-48FF-A8C4-963394516662}"/>
    <cellStyle name="Percent 2 18" xfId="845" xr:uid="{D6A87DA7-E470-41A6-9E06-6F388A6E9D38}"/>
    <cellStyle name="Percent 2 19" xfId="846" xr:uid="{EA92CA03-9893-4FAF-802A-A97FC42CFBEB}"/>
    <cellStyle name="Percent 2 2" xfId="847" xr:uid="{1D08A100-AB7F-4E7A-AA3F-7DAC9C733C9A}"/>
    <cellStyle name="Percent 2 2 2" xfId="848" xr:uid="{EF1154C3-2009-4EAB-ABB9-FA0007E2E299}"/>
    <cellStyle name="Percent 2 2 2 2" xfId="849" xr:uid="{6AB62357-7549-425B-AC0A-BC4D332BE752}"/>
    <cellStyle name="Percent 2 2 2 3" xfId="850" xr:uid="{08A137C8-9359-4665-88E5-3771CFCE9734}"/>
    <cellStyle name="Percent 2 2 2 4" xfId="851" xr:uid="{9B7A63C2-5CD2-4B68-A3BE-EB8FBFB7C5CC}"/>
    <cellStyle name="Percent 2 2 2 5" xfId="852" xr:uid="{EE0FAB22-C1BD-4B59-9EAE-2A1BFC570D35}"/>
    <cellStyle name="Percent 2 2 3" xfId="853" xr:uid="{D8C8B6E0-BB6E-47A1-BAB4-24933FA6779A}"/>
    <cellStyle name="Percent 2 20" xfId="854" xr:uid="{BAAC27BF-79C4-4556-82E4-6E21CB295880}"/>
    <cellStyle name="Percent 2 3" xfId="855" xr:uid="{15FF86CA-84E6-46C8-8ED0-0DDAA41DF128}"/>
    <cellStyle name="Percent 2 3 2" xfId="856" xr:uid="{1A080CEC-F0C4-44BA-A087-6B645FC7FAE8}"/>
    <cellStyle name="Percent 2 3 2 2" xfId="857" xr:uid="{18907D75-05AF-40FE-BAC6-5C3971C1B0D1}"/>
    <cellStyle name="Percent 2 3 2 3" xfId="858" xr:uid="{2FE9542E-B689-40E0-92C4-B90B48F35087}"/>
    <cellStyle name="Percent 2 3 2 4" xfId="859" xr:uid="{0D057BE6-31A1-41EF-B6FB-B8AF23ECC6C2}"/>
    <cellStyle name="Percent 2 3 3" xfId="860" xr:uid="{01D1FFC6-38D3-4ED4-962A-6BEA677F4FA6}"/>
    <cellStyle name="Percent 2 4" xfId="861" xr:uid="{FCA2A5F6-F049-4A07-BFD8-448211D9BD9B}"/>
    <cellStyle name="Percent 2 4 2" xfId="862" xr:uid="{BD28CA61-49E9-4193-8016-6974CCA48AA8}"/>
    <cellStyle name="Percent 2 4 2 2" xfId="863" xr:uid="{0A673D13-9F7D-48D6-A227-A9FE98E6C0A2}"/>
    <cellStyle name="Percent 2 4 2 3" xfId="864" xr:uid="{52EBF444-1BD1-4B84-8934-5E9B965F894F}"/>
    <cellStyle name="Percent 2 4 2 4" xfId="865" xr:uid="{9CBAD723-C810-48E9-8025-AC4F334ED89C}"/>
    <cellStyle name="Percent 2 5" xfId="866" xr:uid="{A0DD30FB-89D7-431E-9C73-CC7FDE2B4319}"/>
    <cellStyle name="Percent 2 5 2" xfId="867" xr:uid="{1144CF88-A742-4CCB-A91E-80EF9E007E75}"/>
    <cellStyle name="Percent 2 5 2 2" xfId="868" xr:uid="{544BEA97-07CA-41F9-ACAD-A7AAA94DF0E2}"/>
    <cellStyle name="Percent 2 5 2 3" xfId="869" xr:uid="{A1526D1F-CC61-4C14-A4FD-C1ACE0B23D0C}"/>
    <cellStyle name="Percent 2 5 2 4" xfId="870" xr:uid="{193B9853-83F9-480E-861C-2DDE98744DF9}"/>
    <cellStyle name="Percent 2 6" xfId="871" xr:uid="{C31BC096-4E73-4D77-BF42-4E6E5E862129}"/>
    <cellStyle name="Percent 2 6 2" xfId="872" xr:uid="{FC4F16DA-F4E8-49BF-B000-96D1A5899C06}"/>
    <cellStyle name="Percent 2 6 2 2" xfId="873" xr:uid="{5AF36EB3-5FA1-4ED3-9ACB-A18C36FBA6D1}"/>
    <cellStyle name="Percent 2 6 2 3" xfId="874" xr:uid="{E85D35A2-C145-4081-826A-28D787BA36CE}"/>
    <cellStyle name="Percent 2 6 2 4" xfId="875" xr:uid="{4DE36C86-7100-4E6E-8BE5-0656EA9853E6}"/>
    <cellStyle name="Percent 2 7" xfId="876" xr:uid="{15373979-DF04-4D91-A91B-CA1C72D9E735}"/>
    <cellStyle name="Percent 2 7 2" xfId="877" xr:uid="{85296EC7-74D1-4578-AA44-34A2B58BFDB6}"/>
    <cellStyle name="Percent 2 7 3" xfId="878" xr:uid="{614A55D6-980C-402C-811D-7DEA4F29B05F}"/>
    <cellStyle name="Percent 2 7 4" xfId="879" xr:uid="{B903C8F2-D532-4DAF-A880-F51669AC2D34}"/>
    <cellStyle name="Percent 2 8" xfId="880" xr:uid="{310636E8-5362-4C15-969D-2CF31AC2E48E}"/>
    <cellStyle name="Percent 2 8 2" xfId="881" xr:uid="{57498ED0-87EE-4B46-B9A5-A9D490F85AFC}"/>
    <cellStyle name="Percent 2 8 3" xfId="882" xr:uid="{5ABC8210-B4D4-4150-A619-FD607AD295F2}"/>
    <cellStyle name="Percent 2 8 4" xfId="883" xr:uid="{6D980753-08AA-4B3F-ACDB-D16972DB67BB}"/>
    <cellStyle name="Percent 2 9" xfId="884" xr:uid="{FCD3B4DE-03ED-4F11-A266-51A1A77BF0F6}"/>
    <cellStyle name="Percent 2 9 2" xfId="885" xr:uid="{BFE3CF81-DB6A-41C5-8FF7-D86FB44C9B32}"/>
    <cellStyle name="Percent 2 9 3" xfId="886" xr:uid="{000F3ED1-1FD5-4B12-B3F7-4D3F9DB92E2B}"/>
    <cellStyle name="Percent 2 9 4" xfId="887" xr:uid="{AE07E693-D5B5-4B10-9BEC-44C3D44B59F3}"/>
    <cellStyle name="Percent 2_06 Approval Media Plan Jun'09" xfId="888" xr:uid="{6426E306-ADE9-4D6B-9F5D-802B51DF0F58}"/>
    <cellStyle name="Percent 22" xfId="889" xr:uid="{CB9A1E23-CF16-4AEC-8459-74DE8A11A1EB}"/>
    <cellStyle name="Percent 23" xfId="890" xr:uid="{9687BC96-1D46-4E45-8B34-85582456FA17}"/>
    <cellStyle name="Percent 24" xfId="891" xr:uid="{DFA5D801-9F9E-4A8B-93CD-E8BE08421558}"/>
    <cellStyle name="Percent 25" xfId="892" xr:uid="{E99FB20E-0029-4805-B9DB-0CB8C99EC980}"/>
    <cellStyle name="Percent 29" xfId="893" xr:uid="{32A89F25-DC0E-4A80-A559-C60979F08EF0}"/>
    <cellStyle name="Percent 3" xfId="894" xr:uid="{F27908F3-D134-4575-B4AA-26E23F5BA86E}"/>
    <cellStyle name="Percent 4" xfId="895" xr:uid="{73400FF0-5B55-43E6-891C-5B78912D746A}"/>
    <cellStyle name="Percent 4 2" xfId="896" xr:uid="{44ED4B69-B426-496E-8F95-6F23041518C0}"/>
    <cellStyle name="Percent 4 3" xfId="897" xr:uid="{27E88DCF-0F71-4F82-85A1-3D2BE191B88D}"/>
    <cellStyle name="Percent 5" xfId="898" xr:uid="{CE391BC3-9188-4504-A824-4832C80969F1}"/>
    <cellStyle name="Percent 5 2" xfId="899" xr:uid="{B48D3BE5-6845-46A4-BF5C-4A6AE4B17A36}"/>
    <cellStyle name="Percent 6" xfId="900" xr:uid="{6D760852-E8A4-441F-BAA1-878F6A9F47A1}"/>
    <cellStyle name="Percent 6 2" xfId="901" xr:uid="{CAB20DF1-2859-44CF-B885-B86E4E7F2530}"/>
    <cellStyle name="Percent 6 3" xfId="902" xr:uid="{A723F442-538B-498A-BABB-DEB5E07E8B46}"/>
    <cellStyle name="Percent 6 4" xfId="903" xr:uid="{BFB3EBD7-E015-4164-894C-08438473EA4B}"/>
    <cellStyle name="Percent 6 5" xfId="904" xr:uid="{C98BACB5-2FA3-45A7-B5E6-9A57A246BAFA}"/>
    <cellStyle name="Percent 6 6" xfId="905" xr:uid="{E52B6C54-F0B6-47E8-8207-E592FD3580EF}"/>
    <cellStyle name="Percent 7" xfId="906" xr:uid="{69E92C12-9652-41B0-8026-7D6DEC905A19}"/>
    <cellStyle name="Percent 7 2" xfId="907" xr:uid="{FCC67738-41DB-4317-A5FF-470D61A05BF5}"/>
    <cellStyle name="Percent 7 3" xfId="908" xr:uid="{49B7F893-E923-42A9-9DEF-A8F9C54D90B5}"/>
    <cellStyle name="Percent 7 3 2" xfId="909" xr:uid="{1D945A13-DD88-4826-843E-7E570F1D52FD}"/>
    <cellStyle name="Percent 7 3 3" xfId="910" xr:uid="{4423A331-E658-4264-BFC0-8B8A45D71E45}"/>
    <cellStyle name="Percent 7 3 4" xfId="911" xr:uid="{1A6F91F4-699B-4AB0-AC19-5E25D231476F}"/>
    <cellStyle name="Percent 7 4" xfId="912" xr:uid="{2F2895DE-3DF6-4F57-8E1A-988CF72C007C}"/>
    <cellStyle name="Percent 7 5" xfId="913" xr:uid="{1A8D88AA-0DC5-4CB3-8F9B-27C392E617C0}"/>
    <cellStyle name="Percent 7 6" xfId="914" xr:uid="{5E6558C1-B74F-44E1-91E1-BC032FDCDCB2}"/>
    <cellStyle name="Percent 8" xfId="915" xr:uid="{3EA2849D-FAF5-41A9-90C0-A8D92A64A0A7}"/>
    <cellStyle name="Percent 8 2" xfId="916" xr:uid="{001E093A-A08F-40A9-B2F4-DCCB351B05A4}"/>
    <cellStyle name="Percent 8 2 2" xfId="917" xr:uid="{C9349B68-9A06-457D-8223-611471B90FB1}"/>
    <cellStyle name="Percent 8 2 3" xfId="918" xr:uid="{0686D5FF-6DC8-4702-ACBF-AB18FB4088B5}"/>
    <cellStyle name="Percent 8 2 4" xfId="919" xr:uid="{2D44F114-AD03-4E2D-A88C-8E1A766ADDF7}"/>
    <cellStyle name="Percent 9" xfId="920" xr:uid="{F4F2A715-6AF8-467B-92AF-99A0DE45B0F6}"/>
    <cellStyle name="Percent 9 2" xfId="921" xr:uid="{83CA2159-52A3-4656-9F68-6E107A4D9B75}"/>
    <cellStyle name="Percent 9 2 2" xfId="922" xr:uid="{DEE1A8D9-F783-476F-8658-628A7FEEAD1C}"/>
    <cellStyle name="Percent 9 2 3" xfId="923" xr:uid="{A8736B26-2B7F-4750-ABE9-F617A30C262E}"/>
    <cellStyle name="Percent 9 2 4" xfId="924" xr:uid="{FAF39EC0-5D16-481E-92B2-BFF91A0E1FD1}"/>
    <cellStyle name="Separador de milhares [0]_kinslayer" xfId="925" xr:uid="{7FDB8915-961E-40F4-B21D-4E8D60418540}"/>
    <cellStyle name="Separador de milhares_kinslayer" xfId="926" xr:uid="{4A907CD8-53C3-4CDB-9691-80E4272C929F}"/>
    <cellStyle name="Standard_Germany_SAP 2003 template" xfId="927" xr:uid="{0883AFC0-7933-4D6A-821D-BAF15CFA87C4}"/>
    <cellStyle name="Style 1" xfId="928" xr:uid="{38DD332A-08F7-4532-B50E-18DA3883EF1F}"/>
    <cellStyle name="Style 1 10" xfId="929" xr:uid="{F51A245A-39E7-4A4B-9B19-9B44574B2B7B}"/>
    <cellStyle name="Style 1 10 2" xfId="930" xr:uid="{22166FBB-8C00-4B05-BA4C-9D0A6D44B5BD}"/>
    <cellStyle name="Style 1 10 3" xfId="931" xr:uid="{02D4424C-111C-4C49-9B34-2C0E617CD330}"/>
    <cellStyle name="Style 1 10 4" xfId="932" xr:uid="{FFB7B104-DB45-4B7A-B3C3-E3EA51C9D5A6}"/>
    <cellStyle name="Style 1 11" xfId="933" xr:uid="{57D6942F-B7C1-4115-9EA2-6DDB9DCEEA91}"/>
    <cellStyle name="Style 1 11 2" xfId="934" xr:uid="{0CB1D615-A51E-4EFA-B5ED-7888354DAB38}"/>
    <cellStyle name="Style 1 11 3" xfId="935" xr:uid="{35E68034-6197-4CC0-BA00-DFA5FD1702A7}"/>
    <cellStyle name="Style 1 11 4" xfId="936" xr:uid="{63FD19C5-E85B-4F11-88DE-65539DEFB4DA}"/>
    <cellStyle name="Style 1 12" xfId="937" xr:uid="{D26782E7-E590-4461-A077-8F0AB46326DA}"/>
    <cellStyle name="Style 1 12 2" xfId="938" xr:uid="{F29F30AB-7F27-4634-B93A-D28BADC6C8E2}"/>
    <cellStyle name="Style 1 12 3" xfId="939" xr:uid="{359E856A-4E66-40F7-A0D3-07ECEE0E8F93}"/>
    <cellStyle name="Style 1 12 4" xfId="940" xr:uid="{DD990BE4-0515-480F-9272-BDC918A919CB}"/>
    <cellStyle name="Style 1 13" xfId="941" xr:uid="{0557C52E-C5C4-4C75-867B-2E07BB580492}"/>
    <cellStyle name="Style 1 13 2" xfId="942" xr:uid="{9EDBB12F-AA19-4B03-BB1F-FB834FC6BAFA}"/>
    <cellStyle name="Style 1 13 3" xfId="943" xr:uid="{B330CD22-5F2C-40C5-966A-FCADDC279588}"/>
    <cellStyle name="Style 1 13 4" xfId="944" xr:uid="{77FF002C-1A2E-4378-B1BE-0DE2D6179843}"/>
    <cellStyle name="Style 1 14" xfId="945" xr:uid="{524D220A-4F76-4104-B50A-9107F33F0E49}"/>
    <cellStyle name="Style 1 14 2" xfId="946" xr:uid="{1C3AEC84-58C2-4CEC-8B6D-DA8520BB0E1E}"/>
    <cellStyle name="Style 1 14 3" xfId="947" xr:uid="{D02A5E8B-5AD1-467B-ADC0-6676641949CA}"/>
    <cellStyle name="Style 1 14 4" xfId="948" xr:uid="{81033845-A294-48A9-BAC4-F3641548F024}"/>
    <cellStyle name="Style 1 15" xfId="949" xr:uid="{92C91D2B-8C0B-46CF-A9FA-CE877615F7DF}"/>
    <cellStyle name="Style 1 15 2" xfId="950" xr:uid="{D99DEE1A-AE92-43E6-80DB-F3F7F2F4AF49}"/>
    <cellStyle name="Style 1 15 3" xfId="951" xr:uid="{605F154C-6477-482E-A075-6D22AEC95D1B}"/>
    <cellStyle name="Style 1 15 4" xfId="952" xr:uid="{A3DF7308-511F-4841-84A9-1507F9D71DA4}"/>
    <cellStyle name="Style 1 16" xfId="953" xr:uid="{E88B7252-2E78-4B00-850E-ADF7AA6EAEA2}"/>
    <cellStyle name="Style 1 16 2" xfId="954" xr:uid="{AD082CF5-1F7D-42B8-A62A-C19C83C4508D}"/>
    <cellStyle name="Style 1 16 3" xfId="955" xr:uid="{DC9D9FB4-F8B0-4E14-8489-0053FF5ADCFF}"/>
    <cellStyle name="Style 1 16 4" xfId="956" xr:uid="{58D9CA58-3A07-478E-B0EC-B22B1D92EA7F}"/>
    <cellStyle name="Style 1 2" xfId="957" xr:uid="{D4F80CBF-E71B-4E95-B783-BB6C67DE5EDF}"/>
    <cellStyle name="Style 1 2 2" xfId="958" xr:uid="{34A9AC43-5246-44AB-9F6B-7913C91056DD}"/>
    <cellStyle name="Style 1 2 2 2" xfId="959" xr:uid="{FD03AA0A-55E0-4C61-9BA2-BFB4BB1FB188}"/>
    <cellStyle name="Style 1 2 2 3" xfId="960" xr:uid="{F3BF23DD-5891-40CB-ACC6-63B70D4E7BA2}"/>
    <cellStyle name="Style 1 2 2 4" xfId="961" xr:uid="{860ED6C8-0BB7-40E7-8A85-1A892FB496F9}"/>
    <cellStyle name="Style 1 3" xfId="962" xr:uid="{D175743F-C972-43FA-A9CF-DEE7A5EC5C40}"/>
    <cellStyle name="Style 1 3 2" xfId="963" xr:uid="{1770A312-00B3-401F-8A24-8F3A7764E578}"/>
    <cellStyle name="Style 1 3 2 2" xfId="964" xr:uid="{C39E9C9C-EAE7-442D-9052-51529D7543A1}"/>
    <cellStyle name="Style 1 3 2 3" xfId="965" xr:uid="{D21616DE-350C-4B90-9247-5B69AEE3A4CE}"/>
    <cellStyle name="Style 1 3 2 4" xfId="966" xr:uid="{58BE022A-0407-4522-862A-A31FF951EDD1}"/>
    <cellStyle name="Style 1 4" xfId="967" xr:uid="{21057426-D912-454F-9F5B-272543B9513A}"/>
    <cellStyle name="Style 1 4 2" xfId="968" xr:uid="{1A068924-B419-4D01-A2DD-04DEF51B92D7}"/>
    <cellStyle name="Style 1 4 2 2" xfId="969" xr:uid="{36093C1A-8D4C-466C-B7E8-2D022F2085CC}"/>
    <cellStyle name="Style 1 4 2 3" xfId="970" xr:uid="{6290E3CA-5A26-4524-9BBF-0BF1E928F8AC}"/>
    <cellStyle name="Style 1 4 2 4" xfId="971" xr:uid="{B3DB3BB3-B1B0-4B06-88CA-4007704463D8}"/>
    <cellStyle name="Style 1 5" xfId="972" xr:uid="{EE56F70A-FDBE-40A8-8C7D-FD01D9F15D51}"/>
    <cellStyle name="Style 1 5 2" xfId="973" xr:uid="{42908534-AD98-414C-BBEA-319C9586BB51}"/>
    <cellStyle name="Style 1 5 3" xfId="974" xr:uid="{742E1CA2-265A-4131-A9BB-F780AAE324DF}"/>
    <cellStyle name="Style 1 5 4" xfId="975" xr:uid="{76AEAB61-DAE2-4DCE-A25E-F5BEA8381187}"/>
    <cellStyle name="Style 1 5 5" xfId="976" xr:uid="{903BE998-B089-4939-B653-68E4D9C42630}"/>
    <cellStyle name="Style 1 5 6" xfId="977" xr:uid="{B3CA41C2-B94E-43D9-BFA8-3126BEB33443}"/>
    <cellStyle name="Style 1 5 7" xfId="978" xr:uid="{DF6CCAC9-E9A3-4777-B15C-BC098B9577F1}"/>
    <cellStyle name="Style 1 5 8" xfId="979" xr:uid="{535808E0-9968-46D5-9D7D-4A0DBA27BB70}"/>
    <cellStyle name="Style 1 5 9" xfId="980" xr:uid="{A7EA6EF8-B1D3-4CFA-9950-24585407EE02}"/>
    <cellStyle name="Style 1 6" xfId="981" xr:uid="{66F65510-851D-440E-944A-A01E617E8D57}"/>
    <cellStyle name="Style 1 6 2" xfId="982" xr:uid="{CC334B9D-BCFC-44ED-9D88-907847D6A4F3}"/>
    <cellStyle name="Style 1 6 3" xfId="983" xr:uid="{802F8C2F-50C0-451C-A34A-63DE4E4C63C0}"/>
    <cellStyle name="Style 1 6 4" xfId="984" xr:uid="{EF6AC193-DAA0-4A7F-8A1B-2D0B20C0DA9A}"/>
    <cellStyle name="Style 1 7" xfId="985" xr:uid="{4A5C4568-D142-4430-A794-4790DC446A7B}"/>
    <cellStyle name="Style 1 7 2" xfId="986" xr:uid="{8C2B950F-83C9-44F4-ADEA-D4620AFB9B74}"/>
    <cellStyle name="Style 1 7 3" xfId="987" xr:uid="{7A277A27-F82B-4AD4-9510-0F0CC27EA631}"/>
    <cellStyle name="Style 1 7 4" xfId="988" xr:uid="{65A1D6E8-A026-47C6-B110-9368FD0A3605}"/>
    <cellStyle name="Style 1 8" xfId="989" xr:uid="{6C0AD2C7-180B-41F8-BB18-D521757D8968}"/>
    <cellStyle name="Style 1 8 2" xfId="990" xr:uid="{5E2BAFC7-708F-4247-8BC4-36653726E0C9}"/>
    <cellStyle name="Style 1 8 3" xfId="991" xr:uid="{4DBF76B0-9A6C-4B42-B75D-D16C3DAE6B34}"/>
    <cellStyle name="Style 1 8 4" xfId="992" xr:uid="{E1AAF000-0187-40D6-BA24-7C74BA0E2AD0}"/>
    <cellStyle name="Style 1 9" xfId="993" xr:uid="{1BA88DF0-FE90-4453-8994-4F5427477DD9}"/>
    <cellStyle name="Style 1 9 2" xfId="994" xr:uid="{16713494-563D-42B5-8B23-9DF315ACDEC1}"/>
    <cellStyle name="Style 1 9 3" xfId="995" xr:uid="{D6E9BBB9-150F-405E-8C5D-DC07F76667E8}"/>
    <cellStyle name="Style 1 9 4" xfId="996" xr:uid="{979B1638-0905-4979-BFA3-A273B8B844D7}"/>
    <cellStyle name="Style 1_MEGASTAR-CHICILON Proposal Master2011-2012" xfId="997" xr:uid="{C5C4D447-C5CE-4903-8429-35152178F6D2}"/>
    <cellStyle name="똿뗦먛귟 [0.00]_PRODUCT DETAIL Q1" xfId="998" xr:uid="{7F646589-CE7C-4076-B907-704704FDC993}"/>
    <cellStyle name="똿뗦먛귟_PRODUCT DETAIL Q1" xfId="999" xr:uid="{3622B3B1-1F51-49F6-8AE3-B38485BA96D7}"/>
    <cellStyle name="믅됞 [0.00]_PRODUCT DETAIL Q1" xfId="1000" xr:uid="{918F4F8C-52B5-4DD4-9D09-A117D38ACC28}"/>
    <cellStyle name="믅됞_PRODUCT DETAIL Q1" xfId="1001" xr:uid="{96CA84E1-0BF3-41DA-8028-E823349EC7EA}"/>
    <cellStyle name="백분율_HOBONG" xfId="1002" xr:uid="{A93BCACA-41B9-42E9-A51D-6EF8AC557D07}"/>
    <cellStyle name="뷭?_BOOKSHIP" xfId="1003" xr:uid="{A658407A-D6CF-4664-8A48-7201E982E6B7}"/>
    <cellStyle name="쉼표 [0]_ffbom" xfId="1004" xr:uid="{87F35512-74D5-4F37-A9CC-F809E04B0AB7}"/>
    <cellStyle name="콤마 [0]_1202" xfId="1005" xr:uid="{D8E9F7B5-7FE4-4791-A40B-D3A90CC08C29}"/>
    <cellStyle name="콤마_1202" xfId="1006" xr:uid="{79FAA463-BE10-4F4A-AB40-F3E88E5DC5F7}"/>
    <cellStyle name="통화 [0]_1202" xfId="1007" xr:uid="{C7B5EB1E-ADAF-40F7-92E8-C3352A248228}"/>
    <cellStyle name="통화_1202" xfId="1008" xr:uid="{5EFAA477-1D8B-4E37-B868-3BC2899A227D}"/>
    <cellStyle name="표준_(정보부문)월별인원계획" xfId="1009" xr:uid="{39862AEA-264B-4A86-9897-80678153BBE6}"/>
    <cellStyle name="一般_Book1" xfId="1010" xr:uid="{7A9972D1-DACB-4F0C-A27D-2A933740AD3F}"/>
    <cellStyle name="千分位[0]_Book1" xfId="1011" xr:uid="{FBAE5C1C-30C5-45A2-932C-659B6E6C5943}"/>
    <cellStyle name="千分位_Book1" xfId="1012" xr:uid="{A72F9AD0-F94B-457A-9AEF-5FDDB90F0A1D}"/>
    <cellStyle name="好" xfId="1013" xr:uid="{3721D17A-6988-4D40-BB7F-8023CBE184BB}"/>
    <cellStyle name="好_CHICILON FullRateCard 2011" xfId="1014" xr:uid="{86404757-474E-437B-A0DA-092E97853408}"/>
    <cellStyle name="好_CHICILON FullRateCard 2011 2" xfId="1015" xr:uid="{00345FDF-96A1-4449-A20C-913D83DB9655}"/>
    <cellStyle name="好_CHICILON FullRateCard 2011_Kungfu PAnda" xfId="1016" xr:uid="{A3D6D0E3-71EE-47A0-A9F2-7D1A71C2078B}"/>
    <cellStyle name="好_CHICILON FullRateCard 2011_Kungfu Panda (updated 19MAy)" xfId="1017" xr:uid="{1BBBFE09-4459-42ED-8082-1BD8E5E7AB65}"/>
    <cellStyle name="好_CHICILON FullRateCard 2011_Kungfu Panda (updated)" xfId="1018" xr:uid="{2FC123E0-C2F5-4EF8-95B8-47787369FDDA}"/>
    <cellStyle name="好_CHICILON FullRateCard 2011_Kungfu PAnda_Kungfu Panda (updated 19MAy)" xfId="1019" xr:uid="{8690F7B2-0241-471B-87F1-977398076504}"/>
    <cellStyle name="好_CHICILON FullRateCard 2011_Kungfu PAnda_Kungfu Panda (updated)" xfId="1020" xr:uid="{33BFB435-D360-4581-A48E-05E93F2A9763}"/>
    <cellStyle name="好_CHICILON FullRateCard 2011_Kungfu PAnda_MAster Plan of FOH, OOH " xfId="1021" xr:uid="{FEEFDA45-A6DF-4F18-A876-3F1339F13AF1}"/>
    <cellStyle name="好_CHICILON FullRateCard 2011_Kungfu PAnda_Pirate 4 updated" xfId="1022" xr:uid="{4F53EA89-9927-43CF-BE4C-4220D77FA159}"/>
    <cellStyle name="好_CHICILON FullRateCard 2011_Kungfu PAnda_Transformer" xfId="1023" xr:uid="{B817A8FE-2970-4AD5-AA29-4AD85C487F2E}"/>
    <cellStyle name="好_CHICILON FullRateCard 2011_MAster Plan of FOH, OOH " xfId="1024" xr:uid="{B918C23C-1C07-441B-94F1-7DCFB4B462C8}"/>
    <cellStyle name="好_CHICILON FullRateCard 2011_MAster Plan of FOH, OOH  2" xfId="1025" xr:uid="{5DDBE079-46EF-40ED-9838-945DFB44A98C}"/>
    <cellStyle name="好_CHICILON FullRateCard 2011_MEGASTAR-CHICILON Proposal Master2011-2012" xfId="1026" xr:uid="{71E00A70-C7DE-4DA1-8447-690330863BDE}"/>
    <cellStyle name="好_CHICILON FullRateCard 2011_MEGASTAR-CHICILON Proposal Master2011-2012_1" xfId="1027" xr:uid="{CD6A7756-C515-4F29-95AA-EFE14BEE1E48}"/>
    <cellStyle name="好_CHICILON FullRateCard 2011_MEGASTAR-CHICILON Proposal Master2011-2012_1 2" xfId="1028" xr:uid="{3A91A93B-4984-4308-A059-90194720B7A0}"/>
    <cellStyle name="好_CHICILON FullRateCard 2011_MEGASTAR-CHICILON Proposal Master2011-2012_Kungfu Panda (updated 19MAy)" xfId="1029" xr:uid="{3D8FEC68-6188-4917-BDA3-E13422142D31}"/>
    <cellStyle name="好_CHICILON FullRateCard 2011_MEGASTAR-CHICILON Proposal Master2011-2012_Kungfu Panda (updated)" xfId="1030" xr:uid="{D7BC644A-E896-4207-ABE1-E0E4680ECCF7}"/>
    <cellStyle name="好_CHICILON FullRateCard 2011_MEGASTAR-CHICILON Proposal Master2011-2012_MAster Plan of FOH, OOH " xfId="1031" xr:uid="{EFA4406E-344F-4C83-A47B-02C441816809}"/>
    <cellStyle name="好_CHICILON FullRateCard 2011_MEGASTAR-CHICILON Proposal Master2011-2012_Pirate 4 updated" xfId="1032" xr:uid="{8ABFFB5F-2E52-4781-8C11-7A57F41B529A}"/>
    <cellStyle name="好_CHICILON FullRateCard 2011_MEGASTAR-CHICILON Proposal Master2011-2012_Transformer" xfId="1033" xr:uid="{90FCB0B0-8F9B-47BF-93FD-87BC5C093528}"/>
    <cellStyle name="好_CHICILON FullRateCard 2011_MEGASTAR-CHICILON.Proposal.Master2011" xfId="1034" xr:uid="{AA93F41E-D345-4ED9-BAE6-EC0E1DFC6D8D}"/>
    <cellStyle name="好_CHICILON FullRateCard 2011_MEGASTAR-CHICILON.Proposal.Master2011_Kungfu Panda (updated 19MAy)" xfId="1035" xr:uid="{E05B56A8-95AF-422A-97C9-8CFDA1C4CE1C}"/>
    <cellStyle name="好_CHICILON FullRateCard 2011_MEGASTAR-CHICILON.Proposal.Master2011_Kungfu Panda (updated)" xfId="1036" xr:uid="{CE1E47C2-98C4-4A0C-885C-C347B8FECC6C}"/>
    <cellStyle name="好_CHICILON FullRateCard 2011_MEGASTAR-CHICILON.Proposal.Master2011_MAster Plan of FOH, OOH " xfId="1037" xr:uid="{B30986FB-6B11-4DA3-98DF-BCD06406D7E3}"/>
    <cellStyle name="好_CHICILON FullRateCard 2011_MEGASTAR-CHICILON.Proposal.Master2011_Pirate 4 updated" xfId="1038" xr:uid="{49565406-800F-4E06-A6CD-0D7F84950E74}"/>
    <cellStyle name="好_CHICILON FullRateCard 2011_MEGASTAR-CHICILON.Proposal.Master2011_Transformer" xfId="1039" xr:uid="{0D2BF198-26AE-4F07-B1F2-77A941ED23F6}"/>
    <cellStyle name="好_CHICILON FullRateCard 2011_Pirate 4 updated" xfId="1040" xr:uid="{72873D7E-331A-4499-B008-C911879D4994}"/>
    <cellStyle name="好_CHICILON FullRateCard 2011_Pirate 4 updated 19 May" xfId="1041" xr:uid="{3428E5FA-0710-4145-BF54-F84D7C8C0303}"/>
    <cellStyle name="好_CHICILON FullRateCard 2011_RANGO MP" xfId="1042" xr:uid="{047815FD-F34C-4DC5-87B2-D5C214065137}"/>
    <cellStyle name="好_CHICILON FullRateCard 2011_RANGO MP 2" xfId="1043" xr:uid="{5C1F5793-8C55-4B3E-9D45-FBB7B62EE7D7}"/>
    <cellStyle name="好_CHICILON FullRateCard 2011_Summer Block buster" xfId="1044" xr:uid="{9DFA351B-9112-4156-9387-0D5F665D8119}"/>
    <cellStyle name="好_CHICILON FullRateCard 2011_Summer Block buster 2" xfId="1045" xr:uid="{DDA80C9E-8D40-4C2E-BAD9-12604C0D62AF}"/>
    <cellStyle name="好_CHICILON FullRateCard 2011_Transformer" xfId="1046" xr:uid="{01FFEC1C-07FB-4FF7-BB75-DBE5FA85DF8A}"/>
    <cellStyle name="好_CHICILON FullRateCard 2011_T-shirt" xfId="1047" xr:uid="{B43529AC-F72E-4636-A606-5240D5B46D2D}"/>
    <cellStyle name="好_CHICILON FullRateCard 2011_T-shirt_Kungfu Panda (updated 19MAy)" xfId="1048" xr:uid="{F4ACFB5F-40F8-4FF6-AF9F-5C5CB7EE06A5}"/>
    <cellStyle name="好_CHICILON FullRateCard 2011_T-shirt_Kungfu Panda (updated)" xfId="1049" xr:uid="{B058540A-2562-4D92-8425-1ADAC43BCAC2}"/>
    <cellStyle name="好_CHICILON FullRateCard 2011_T-shirt_MAster Plan of FOH, OOH " xfId="1050" xr:uid="{33A47E23-897A-4D5C-8BBD-A8CCA9836518}"/>
    <cellStyle name="好_CHICILON FullRateCard 2011_T-shirt_Pirate 4 updated" xfId="1051" xr:uid="{F5C38F90-0FCF-425C-864D-94F3E5954D92}"/>
    <cellStyle name="好_CHICILON FullRateCard 2011_T-shirt_Transformer" xfId="1052" xr:uid="{387AC1CF-28CB-4EDA-A582-52216C6B732E}"/>
    <cellStyle name="好_CHICILON.General  Rate Card 2011" xfId="1053" xr:uid="{3F2ED672-1C5D-481D-B346-AC8B04101EC0}"/>
    <cellStyle name="好_CHICILON.General  Rate Card 2011_Kungfu Panda (updated 19MAy)" xfId="1054" xr:uid="{C46F6A0F-D296-4310-B59D-E98922F287D5}"/>
    <cellStyle name="好_CHICILON.General  Rate Card 2011_Kungfu Panda (updated)" xfId="1055" xr:uid="{A6705006-5671-4FA8-A416-B7397A04EB5F}"/>
    <cellStyle name="好_CHICILON.General  Rate Card 2011_MAster Plan of FOH, OOH " xfId="1056" xr:uid="{70466425-AED8-4E27-AADE-3D788673EBB2}"/>
    <cellStyle name="好_CHICILON.General  Rate Card 2011_MEGASTAR-CHICILON Proposal Master2011-2012" xfId="1057" xr:uid="{F4C07462-BEDF-4634-A18E-9C40585EE7C3}"/>
    <cellStyle name="好_CHICILON.General  Rate Card 2011_MEGASTAR-CHICILON Proposal Master2011-2012 2" xfId="1058" xr:uid="{F2E737F8-A3D3-4D5E-9E65-7F5C5D3266AD}"/>
    <cellStyle name="好_CHICILON.General  Rate Card 2011_Pirate 4 updated" xfId="1059" xr:uid="{A981CA58-01B7-4EF4-8F4C-7722931F626F}"/>
    <cellStyle name="好_CHICILON.General  Rate Card 2011_Transformer" xfId="1060" xr:uid="{84EFE7CD-E217-4E5B-B94C-6FD4E4DD8083}"/>
    <cellStyle name="好_Copy of DANH SACH LCD UPDATE NGAY 26 04 2010 " xfId="1061" xr:uid="{DEB59AA3-B606-43AC-8714-8E646C01AD6A}"/>
    <cellStyle name="好_Copy of DANH SACH LCD UPDATE NGAY 26 04 2010  2" xfId="1062" xr:uid="{8AD37F8A-D63C-4ACC-A8A5-625BD7030CDA}"/>
    <cellStyle name="好_Copy of DANH SACH LCD UPDATE NGAY 26 04 2010 _Kungfu PAnda" xfId="1063" xr:uid="{CDCCACE3-8BEF-4917-8C68-6592C77325FA}"/>
    <cellStyle name="好_Copy of DANH SACH LCD UPDATE NGAY 26 04 2010 _Kungfu Panda (updated 19MAy)" xfId="1064" xr:uid="{3EB3FBA4-A70C-40E4-9858-D7927DAA9B36}"/>
    <cellStyle name="好_Copy of DANH SACH LCD UPDATE NGAY 26 04 2010 _Kungfu Panda (updated)" xfId="1065" xr:uid="{2379F298-B5F3-43B0-BB41-819B4B40912C}"/>
    <cellStyle name="好_Copy of DANH SACH LCD UPDATE NGAY 26 04 2010 _Kungfu PAnda_Kungfu Panda (updated 19MAy)" xfId="1066" xr:uid="{42CB5BF5-ABCE-434C-A7A0-27E3FB7CFD8C}"/>
    <cellStyle name="好_Copy of DANH SACH LCD UPDATE NGAY 26 04 2010 _Kungfu PAnda_Kungfu Panda (updated)" xfId="1067" xr:uid="{A1518CA6-B9AF-4286-880C-EDA8DEA8853B}"/>
    <cellStyle name="好_Copy of DANH SACH LCD UPDATE NGAY 26 04 2010 _Kungfu PAnda_MAster Plan of FOH, OOH " xfId="1068" xr:uid="{09ED65F0-6A2B-4987-8009-F21EED926A05}"/>
    <cellStyle name="好_Copy of DANH SACH LCD UPDATE NGAY 26 04 2010 _Kungfu PAnda_Pirate 4 updated" xfId="1069" xr:uid="{A8B7D703-F57B-44C3-85A2-D966D815A34F}"/>
    <cellStyle name="好_Copy of DANH SACH LCD UPDATE NGAY 26 04 2010 _Kungfu PAnda_Transformer" xfId="1070" xr:uid="{AD4D93B8-F55B-4723-8B56-D1EE01421206}"/>
    <cellStyle name="好_Copy of DANH SACH LCD UPDATE NGAY 26 04 2010 _MAster Plan of FOH, OOH " xfId="1071" xr:uid="{5A10271F-44F8-4E7D-B250-72240938562A}"/>
    <cellStyle name="好_Copy of DANH SACH LCD UPDATE NGAY 26 04 2010 _MAster Plan of FOH, OOH  2" xfId="1072" xr:uid="{CF51E41F-AB46-4D58-835F-757BA169684C}"/>
    <cellStyle name="好_Copy of DANH SACH LCD UPDATE NGAY 26 04 2010 _MEGASTAR-CHICILON Proposal Master2011-2012" xfId="1073" xr:uid="{4A5C6F2B-CCE2-4BAA-9AEA-3AA0029CD59A}"/>
    <cellStyle name="好_Copy of DANH SACH LCD UPDATE NGAY 26 04 2010 _MEGASTAR-CHICILON Proposal Master2011-2012_1" xfId="1074" xr:uid="{F4658E11-48CE-4BEF-8A1D-44A07E12DDAE}"/>
    <cellStyle name="好_Copy of DANH SACH LCD UPDATE NGAY 26 04 2010 _MEGASTAR-CHICILON Proposal Master2011-2012_1 2" xfId="1075" xr:uid="{AD4ED643-7861-422D-963C-7AFBA5EEA6D5}"/>
    <cellStyle name="好_Copy of DANH SACH LCD UPDATE NGAY 26 04 2010 _MEGASTAR-CHICILON Proposal Master2011-2012_Kungfu Panda (updated 19MAy)" xfId="1076" xr:uid="{EEDCDBE7-FA2D-4DC6-A213-D6093C61B6DC}"/>
    <cellStyle name="好_Copy of DANH SACH LCD UPDATE NGAY 26 04 2010 _MEGASTAR-CHICILON Proposal Master2011-2012_Kungfu Panda (updated)" xfId="1077" xr:uid="{ADEFDA35-04A0-4EB5-AF56-74965CD8AB31}"/>
    <cellStyle name="好_Copy of DANH SACH LCD UPDATE NGAY 26 04 2010 _MEGASTAR-CHICILON Proposal Master2011-2012_MAster Plan of FOH, OOH " xfId="1078" xr:uid="{764079E7-2131-49A0-AB05-50F4064E7B82}"/>
    <cellStyle name="好_Copy of DANH SACH LCD UPDATE NGAY 26 04 2010 _MEGASTAR-CHICILON Proposal Master2011-2012_Pirate 4 updated" xfId="1079" xr:uid="{1158B960-36CA-45F5-9D89-64919E975F5B}"/>
    <cellStyle name="好_Copy of DANH SACH LCD UPDATE NGAY 26 04 2010 _MEGASTAR-CHICILON Proposal Master2011-2012_Transformer" xfId="1080" xr:uid="{0AD4F3F5-F1D6-4C48-8EDE-13F1CB04B94A}"/>
    <cellStyle name="好_Copy of DANH SACH LCD UPDATE NGAY 26 04 2010 _MEGASTAR-CHICILON.Proposal.Master2011" xfId="1081" xr:uid="{AE6485A4-0495-4F55-AA65-76A783BEC80F}"/>
    <cellStyle name="好_Copy of DANH SACH LCD UPDATE NGAY 26 04 2010 _MEGASTAR-CHICILON.Proposal.Master2011_Kungfu Panda (updated 19MAy)" xfId="1082" xr:uid="{D58332C7-4CCC-43FA-8336-1157EBA21B3D}"/>
    <cellStyle name="好_Copy of DANH SACH LCD UPDATE NGAY 26 04 2010 _MEGASTAR-CHICILON.Proposal.Master2011_Kungfu Panda (updated)" xfId="1083" xr:uid="{5B528997-3AE3-4E20-90D6-0F52A587B117}"/>
    <cellStyle name="好_Copy of DANH SACH LCD UPDATE NGAY 26 04 2010 _MEGASTAR-CHICILON.Proposal.Master2011_MAster Plan of FOH, OOH " xfId="1084" xr:uid="{0746FA32-DA77-42BD-B958-4AD0111F1947}"/>
    <cellStyle name="好_Copy of DANH SACH LCD UPDATE NGAY 26 04 2010 _MEGASTAR-CHICILON.Proposal.Master2011_Pirate 4 updated" xfId="1085" xr:uid="{99BA71EE-0353-4DDE-BB2E-CCA68F9CB865}"/>
    <cellStyle name="好_Copy of DANH SACH LCD UPDATE NGAY 26 04 2010 _MEGASTAR-CHICILON.Proposal.Master2011_Transformer" xfId="1086" xr:uid="{0A7CCBD1-0FA4-4C25-93D4-CD30916CCE32}"/>
    <cellStyle name="好_Copy of DANH SACH LCD UPDATE NGAY 26 04 2010 _Pirate 4 updated" xfId="1087" xr:uid="{30E0820A-5A63-4ECB-A980-D5974291C17F}"/>
    <cellStyle name="好_Copy of DANH SACH LCD UPDATE NGAY 26 04 2010 _Pirate 4 updated 19 May" xfId="1088" xr:uid="{FC05878C-CC0F-4CDE-AAC3-004BD537FC55}"/>
    <cellStyle name="好_Copy of DANH SACH LCD UPDATE NGAY 26 04 2010 _RANGO MP" xfId="1089" xr:uid="{14D6DC72-4487-4C8D-9DA3-234DC39AFF83}"/>
    <cellStyle name="好_Copy of DANH SACH LCD UPDATE NGAY 26 04 2010 _RANGO MP 2" xfId="1090" xr:uid="{A9F838B4-636B-4F8E-990A-2350133AD3D4}"/>
    <cellStyle name="好_Copy of DANH SACH LCD UPDATE NGAY 26 04 2010 _Summer Block buster" xfId="1091" xr:uid="{3C3C460A-965F-4EAB-9FB4-41ECEE5857E8}"/>
    <cellStyle name="好_Copy of DANH SACH LCD UPDATE NGAY 26 04 2010 _Summer Block buster 2" xfId="1092" xr:uid="{CFD3831B-838B-4A89-8EF6-8ED27E38D0C9}"/>
    <cellStyle name="好_Copy of DANH SACH LCD UPDATE NGAY 26 04 2010 _Transformer" xfId="1093" xr:uid="{B7899154-BA72-4B4A-891F-C88869C60F0B}"/>
    <cellStyle name="好_Copy of DANH SACH LCD UPDATE NGAY 26 04 2010 _T-shirt" xfId="1094" xr:uid="{1BC2D173-6C8B-4F6D-A22A-C168060B5666}"/>
    <cellStyle name="好_Copy of DANH SACH LCD UPDATE NGAY 26 04 2010 _T-shirt_Kungfu Panda (updated 19MAy)" xfId="1095" xr:uid="{AD6A1665-484E-4F8A-8E0B-F204D5CEFC97}"/>
    <cellStyle name="好_Copy of DANH SACH LCD UPDATE NGAY 26 04 2010 _T-shirt_Kungfu Panda (updated)" xfId="1096" xr:uid="{4E246623-0A8C-4E07-9062-EFDF43009B31}"/>
    <cellStyle name="好_Copy of DANH SACH LCD UPDATE NGAY 26 04 2010 _T-shirt_MAster Plan of FOH, OOH " xfId="1097" xr:uid="{CFF25D30-D520-4FF5-8FDC-26FC503B0006}"/>
    <cellStyle name="好_Copy of DANH SACH LCD UPDATE NGAY 26 04 2010 _T-shirt_Pirate 4 updated" xfId="1098" xr:uid="{138545C3-D65F-40A1-9721-ED6892A75A02}"/>
    <cellStyle name="好_Copy of DANH SACH LCD UPDATE NGAY 26 04 2010 _T-shirt_Transformer" xfId="1099" xr:uid="{28EE29E9-CD10-43D7-9BEC-9B32F62AF024}"/>
    <cellStyle name="好_GENERAL RATECARD 2011" xfId="1100" xr:uid="{58FF4AE4-8C83-4A2A-8318-0EABF493222C}"/>
    <cellStyle name="好_GENERAL RATECARD 2011_Kungfu Panda (updated 19MAy)" xfId="1101" xr:uid="{00D8B76A-4E8F-4517-9D2C-16F2D35EFEBC}"/>
    <cellStyle name="好_GENERAL RATECARD 2011_Kungfu Panda (updated)" xfId="1102" xr:uid="{A91DA824-A18B-48DE-8917-05C7EBDA084A}"/>
    <cellStyle name="好_GENERAL RATECARD 2011_MAster Plan of FOH, OOH " xfId="1103" xr:uid="{B84D12CA-D5AE-49E4-8BC7-915CCC1D8A8B}"/>
    <cellStyle name="好_GENERAL RATECARD 2011_MEGASTAR-CHICILON Proposal Master2011-2012" xfId="1104" xr:uid="{0FB4F377-91FB-4F36-8212-D20C0CBF8C13}"/>
    <cellStyle name="好_GENERAL RATECARD 2011_MEGASTAR-CHICILON Proposal Master2011-2012 2" xfId="1105" xr:uid="{BD41364B-7B5D-4530-B5A9-C48C4CFC5102}"/>
    <cellStyle name="好_GENERAL RATECARD 2011_Pirate 4 updated" xfId="1106" xr:uid="{918F87D2-5495-473C-8C6F-24363CE6E020}"/>
    <cellStyle name="好_GENERAL RATECARD 2011_Transformer" xfId="1107" xr:uid="{0220316C-7931-470C-8A12-4C0CC7F22C3A}"/>
    <cellStyle name="好_LCD 15-9 " xfId="1108" xr:uid="{47EBBAE9-4FF7-4C65-9CC2-1F9EA3993331}"/>
    <cellStyle name="好_LCD 15-9  2" xfId="1109" xr:uid="{25BFCBE2-9505-433B-A481-682D880D27CB}"/>
    <cellStyle name="好_LCD 15-9 _Kungfu PAnda" xfId="1110" xr:uid="{5FC39756-32CC-4E1F-9FD6-2D2B007F8141}"/>
    <cellStyle name="好_LCD 15-9 _Kungfu Panda (updated 19MAy)" xfId="1111" xr:uid="{91B967D3-58DA-4E3C-9EE9-97F2119F9325}"/>
    <cellStyle name="好_LCD 15-9 _Kungfu Panda (updated)" xfId="1112" xr:uid="{895533E2-35B8-4FFE-913D-2E428E187937}"/>
    <cellStyle name="好_LCD 15-9 _Kungfu PAnda_Kungfu Panda (updated 19MAy)" xfId="1113" xr:uid="{54A02248-8372-4C1C-97EA-7FE7C00E0EBB}"/>
    <cellStyle name="好_LCD 15-9 _Kungfu PAnda_Kungfu Panda (updated)" xfId="1114" xr:uid="{3880B795-840F-4FEC-AC30-E58B4DBF22A5}"/>
    <cellStyle name="好_LCD 15-9 _Kungfu PAnda_MAster Plan of FOH, OOH " xfId="1115" xr:uid="{D01EE176-2609-4D7D-8ACA-B57BE4BED3AD}"/>
    <cellStyle name="好_LCD 15-9 _Kungfu PAnda_Pirate 4 updated" xfId="1116" xr:uid="{D5F3629C-922A-456F-9141-34434F7EE2EE}"/>
    <cellStyle name="好_LCD 15-9 _Kungfu PAnda_Transformer" xfId="1117" xr:uid="{8BAC1D9D-89AA-41B3-960A-F86CFFB67E32}"/>
    <cellStyle name="好_LCD 15-9 _MAster Plan of FOH, OOH " xfId="1118" xr:uid="{91005648-7425-4066-A9AE-930302972A1A}"/>
    <cellStyle name="好_LCD 15-9 _MAster Plan of FOH, OOH  2" xfId="1119" xr:uid="{2BB2829C-61CB-40C8-9DDB-B1D6DC97DC6E}"/>
    <cellStyle name="好_LCD 15-9 _MEGASTAR-CHICILON Proposal Master2011-2012" xfId="1120" xr:uid="{F8F59EE7-B11D-43FD-AB31-5B7132FF4B1B}"/>
    <cellStyle name="好_LCD 15-9 _MEGASTAR-CHICILON Proposal Master2011-2012_1" xfId="1121" xr:uid="{F33949F7-6FCD-4050-BA1F-10F806EBBAC4}"/>
    <cellStyle name="好_LCD 15-9 _MEGASTAR-CHICILON Proposal Master2011-2012_1 2" xfId="1122" xr:uid="{65854D1A-D08D-4693-9C54-5822A8A47355}"/>
    <cellStyle name="好_LCD 15-9 _MEGASTAR-CHICILON Proposal Master2011-2012_Kungfu Panda (updated 19MAy)" xfId="1123" xr:uid="{A899CF4C-1A0B-42AF-B5F2-CFEED7A843F7}"/>
    <cellStyle name="好_LCD 15-9 _MEGASTAR-CHICILON Proposal Master2011-2012_Kungfu Panda (updated)" xfId="1124" xr:uid="{E1373899-14D6-4537-8463-5E631CC3C662}"/>
    <cellStyle name="好_LCD 15-9 _MEGASTAR-CHICILON Proposal Master2011-2012_MAster Plan of FOH, OOH " xfId="1125" xr:uid="{0FEA891F-9AF9-4524-A26A-1175547C3B9A}"/>
    <cellStyle name="好_LCD 15-9 _MEGASTAR-CHICILON Proposal Master2011-2012_Pirate 4 updated" xfId="1126" xr:uid="{B0C83BB7-EA34-48F8-8210-D22DE26D97CF}"/>
    <cellStyle name="好_LCD 15-9 _MEGASTAR-CHICILON Proposal Master2011-2012_Transformer" xfId="1127" xr:uid="{AE52D1EA-5942-47F0-B73C-BC0F1A6A7C52}"/>
    <cellStyle name="好_LCD 15-9 _MEGASTAR-CHICILON.Proposal.Master2011" xfId="1128" xr:uid="{D7268706-CCC4-41EC-AB4D-FB7260AAED97}"/>
    <cellStyle name="好_LCD 15-9 _MEGASTAR-CHICILON.Proposal.Master2011_Kungfu Panda (updated 19MAy)" xfId="1129" xr:uid="{8FBB53C4-2FEA-4A3E-BAD8-9870A9736D18}"/>
    <cellStyle name="好_LCD 15-9 _MEGASTAR-CHICILON.Proposal.Master2011_Kungfu Panda (updated)" xfId="1130" xr:uid="{445D9571-6570-4E91-AF06-C73883DB65F8}"/>
    <cellStyle name="好_LCD 15-9 _MEGASTAR-CHICILON.Proposal.Master2011_MAster Plan of FOH, OOH " xfId="1131" xr:uid="{5285DF00-ECDC-42C1-83B4-B6DAF1BCB865}"/>
    <cellStyle name="好_LCD 15-9 _MEGASTAR-CHICILON.Proposal.Master2011_Pirate 4 updated" xfId="1132" xr:uid="{7563C025-4FBC-47E8-936A-B38B719AB118}"/>
    <cellStyle name="好_LCD 15-9 _MEGASTAR-CHICILON.Proposal.Master2011_Transformer" xfId="1133" xr:uid="{A538B295-D62B-4E3D-977E-3800CA903DAB}"/>
    <cellStyle name="好_LCD 15-9 _Pirate 4 updated" xfId="1134" xr:uid="{B6F6FFF6-0205-4903-8628-479480264AFE}"/>
    <cellStyle name="好_LCD 15-9 _Pirate 4 updated 19 May" xfId="1135" xr:uid="{8848DB77-9E27-4FE1-9B6E-D84523043E94}"/>
    <cellStyle name="好_LCD 15-9 _RANGO MP" xfId="1136" xr:uid="{9D0FCB0F-41A1-4BE6-9564-5ED3BA6FCF4A}"/>
    <cellStyle name="好_LCD 15-9 _RANGO MP 2" xfId="1137" xr:uid="{99983CC1-401E-4A57-956D-7FE0D35510D4}"/>
    <cellStyle name="好_LCD 15-9 _Summer Block buster" xfId="1138" xr:uid="{497CE246-1C6E-4065-8256-E48B069D5404}"/>
    <cellStyle name="好_LCD 15-9 _Summer Block buster 2" xfId="1139" xr:uid="{BE12E0F3-98A6-4214-8E0D-93B8D1892A8F}"/>
    <cellStyle name="好_LCD 15-9 _Transformer" xfId="1140" xr:uid="{E37FAFBB-5EF4-4C60-A3F2-C66877EFDD6A}"/>
    <cellStyle name="好_LCD 15-9 _T-shirt" xfId="1141" xr:uid="{BDC7B7DF-1C7E-445A-9EC8-DD369119D5B7}"/>
    <cellStyle name="好_LCD 15-9 _T-shirt_Kungfu Panda (updated 19MAy)" xfId="1142" xr:uid="{DB4C4793-17C6-4F8E-8759-0B3CFA26245F}"/>
    <cellStyle name="好_LCD 15-9 _T-shirt_Kungfu Panda (updated)" xfId="1143" xr:uid="{1C01288F-2B9C-49DC-AE9F-4658B753509D}"/>
    <cellStyle name="好_LCD 15-9 _T-shirt_MAster Plan of FOH, OOH " xfId="1144" xr:uid="{0AEBDED2-0132-4EBD-8115-821EB21979AF}"/>
    <cellStyle name="好_LCD 15-9 _T-shirt_Pirate 4 updated" xfId="1145" xr:uid="{1AC8D1FF-3CF1-4E3D-8E9A-E73DB569CC29}"/>
    <cellStyle name="好_LCD 15-9 _T-shirt_Transformer" xfId="1146" xr:uid="{00B74A51-6B15-4AD3-8913-918D05C88F65}"/>
    <cellStyle name="好_LCD 28-10 " xfId="1147" xr:uid="{5676E4DE-A292-4DBC-A3E6-637963CAD1D2}"/>
    <cellStyle name="好_LCD 28-10  2" xfId="1148" xr:uid="{9A7725C4-AF48-415B-88B9-45BDE5D5A33B}"/>
    <cellStyle name="好_LCD 28-10 _Kungfu PAnda" xfId="1149" xr:uid="{70318E09-3F4F-4A0F-89A6-A1001B3CF04E}"/>
    <cellStyle name="好_LCD 28-10 _Kungfu Panda (updated 19MAy)" xfId="1150" xr:uid="{45EC4689-BB08-41C9-96F3-076B866280A9}"/>
    <cellStyle name="好_LCD 28-10 _Kungfu Panda (updated)" xfId="1151" xr:uid="{3785E503-4597-4173-80E8-AD1558E8F594}"/>
    <cellStyle name="好_LCD 28-10 _Kungfu PAnda_Kungfu Panda (updated 19MAy)" xfId="1152" xr:uid="{F94FB7DE-F886-4823-A74F-80F504AA4953}"/>
    <cellStyle name="好_LCD 28-10 _Kungfu PAnda_Kungfu Panda (updated)" xfId="1153" xr:uid="{B04863CA-128B-4980-8FCF-AB574907B6A3}"/>
    <cellStyle name="好_LCD 28-10 _Kungfu PAnda_MAster Plan of FOH, OOH " xfId="1154" xr:uid="{9C465951-67F3-407F-B6F5-EF279E9B8564}"/>
    <cellStyle name="好_LCD 28-10 _Kungfu PAnda_Pirate 4 updated" xfId="1155" xr:uid="{3D5C294B-97C6-4103-9766-E290EFD2B7F5}"/>
    <cellStyle name="好_LCD 28-10 _Kungfu PAnda_Transformer" xfId="1156" xr:uid="{88184ADB-09EB-4CD1-A2D3-548364B2D9D9}"/>
    <cellStyle name="好_LCD 28-10 _MAster Plan of FOH, OOH " xfId="1157" xr:uid="{1BCD7B0E-DD9A-42EB-86ED-CBB2516E61EE}"/>
    <cellStyle name="好_LCD 28-10 _MAster Plan of FOH, OOH  2" xfId="1158" xr:uid="{3B7C93D8-427C-4AF2-949C-89EF9FB88E89}"/>
    <cellStyle name="好_LCD 28-10 _MEGASTAR-CHICILON Proposal Master2011-2012" xfId="1159" xr:uid="{C9AD1B6D-199E-4817-8D61-8840D661DE9E}"/>
    <cellStyle name="好_LCD 28-10 _MEGASTAR-CHICILON Proposal Master2011-2012_1" xfId="1160" xr:uid="{D527EDE4-6E43-4DDD-8EAA-A85E3DF1866C}"/>
    <cellStyle name="好_LCD 28-10 _MEGASTAR-CHICILON Proposal Master2011-2012_1 2" xfId="1161" xr:uid="{617E77A6-A7A0-4347-BCA5-8E049631B45A}"/>
    <cellStyle name="好_LCD 28-10 _MEGASTAR-CHICILON Proposal Master2011-2012_Kungfu Panda (updated 19MAy)" xfId="1162" xr:uid="{BD5FCB41-2F5E-4205-85D1-9E85003793F2}"/>
    <cellStyle name="好_LCD 28-10 _MEGASTAR-CHICILON Proposal Master2011-2012_Kungfu Panda (updated)" xfId="1163" xr:uid="{78B52950-5CED-4B0C-B500-A69419FD9634}"/>
    <cellStyle name="好_LCD 28-10 _MEGASTAR-CHICILON Proposal Master2011-2012_MAster Plan of FOH, OOH " xfId="1164" xr:uid="{34186534-B35B-42B9-BACF-FB89C3B685B6}"/>
    <cellStyle name="好_LCD 28-10 _MEGASTAR-CHICILON Proposal Master2011-2012_Pirate 4 updated" xfId="1165" xr:uid="{A3AB2991-7C59-487D-9E82-E4E1B8A30F7B}"/>
    <cellStyle name="好_LCD 28-10 _MEGASTAR-CHICILON Proposal Master2011-2012_Transformer" xfId="1166" xr:uid="{F0729765-1CF7-496C-BF1A-453C19349658}"/>
    <cellStyle name="好_LCD 28-10 _MEGASTAR-CHICILON.Proposal.Master2011" xfId="1167" xr:uid="{AAD8B16C-FBA4-467D-B7F5-2B7358DF6E3A}"/>
    <cellStyle name="好_LCD 28-10 _MEGASTAR-CHICILON.Proposal.Master2011_Kungfu Panda (updated 19MAy)" xfId="1168" xr:uid="{FB011238-43C5-448F-92C2-162BEE3B8828}"/>
    <cellStyle name="好_LCD 28-10 _MEGASTAR-CHICILON.Proposal.Master2011_Kungfu Panda (updated)" xfId="1169" xr:uid="{C3F64400-A775-41ED-87C6-D9F3B3C1AD2D}"/>
    <cellStyle name="好_LCD 28-10 _MEGASTAR-CHICILON.Proposal.Master2011_MAster Plan of FOH, OOH " xfId="1170" xr:uid="{BA5D0552-CB30-4E94-92A4-FEF3F3B11039}"/>
    <cellStyle name="好_LCD 28-10 _MEGASTAR-CHICILON.Proposal.Master2011_Pirate 4 updated" xfId="1171" xr:uid="{5E8BBC55-0BEF-4D3A-B1FB-0B4A7AACF8D2}"/>
    <cellStyle name="好_LCD 28-10 _MEGASTAR-CHICILON.Proposal.Master2011_Transformer" xfId="1172" xr:uid="{78102B65-B058-44BC-94B6-FA860039E137}"/>
    <cellStyle name="好_LCD 28-10 _Pirate 4 updated" xfId="1173" xr:uid="{9CFA3773-059C-4B21-8CA8-5B1516383F05}"/>
    <cellStyle name="好_LCD 28-10 _Pirate 4 updated 19 May" xfId="1174" xr:uid="{A1A98629-0733-4104-AA88-963CB910BCC0}"/>
    <cellStyle name="好_LCD 28-10 _RANGO MP" xfId="1175" xr:uid="{6C9606F1-B747-47F1-B56C-DB1D47364294}"/>
    <cellStyle name="好_LCD 28-10 _RANGO MP 2" xfId="1176" xr:uid="{A6B1FC3A-D81D-49D2-BD01-70165289A2BC}"/>
    <cellStyle name="好_LCD 28-10 _Summer Block buster" xfId="1177" xr:uid="{853ABF36-31EE-4B6B-A074-A4A67C7B296E}"/>
    <cellStyle name="好_LCD 28-10 _Summer Block buster 2" xfId="1178" xr:uid="{3F8174AC-6DC1-4A4E-9609-57C9450DBF0B}"/>
    <cellStyle name="好_LCD 28-10 _Transformer" xfId="1179" xr:uid="{3C0F3FFE-5810-4B22-8C0C-2702757AA5C2}"/>
    <cellStyle name="好_LCD 28-10 _T-shirt" xfId="1180" xr:uid="{59FF9A43-7E68-44F3-931B-CEF3DFC73057}"/>
    <cellStyle name="好_LCD 28-10 _T-shirt_Kungfu Panda (updated 19MAy)" xfId="1181" xr:uid="{F5A919FE-D96F-4294-A8E0-A7F916A69BAC}"/>
    <cellStyle name="好_LCD 28-10 _T-shirt_Kungfu Panda (updated)" xfId="1182" xr:uid="{ADDC968D-1F51-4AEA-82F0-725A1DF41E8A}"/>
    <cellStyle name="好_LCD 28-10 _T-shirt_MAster Plan of FOH, OOH " xfId="1183" xr:uid="{35CFB9CA-950C-4F16-B76F-00F61A3386E0}"/>
    <cellStyle name="好_LCD 28-10 _T-shirt_Pirate 4 updated" xfId="1184" xr:uid="{9C50B55E-0309-4208-95E3-67C24DD04A85}"/>
    <cellStyle name="好_LCD 28-10 _T-shirt_Transformer" xfId="1185" xr:uid="{B85050C3-515F-4753-91C6-2E67033D16C6}"/>
    <cellStyle name="好_LCD UPDATE NGAY 22-6 2010" xfId="1186" xr:uid="{553641F8-01FD-4B51-8F15-E19D7F7433DD}"/>
    <cellStyle name="好_POSTER FRAME LIST" xfId="1187" xr:uid="{A5BAF095-0905-4688-BCAA-A99172D4B7B5}"/>
    <cellStyle name="差" xfId="1188" xr:uid="{04824D73-F595-4E3F-BE37-36006DFE6DC7}"/>
    <cellStyle name="差_CHICILON FullRateCard 2011" xfId="1189" xr:uid="{A4D1626C-72CA-4EC4-B1EB-15B804B603C8}"/>
    <cellStyle name="差_CHICILON FullRateCard 2011 2" xfId="1190" xr:uid="{7C9D049A-F20E-4DE3-A1F4-4F679EE518CA}"/>
    <cellStyle name="差_CHICILON FullRateCard 2011_Kungfu PAnda" xfId="1191" xr:uid="{818B7EB4-B55E-46E9-933F-1E22CF55AD97}"/>
    <cellStyle name="差_CHICILON FullRateCard 2011_Kungfu Panda (updated 19MAy)" xfId="1192" xr:uid="{6BDCEC1E-CBD1-4DD1-8DAB-D709A5724773}"/>
    <cellStyle name="差_CHICILON FullRateCard 2011_Kungfu Panda (updated)" xfId="1193" xr:uid="{525F6E81-FDBB-467D-A68A-547D5BEC1DC9}"/>
    <cellStyle name="差_CHICILON FullRateCard 2011_Kungfu PAnda_Kungfu Panda (updated 19MAy)" xfId="1194" xr:uid="{B913CFD3-3E4F-4C0E-A638-2B748F2D0FCF}"/>
    <cellStyle name="差_CHICILON FullRateCard 2011_Kungfu PAnda_Kungfu Panda (updated)" xfId="1195" xr:uid="{BA813FDF-F13D-49A5-BE5C-20D7F9FAF2AF}"/>
    <cellStyle name="差_CHICILON FullRateCard 2011_Kungfu PAnda_MAster Plan of FOH, OOH " xfId="1196" xr:uid="{C0717DAD-21ED-414A-984E-484E89EDBF67}"/>
    <cellStyle name="差_CHICILON FullRateCard 2011_Kungfu PAnda_Pirate 4 updated" xfId="1197" xr:uid="{D147298E-B0FA-4CD2-B483-75DB8D15A2DF}"/>
    <cellStyle name="差_CHICILON FullRateCard 2011_Kungfu PAnda_Transformer" xfId="1198" xr:uid="{CB407552-FB44-4C19-ABBA-0C17AF28CE5D}"/>
    <cellStyle name="差_CHICILON FullRateCard 2011_MAster Plan of FOH, OOH " xfId="1199" xr:uid="{B8C47E34-EA74-4975-9737-BB7F39DFB7BF}"/>
    <cellStyle name="差_CHICILON FullRateCard 2011_MAster Plan of FOH, OOH  2" xfId="1200" xr:uid="{DF6D9393-B687-4BFC-BAEA-661E655BB508}"/>
    <cellStyle name="差_CHICILON FullRateCard 2011_MEGASTAR-CHICILON Proposal Master2011-2012" xfId="1201" xr:uid="{DC49CDB9-8834-4BDD-8B80-223E5CC1B2E7}"/>
    <cellStyle name="差_CHICILON FullRateCard 2011_MEGASTAR-CHICILON Proposal Master2011-2012_1" xfId="1202" xr:uid="{9F2A8069-D770-47F7-B4EF-2240DDF9B0AD}"/>
    <cellStyle name="差_CHICILON FullRateCard 2011_MEGASTAR-CHICILON Proposal Master2011-2012_1 2" xfId="1203" xr:uid="{D9299B63-7052-4B02-A716-249B2CB4568C}"/>
    <cellStyle name="差_CHICILON FullRateCard 2011_MEGASTAR-CHICILON Proposal Master2011-2012_Kungfu Panda (updated 19MAy)" xfId="1204" xr:uid="{CBA467CA-B98E-4319-A03A-C4D688ABDEA6}"/>
    <cellStyle name="差_CHICILON FullRateCard 2011_MEGASTAR-CHICILON Proposal Master2011-2012_Kungfu Panda (updated)" xfId="1205" xr:uid="{FDA19C72-4CB9-4E2C-BF9F-6C9C5302D3A0}"/>
    <cellStyle name="差_CHICILON FullRateCard 2011_MEGASTAR-CHICILON Proposal Master2011-2012_MAster Plan of FOH, OOH " xfId="1206" xr:uid="{E6E0F49C-9909-4B9D-A002-733D17FE12F4}"/>
    <cellStyle name="差_CHICILON FullRateCard 2011_MEGASTAR-CHICILON Proposal Master2011-2012_Pirate 4 updated" xfId="1207" xr:uid="{659DB230-5F62-4067-BAB3-C1258EEC4045}"/>
    <cellStyle name="差_CHICILON FullRateCard 2011_MEGASTAR-CHICILON Proposal Master2011-2012_Transformer" xfId="1208" xr:uid="{6B68252A-B9CD-425A-A583-AF7E07710614}"/>
    <cellStyle name="差_CHICILON FullRateCard 2011_MEGASTAR-CHICILON.Proposal.Master2011" xfId="1209" xr:uid="{18DC757D-B7A6-49D3-9B00-11D7119C5043}"/>
    <cellStyle name="差_CHICILON FullRateCard 2011_MEGASTAR-CHICILON.Proposal.Master2011_Kungfu Panda (updated 19MAy)" xfId="1210" xr:uid="{3A74E069-CAD7-46B2-A9CB-5AD593CA7409}"/>
    <cellStyle name="差_CHICILON FullRateCard 2011_MEGASTAR-CHICILON.Proposal.Master2011_Kungfu Panda (updated)" xfId="1211" xr:uid="{EA738167-A4D8-4B61-8795-DF895CE3A5CB}"/>
    <cellStyle name="差_CHICILON FullRateCard 2011_MEGASTAR-CHICILON.Proposal.Master2011_MAster Plan of FOH, OOH " xfId="1212" xr:uid="{3333E738-1700-48BD-9030-7BB88A821BE0}"/>
    <cellStyle name="差_CHICILON FullRateCard 2011_MEGASTAR-CHICILON.Proposal.Master2011_Pirate 4 updated" xfId="1213" xr:uid="{A7464B54-7D62-41D6-9B04-0C83F98B3BC8}"/>
    <cellStyle name="差_CHICILON FullRateCard 2011_MEGASTAR-CHICILON.Proposal.Master2011_Transformer" xfId="1214" xr:uid="{C81C4F0E-1F33-4575-94FC-0AE8FBC1D31F}"/>
    <cellStyle name="差_CHICILON FullRateCard 2011_Pirate 4 updated" xfId="1215" xr:uid="{ECDE2FE0-3F1C-4ECE-9F64-A76C13E12FC0}"/>
    <cellStyle name="差_CHICILON FullRateCard 2011_Pirate 4 updated 19 May" xfId="1216" xr:uid="{FD76FC6A-F771-468C-AFB8-F35D7AA57F2B}"/>
    <cellStyle name="差_CHICILON FullRateCard 2011_RANGO MP" xfId="1217" xr:uid="{C456DF65-B214-4311-B5F4-94B007386C6E}"/>
    <cellStyle name="差_CHICILON FullRateCard 2011_RANGO MP 2" xfId="1218" xr:uid="{9F462F5D-8C3B-4222-A4D6-1269298D6337}"/>
    <cellStyle name="差_CHICILON FullRateCard 2011_Summer Block buster" xfId="1219" xr:uid="{423F592B-1D77-44E7-B1AB-AE7A393AC119}"/>
    <cellStyle name="差_CHICILON FullRateCard 2011_Summer Block buster 2" xfId="1220" xr:uid="{3B242F41-4A13-4E5C-AE69-37126CA9199B}"/>
    <cellStyle name="差_CHICILON FullRateCard 2011_Transformer" xfId="1221" xr:uid="{23E7CA7F-CCB0-4377-88E3-DB2D85A45010}"/>
    <cellStyle name="差_CHICILON FullRateCard 2011_T-shirt" xfId="1222" xr:uid="{43381314-60EC-4F9A-8693-961A6638A412}"/>
    <cellStyle name="差_CHICILON FullRateCard 2011_T-shirt_Kungfu Panda (updated 19MAy)" xfId="1223" xr:uid="{512A9592-D1D4-4A5A-87A6-F617C434B23C}"/>
    <cellStyle name="差_CHICILON FullRateCard 2011_T-shirt_Kungfu Panda (updated)" xfId="1224" xr:uid="{AE6291B0-F37B-4D64-A81D-036A6B4E8E7A}"/>
    <cellStyle name="差_CHICILON FullRateCard 2011_T-shirt_MAster Plan of FOH, OOH " xfId="1225" xr:uid="{3AD46B03-8658-4BD4-B36D-698E11BE37AF}"/>
    <cellStyle name="差_CHICILON FullRateCard 2011_T-shirt_Pirate 4 updated" xfId="1226" xr:uid="{92093EF4-E3E2-4C7A-B64A-BBB755ECCE2E}"/>
    <cellStyle name="差_CHICILON FullRateCard 2011_T-shirt_Transformer" xfId="1227" xr:uid="{DF8B2B7C-BCA6-4B95-8869-4FF98523BDA3}"/>
    <cellStyle name="差_CHICILON.General  Rate Card 2011" xfId="1228" xr:uid="{F7BDEA10-5DCA-4318-819D-DC0CA7F561B0}"/>
    <cellStyle name="差_CHICILON.General  Rate Card 2011_Kungfu Panda (updated 19MAy)" xfId="1229" xr:uid="{57DE2DCE-4DD8-460B-A530-A4CE97034579}"/>
    <cellStyle name="差_CHICILON.General  Rate Card 2011_Kungfu Panda (updated)" xfId="1230" xr:uid="{97ADCECE-D398-4AB2-B82C-31BD5082EA24}"/>
    <cellStyle name="差_CHICILON.General  Rate Card 2011_MAster Plan of FOH, OOH " xfId="1231" xr:uid="{BF6FC3F8-0BFC-4858-B37E-3CAC528214A4}"/>
    <cellStyle name="差_CHICILON.General  Rate Card 2011_MEGASTAR-CHICILON Proposal Master2011-2012" xfId="1232" xr:uid="{9D735614-9934-4237-A55A-524D210743FD}"/>
    <cellStyle name="差_CHICILON.General  Rate Card 2011_MEGASTAR-CHICILON Proposal Master2011-2012 2" xfId="1233" xr:uid="{2C3CCB7B-5249-4C05-97B7-B026B7ECDE73}"/>
    <cellStyle name="差_CHICILON.General  Rate Card 2011_Pirate 4 updated" xfId="1234" xr:uid="{24AA4FE2-4C09-4F99-A311-C3BA68D4C1D4}"/>
    <cellStyle name="差_CHICILON.General  Rate Card 2011_Transformer" xfId="1235" xr:uid="{1B7229FA-B4CC-4A5B-9D36-6D1076408EE8}"/>
    <cellStyle name="差_Copy of DANH SACH LCD UPDATE NGAY 26 04 2010 " xfId="1236" xr:uid="{9242FFB7-0448-4539-8814-301E9F9B1D7D}"/>
    <cellStyle name="差_Copy of DANH SACH LCD UPDATE NGAY 26 04 2010  2" xfId="1237" xr:uid="{E17611C8-79F0-494A-B5CC-B44D3FF540CC}"/>
    <cellStyle name="差_Copy of DANH SACH LCD UPDATE NGAY 26 04 2010 _Kungfu PAnda" xfId="1238" xr:uid="{DC2EB0CB-951E-4639-8871-DDF654808F54}"/>
    <cellStyle name="差_Copy of DANH SACH LCD UPDATE NGAY 26 04 2010 _Kungfu Panda (updated 19MAy)" xfId="1239" xr:uid="{0E998BE4-2469-4999-89F3-EF3C02DA559B}"/>
    <cellStyle name="差_Copy of DANH SACH LCD UPDATE NGAY 26 04 2010 _Kungfu Panda (updated)" xfId="1240" xr:uid="{7BD16C93-1E66-4958-9360-1E8E338E2E9A}"/>
    <cellStyle name="差_Copy of DANH SACH LCD UPDATE NGAY 26 04 2010 _Kungfu PAnda_Kungfu Panda (updated 19MAy)" xfId="1241" xr:uid="{86132036-61A8-4451-AB8A-C99B53903A63}"/>
    <cellStyle name="差_Copy of DANH SACH LCD UPDATE NGAY 26 04 2010 _Kungfu PAnda_Kungfu Panda (updated)" xfId="1242" xr:uid="{70C7B6EA-39E3-40B3-8C9B-9DCA923A05B5}"/>
    <cellStyle name="差_Copy of DANH SACH LCD UPDATE NGAY 26 04 2010 _Kungfu PAnda_MAster Plan of FOH, OOH " xfId="1243" xr:uid="{5AFA6891-DC9D-45ED-9185-7C3414A01B28}"/>
    <cellStyle name="差_Copy of DANH SACH LCD UPDATE NGAY 26 04 2010 _Kungfu PAnda_Pirate 4 updated" xfId="1244" xr:uid="{6BE815B7-425F-4BB7-8CD3-EFB92D397426}"/>
    <cellStyle name="差_Copy of DANH SACH LCD UPDATE NGAY 26 04 2010 _Kungfu PAnda_Transformer" xfId="1245" xr:uid="{EC1EFF4E-72C6-415C-9E9E-0FB75A863952}"/>
    <cellStyle name="差_Copy of DANH SACH LCD UPDATE NGAY 26 04 2010 _MAster Plan of FOH, OOH " xfId="1246" xr:uid="{2C958B77-C462-4EEC-A5B0-7F58240D41F6}"/>
    <cellStyle name="差_Copy of DANH SACH LCD UPDATE NGAY 26 04 2010 _MAster Plan of FOH, OOH  2" xfId="1247" xr:uid="{C148F0A2-C999-44F7-9EFB-8B57CE3475F6}"/>
    <cellStyle name="差_Copy of DANH SACH LCD UPDATE NGAY 26 04 2010 _MEGASTAR-CHICILON Proposal Master2011-2012" xfId="1248" xr:uid="{71CA79C1-D620-43A4-B801-E8568717E997}"/>
    <cellStyle name="差_Copy of DANH SACH LCD UPDATE NGAY 26 04 2010 _MEGASTAR-CHICILON Proposal Master2011-2012_1" xfId="1249" xr:uid="{00BBEFD9-003F-4996-BD7D-A2A7C9FB3917}"/>
    <cellStyle name="差_Copy of DANH SACH LCD UPDATE NGAY 26 04 2010 _MEGASTAR-CHICILON Proposal Master2011-2012_1 2" xfId="1250" xr:uid="{0E2476EF-17CA-4C03-B99C-325EC6480D5A}"/>
    <cellStyle name="差_Copy of DANH SACH LCD UPDATE NGAY 26 04 2010 _MEGASTAR-CHICILON Proposal Master2011-2012_Kungfu Panda (updated 19MAy)" xfId="1251" xr:uid="{C65524D8-1DB6-4088-BD33-ACFEDDE4BEC9}"/>
    <cellStyle name="差_Copy of DANH SACH LCD UPDATE NGAY 26 04 2010 _MEGASTAR-CHICILON Proposal Master2011-2012_Kungfu Panda (updated)" xfId="1252" xr:uid="{89C54B05-B929-41FC-86EA-9F4C204B3A3B}"/>
    <cellStyle name="差_Copy of DANH SACH LCD UPDATE NGAY 26 04 2010 _MEGASTAR-CHICILON Proposal Master2011-2012_MAster Plan of FOH, OOH " xfId="1253" xr:uid="{E8041F20-FFB4-4903-B2B3-606F223F7B24}"/>
    <cellStyle name="差_Copy of DANH SACH LCD UPDATE NGAY 26 04 2010 _MEGASTAR-CHICILON Proposal Master2011-2012_Pirate 4 updated" xfId="1254" xr:uid="{53DE3215-4B70-441D-B9CF-74116731BD59}"/>
    <cellStyle name="差_Copy of DANH SACH LCD UPDATE NGAY 26 04 2010 _MEGASTAR-CHICILON Proposal Master2011-2012_Transformer" xfId="1255" xr:uid="{4B6E513B-537E-4ACA-809D-C40F1DF00FB0}"/>
    <cellStyle name="差_Copy of DANH SACH LCD UPDATE NGAY 26 04 2010 _MEGASTAR-CHICILON.Proposal.Master2011" xfId="1256" xr:uid="{57C22FF9-8FA3-4C3A-8E62-EDAA9BFA76DE}"/>
    <cellStyle name="差_Copy of DANH SACH LCD UPDATE NGAY 26 04 2010 _MEGASTAR-CHICILON.Proposal.Master2011_Kungfu Panda (updated 19MAy)" xfId="1257" xr:uid="{780A96B4-4013-4C2F-9DEF-B4D723B484E2}"/>
    <cellStyle name="差_Copy of DANH SACH LCD UPDATE NGAY 26 04 2010 _MEGASTAR-CHICILON.Proposal.Master2011_Kungfu Panda (updated)" xfId="1258" xr:uid="{A8FEB5B3-4240-425A-89D9-AB8E5637E312}"/>
    <cellStyle name="差_Copy of DANH SACH LCD UPDATE NGAY 26 04 2010 _MEGASTAR-CHICILON.Proposal.Master2011_MAster Plan of FOH, OOH " xfId="1259" xr:uid="{30CC716A-CE37-4132-8E63-457DC4962CB0}"/>
    <cellStyle name="差_Copy of DANH SACH LCD UPDATE NGAY 26 04 2010 _MEGASTAR-CHICILON.Proposal.Master2011_Pirate 4 updated" xfId="1260" xr:uid="{2C578BC4-BD57-486E-ACA5-D4B1AFC73386}"/>
    <cellStyle name="差_Copy of DANH SACH LCD UPDATE NGAY 26 04 2010 _MEGASTAR-CHICILON.Proposal.Master2011_Transformer" xfId="1261" xr:uid="{7453693E-146D-4C1A-851C-DF57F11CB0FC}"/>
    <cellStyle name="差_Copy of DANH SACH LCD UPDATE NGAY 26 04 2010 _Pirate 4 updated" xfId="1262" xr:uid="{194CD0CB-EECB-4C36-9D51-E80DAD6A360B}"/>
    <cellStyle name="差_Copy of DANH SACH LCD UPDATE NGAY 26 04 2010 _Pirate 4 updated 19 May" xfId="1263" xr:uid="{D6C8A6A3-5AEF-4347-9582-C4A483746CAA}"/>
    <cellStyle name="差_Copy of DANH SACH LCD UPDATE NGAY 26 04 2010 _RANGO MP" xfId="1264" xr:uid="{25B4EF56-54BD-402B-BBD0-F3FDA421BBF7}"/>
    <cellStyle name="差_Copy of DANH SACH LCD UPDATE NGAY 26 04 2010 _RANGO MP 2" xfId="1265" xr:uid="{3AA7E0DF-C36C-4CE3-8469-935736533305}"/>
    <cellStyle name="差_Copy of DANH SACH LCD UPDATE NGAY 26 04 2010 _Summer Block buster" xfId="1266" xr:uid="{15FCA9E2-D4EA-4441-BD12-674E0FB6ACBE}"/>
    <cellStyle name="差_Copy of DANH SACH LCD UPDATE NGAY 26 04 2010 _Summer Block buster 2" xfId="1267" xr:uid="{A7B807E3-D9C4-4C2E-916C-604FD2CDB7D8}"/>
    <cellStyle name="差_Copy of DANH SACH LCD UPDATE NGAY 26 04 2010 _Transformer" xfId="1268" xr:uid="{EEE619D5-56B5-4F4C-B0AF-025951EB9511}"/>
    <cellStyle name="差_Copy of DANH SACH LCD UPDATE NGAY 26 04 2010 _T-shirt" xfId="1269" xr:uid="{4A6B6887-D186-4E72-A344-4B27EA8BEF35}"/>
    <cellStyle name="差_Copy of DANH SACH LCD UPDATE NGAY 26 04 2010 _T-shirt_Kungfu Panda (updated 19MAy)" xfId="1270" xr:uid="{3C170968-72EB-40FB-897F-DB4E7D0647A8}"/>
    <cellStyle name="差_Copy of DANH SACH LCD UPDATE NGAY 26 04 2010 _T-shirt_Kungfu Panda (updated)" xfId="1271" xr:uid="{9AB4C43A-BACB-4B69-92A5-66EA0B4FF2A7}"/>
    <cellStyle name="差_Copy of DANH SACH LCD UPDATE NGAY 26 04 2010 _T-shirt_MAster Plan of FOH, OOH " xfId="1272" xr:uid="{6BC99A51-6BBB-40A3-8631-E3FDC2DEE7FA}"/>
    <cellStyle name="差_Copy of DANH SACH LCD UPDATE NGAY 26 04 2010 _T-shirt_Pirate 4 updated" xfId="1273" xr:uid="{85FB3160-F40B-4237-A2E0-3651B1431588}"/>
    <cellStyle name="差_Copy of DANH SACH LCD UPDATE NGAY 26 04 2010 _T-shirt_Transformer" xfId="1274" xr:uid="{573DC0B5-9BC9-4048-9FA1-BA2DA4F929E7}"/>
    <cellStyle name="差_GENERAL RATECARD 2011" xfId="1275" xr:uid="{F6E6CB81-6F08-42A8-88A9-10640E37A440}"/>
    <cellStyle name="差_GENERAL RATECARD 2011_Kungfu Panda (updated 19MAy)" xfId="1276" xr:uid="{BB6BB7F6-42E3-458C-81E9-4B0245C54393}"/>
    <cellStyle name="差_GENERAL RATECARD 2011_Kungfu Panda (updated)" xfId="1277" xr:uid="{D4C66201-CD91-4699-AB24-550558EFBF04}"/>
    <cellStyle name="差_GENERAL RATECARD 2011_MAster Plan of FOH, OOH " xfId="1278" xr:uid="{72AD8947-6523-42BA-BA8A-369E0BEFAB64}"/>
    <cellStyle name="差_GENERAL RATECARD 2011_MEGASTAR-CHICILON Proposal Master2011-2012" xfId="1279" xr:uid="{B74BA614-05B0-46A0-AF9C-4A3734A00DB0}"/>
    <cellStyle name="差_GENERAL RATECARD 2011_MEGASTAR-CHICILON Proposal Master2011-2012 2" xfId="1280" xr:uid="{E559F7BA-1939-4F32-B578-8C04843CB4BB}"/>
    <cellStyle name="差_GENERAL RATECARD 2011_Pirate 4 updated" xfId="1281" xr:uid="{D99330C9-7B94-4CFF-9ABE-9D1869507D07}"/>
    <cellStyle name="差_GENERAL RATECARD 2011_Transformer" xfId="1282" xr:uid="{1F20B0C6-FDD5-44D7-A5B2-21C1DCDC30DA}"/>
    <cellStyle name="差_LCD 15-9 " xfId="1283" xr:uid="{5AAF9044-23EE-48A0-91FB-849F6BC8AF7A}"/>
    <cellStyle name="差_LCD 15-9  2" xfId="1284" xr:uid="{97DAA493-D6F4-4334-A16C-D186BCC5EF86}"/>
    <cellStyle name="差_LCD 15-9 _Kungfu PAnda" xfId="1285" xr:uid="{304A0F5D-853B-4A0B-811A-FBA41CD52A62}"/>
    <cellStyle name="差_LCD 15-9 _Kungfu Panda (updated 19MAy)" xfId="1286" xr:uid="{DAB278D0-34AA-40F6-A328-84E8AA144D9C}"/>
    <cellStyle name="差_LCD 15-9 _Kungfu Panda (updated)" xfId="1287" xr:uid="{7AB6A4DF-1CE6-4345-BEF3-038C50ABBF83}"/>
    <cellStyle name="差_LCD 15-9 _Kungfu PAnda_Kungfu Panda (updated 19MAy)" xfId="1288" xr:uid="{CE91E174-CFD6-4356-8FC2-9659E4DE5804}"/>
    <cellStyle name="差_LCD 15-9 _Kungfu PAnda_Kungfu Panda (updated)" xfId="1289" xr:uid="{CBAB4676-769B-43AB-881F-A7F7672BFFB5}"/>
    <cellStyle name="差_LCD 15-9 _Kungfu PAnda_MAster Plan of FOH, OOH " xfId="1290" xr:uid="{87755A3C-703C-4769-BBC0-1754F6E1C245}"/>
    <cellStyle name="差_LCD 15-9 _Kungfu PAnda_Pirate 4 updated" xfId="1291" xr:uid="{9F3B93A7-28F7-4A33-82B9-CBC1A60D908E}"/>
    <cellStyle name="差_LCD 15-9 _Kungfu PAnda_Transformer" xfId="1292" xr:uid="{4D7FE69A-7310-4981-986C-8F610FAB8294}"/>
    <cellStyle name="差_LCD 15-9 _MAster Plan of FOH, OOH " xfId="1293" xr:uid="{F443F3D2-79C3-4126-A6E5-F24D22D9C776}"/>
    <cellStyle name="差_LCD 15-9 _MAster Plan of FOH, OOH  2" xfId="1294" xr:uid="{E384512F-5AA0-4A11-ACD6-1C2A7E9E3CB2}"/>
    <cellStyle name="差_LCD 15-9 _MEGASTAR-CHICILON Proposal Master2011-2012" xfId="1295" xr:uid="{FF9916C1-317A-4164-9C9F-AFF5DDF862EE}"/>
    <cellStyle name="差_LCD 15-9 _MEGASTAR-CHICILON Proposal Master2011-2012_1" xfId="1296" xr:uid="{112FD7E0-4391-452A-8DAA-D05449F044B5}"/>
    <cellStyle name="差_LCD 15-9 _MEGASTAR-CHICILON Proposal Master2011-2012_1 2" xfId="1297" xr:uid="{C66D0EE6-A113-42EC-A4A4-A78ECAA618BC}"/>
    <cellStyle name="差_LCD 15-9 _MEGASTAR-CHICILON Proposal Master2011-2012_Kungfu Panda (updated 19MAy)" xfId="1298" xr:uid="{A3D81CE2-A53A-4C49-AEBA-9136E098922A}"/>
    <cellStyle name="差_LCD 15-9 _MEGASTAR-CHICILON Proposal Master2011-2012_Kungfu Panda (updated)" xfId="1299" xr:uid="{66BD2EDD-EC08-493D-9497-D07A73AB439E}"/>
    <cellStyle name="差_LCD 15-9 _MEGASTAR-CHICILON Proposal Master2011-2012_MAster Plan of FOH, OOH " xfId="1300" xr:uid="{E9AFDADE-6CAC-4579-8D2A-C0878C1F16C1}"/>
    <cellStyle name="差_LCD 15-9 _MEGASTAR-CHICILON Proposal Master2011-2012_Pirate 4 updated" xfId="1301" xr:uid="{613614A9-6DC2-41C5-99BF-D316F0011BA7}"/>
    <cellStyle name="差_LCD 15-9 _MEGASTAR-CHICILON Proposal Master2011-2012_Transformer" xfId="1302" xr:uid="{FBBC04B0-5C65-4A36-B745-2D349226AAAE}"/>
    <cellStyle name="差_LCD 15-9 _MEGASTAR-CHICILON.Proposal.Master2011" xfId="1303" xr:uid="{93E9C2DB-ED47-40D7-AC8E-8D9CB9F4CF02}"/>
    <cellStyle name="差_LCD 15-9 _MEGASTAR-CHICILON.Proposal.Master2011_Kungfu Panda (updated 19MAy)" xfId="1304" xr:uid="{90138294-942A-46DF-A174-EAF4DCEF8767}"/>
    <cellStyle name="差_LCD 15-9 _MEGASTAR-CHICILON.Proposal.Master2011_Kungfu Panda (updated)" xfId="1305" xr:uid="{161F748E-73F1-45BE-9F0B-01FB6CD2F9DD}"/>
    <cellStyle name="差_LCD 15-9 _MEGASTAR-CHICILON.Proposal.Master2011_MAster Plan of FOH, OOH " xfId="1306" xr:uid="{8715796B-8ED2-4710-A2ED-C576548BF4B6}"/>
    <cellStyle name="差_LCD 15-9 _MEGASTAR-CHICILON.Proposal.Master2011_Pirate 4 updated" xfId="1307" xr:uid="{E7630005-BDBB-4828-9BEE-CF3949721227}"/>
    <cellStyle name="差_LCD 15-9 _MEGASTAR-CHICILON.Proposal.Master2011_Transformer" xfId="1308" xr:uid="{D28375B9-EB69-4BF8-9B2E-E5E6708FC4DD}"/>
    <cellStyle name="差_LCD 15-9 _Pirate 4 updated" xfId="1309" xr:uid="{93D2A96A-56D8-400B-9D94-F3081163A35D}"/>
    <cellStyle name="差_LCD 15-9 _Pirate 4 updated 19 May" xfId="1310" xr:uid="{181395A4-91D4-4808-A633-F4D2CDE793CB}"/>
    <cellStyle name="差_LCD 15-9 _RANGO MP" xfId="1311" xr:uid="{BEE9FF10-C650-4060-8709-7C1591A703E7}"/>
    <cellStyle name="差_LCD 15-9 _RANGO MP 2" xfId="1312" xr:uid="{5DB4CFC8-B800-4483-885C-5796556DEECA}"/>
    <cellStyle name="差_LCD 15-9 _Summer Block buster" xfId="1313" xr:uid="{17A6F881-B247-42FA-A3E8-36BAD4BFFC26}"/>
    <cellStyle name="差_LCD 15-9 _Summer Block buster 2" xfId="1314" xr:uid="{1422B7D8-B637-4769-8C87-7CCB0E522BD0}"/>
    <cellStyle name="差_LCD 15-9 _Transformer" xfId="1315" xr:uid="{84ECC5AA-354A-4C5A-B8C7-3414B87AE308}"/>
    <cellStyle name="差_LCD 15-9 _T-shirt" xfId="1316" xr:uid="{6B96C81B-9D86-4B8A-B032-0CEF6BA2759B}"/>
    <cellStyle name="差_LCD 15-9 _T-shirt_Kungfu Panda (updated 19MAy)" xfId="1317" xr:uid="{D6E002C2-EA9E-4A80-8C97-F01D9053D5B5}"/>
    <cellStyle name="差_LCD 15-9 _T-shirt_Kungfu Panda (updated)" xfId="1318" xr:uid="{B2DB7CC7-1834-471D-8D18-1A46C77F8B32}"/>
    <cellStyle name="差_LCD 15-9 _T-shirt_MAster Plan of FOH, OOH " xfId="1319" xr:uid="{385F153F-D060-4CA1-91BB-39D576E5A3E1}"/>
    <cellStyle name="差_LCD 15-9 _T-shirt_Pirate 4 updated" xfId="1320" xr:uid="{C1C93E7F-DE3A-4A33-9A36-3147E5974726}"/>
    <cellStyle name="差_LCD 15-9 _T-shirt_Transformer" xfId="1321" xr:uid="{274F8535-56F1-45C0-AEFE-1C13D6907472}"/>
    <cellStyle name="差_LCD 28-10 " xfId="1322" xr:uid="{CA463299-A05B-4D6C-B26D-A9A64F335221}"/>
    <cellStyle name="差_LCD 28-10  2" xfId="1323" xr:uid="{3A958D8C-2FCB-4D77-A44C-F5F09602AED7}"/>
    <cellStyle name="差_LCD 28-10 _Kungfu PAnda" xfId="1324" xr:uid="{B51451C4-FEA1-4C39-BA45-7987945DC453}"/>
    <cellStyle name="差_LCD 28-10 _Kungfu Panda (updated 19MAy)" xfId="1325" xr:uid="{A065A27B-BAFB-4611-B511-9B9550921CDF}"/>
    <cellStyle name="差_LCD 28-10 _Kungfu Panda (updated)" xfId="1326" xr:uid="{FBFACDB0-27A4-413E-B264-CE9435D7036F}"/>
    <cellStyle name="差_LCD 28-10 _Kungfu PAnda_Kungfu Panda (updated 19MAy)" xfId="1327" xr:uid="{7F131B42-B98D-48BA-A0D4-0C2EF8FB8BFD}"/>
    <cellStyle name="差_LCD 28-10 _Kungfu PAnda_Kungfu Panda (updated)" xfId="1328" xr:uid="{2CE3EFDE-5074-43E1-BA1F-E74ECA92A018}"/>
    <cellStyle name="差_LCD 28-10 _Kungfu PAnda_MAster Plan of FOH, OOH " xfId="1329" xr:uid="{FC334E4F-91D0-48BC-90CC-C3C7F526F92F}"/>
    <cellStyle name="差_LCD 28-10 _Kungfu PAnda_Pirate 4 updated" xfId="1330" xr:uid="{1857BCE8-298B-42D5-B97D-3E37EA3BB594}"/>
    <cellStyle name="差_LCD 28-10 _Kungfu PAnda_Transformer" xfId="1331" xr:uid="{53D5B4C1-C363-4B94-BB4A-D6B8AC02DFA6}"/>
    <cellStyle name="差_LCD 28-10 _MAster Plan of FOH, OOH " xfId="1332" xr:uid="{07D45518-430B-4FE3-842D-A7FAD9565C8F}"/>
    <cellStyle name="差_LCD 28-10 _MAster Plan of FOH, OOH  2" xfId="1333" xr:uid="{F5AF2BC2-BEE6-4B59-A3DB-9FEDB570E579}"/>
    <cellStyle name="差_LCD 28-10 _MEGASTAR-CHICILON Proposal Master2011-2012" xfId="1334" xr:uid="{047FD7F5-B470-4643-BBFE-51C14A94C684}"/>
    <cellStyle name="差_LCD 28-10 _MEGASTAR-CHICILON Proposal Master2011-2012_1" xfId="1335" xr:uid="{57367958-A134-4758-87AE-B6F0F03CAE6F}"/>
    <cellStyle name="差_LCD 28-10 _MEGASTAR-CHICILON Proposal Master2011-2012_1 2" xfId="1336" xr:uid="{E99E6B28-1026-4BB7-9D8E-B60DF5398C3D}"/>
    <cellStyle name="差_LCD 28-10 _MEGASTAR-CHICILON Proposal Master2011-2012_Kungfu Panda (updated 19MAy)" xfId="1337" xr:uid="{8596A6A2-DF30-4888-98FB-4939507F3FF5}"/>
    <cellStyle name="差_LCD 28-10 _MEGASTAR-CHICILON Proposal Master2011-2012_Kungfu Panda (updated)" xfId="1338" xr:uid="{BA8EA26C-A7F0-402D-A049-2DBC7608090D}"/>
    <cellStyle name="差_LCD 28-10 _MEGASTAR-CHICILON Proposal Master2011-2012_MAster Plan of FOH, OOH " xfId="1339" xr:uid="{19821D0D-E042-4E3E-A29E-EC44DD5B45F9}"/>
    <cellStyle name="差_LCD 28-10 _MEGASTAR-CHICILON Proposal Master2011-2012_Pirate 4 updated" xfId="1340" xr:uid="{32F28A5B-59D0-42B4-995D-E23FE6E3A9CF}"/>
    <cellStyle name="差_LCD 28-10 _MEGASTAR-CHICILON Proposal Master2011-2012_Transformer" xfId="1341" xr:uid="{B08A1A54-915B-4B59-B735-A8AAA5F4DBC6}"/>
    <cellStyle name="差_LCD 28-10 _MEGASTAR-CHICILON.Proposal.Master2011" xfId="1342" xr:uid="{F3C18941-F294-472E-B05F-95F15F415BC6}"/>
    <cellStyle name="差_LCD 28-10 _MEGASTAR-CHICILON.Proposal.Master2011_Kungfu Panda (updated 19MAy)" xfId="1343" xr:uid="{601142FE-86EF-4B02-B4DB-FA5DBB2F42B3}"/>
    <cellStyle name="差_LCD 28-10 _MEGASTAR-CHICILON.Proposal.Master2011_Kungfu Panda (updated)" xfId="1344" xr:uid="{46794D7F-C5E0-4F20-A089-42DCDF5C94B9}"/>
    <cellStyle name="差_LCD 28-10 _MEGASTAR-CHICILON.Proposal.Master2011_MAster Plan of FOH, OOH " xfId="1345" xr:uid="{9F26AEA4-B4FF-4FA6-A600-9D12FFFA691B}"/>
    <cellStyle name="差_LCD 28-10 _MEGASTAR-CHICILON.Proposal.Master2011_Pirate 4 updated" xfId="1346" xr:uid="{17331520-647B-4472-A166-227CC75DE4D2}"/>
    <cellStyle name="差_LCD 28-10 _MEGASTAR-CHICILON.Proposal.Master2011_Transformer" xfId="1347" xr:uid="{F60160C9-0A17-4660-88E1-181D722E1C63}"/>
    <cellStyle name="差_LCD 28-10 _Pirate 4 updated" xfId="1348" xr:uid="{4B137185-2760-4B12-B776-64218F4C28B6}"/>
    <cellStyle name="差_LCD 28-10 _Pirate 4 updated 19 May" xfId="1349" xr:uid="{227D67E2-4DB6-4993-A059-C0BB4659E28F}"/>
    <cellStyle name="差_LCD 28-10 _RANGO MP" xfId="1350" xr:uid="{F3FA2FFA-22DA-447D-9BC7-6A6151134F8C}"/>
    <cellStyle name="差_LCD 28-10 _RANGO MP 2" xfId="1351" xr:uid="{F792B055-BA3C-437B-896D-D5284334DB18}"/>
    <cellStyle name="差_LCD 28-10 _Summer Block buster" xfId="1352" xr:uid="{AF65581E-5FFB-44F3-BA99-09E0C865F12B}"/>
    <cellStyle name="差_LCD 28-10 _Summer Block buster 2" xfId="1353" xr:uid="{36E90221-BEC1-4F22-9FFB-3C6DC6EAF0DD}"/>
    <cellStyle name="差_LCD 28-10 _Transformer" xfId="1354" xr:uid="{85287253-FAF5-4A11-99DA-AEC2D78ADCBE}"/>
    <cellStyle name="差_LCD 28-10 _T-shirt" xfId="1355" xr:uid="{30F91D23-0579-4C7E-B0F5-08ADB2147AD5}"/>
    <cellStyle name="差_LCD 28-10 _T-shirt_Kungfu Panda (updated 19MAy)" xfId="1356" xr:uid="{EE984E79-8C8B-4B80-B272-799E3D9533A7}"/>
    <cellStyle name="差_LCD 28-10 _T-shirt_Kungfu Panda (updated)" xfId="1357" xr:uid="{5C8330BA-DBDA-4E5F-82C9-30419A4B3201}"/>
    <cellStyle name="差_LCD 28-10 _T-shirt_MAster Plan of FOH, OOH " xfId="1358" xr:uid="{82D5CAAC-16B9-4CC2-B856-762BED419D9D}"/>
    <cellStyle name="差_LCD 28-10 _T-shirt_Pirate 4 updated" xfId="1359" xr:uid="{66E7A062-F6AB-481D-8438-CD584BA4D274}"/>
    <cellStyle name="差_LCD 28-10 _T-shirt_Transformer" xfId="1360" xr:uid="{3BFA58A3-3F81-4DBC-96B6-AB702EEDAA05}"/>
    <cellStyle name="差_LCD UPDATE NGAY 22-6 2010" xfId="1361" xr:uid="{5179E94C-3806-4F90-A3AF-F81142D3E011}"/>
    <cellStyle name="差_POSTER FRAME LIST" xfId="1362" xr:uid="{A5AC3B87-9E2E-41D5-93B3-08FCDF0EA0B0}"/>
    <cellStyle name="常规 2" xfId="1363" xr:uid="{96C59DFC-49A3-4DCA-BCE9-563C00BA6C55}"/>
    <cellStyle name="常规 3" xfId="1364" xr:uid="{A0A3117C-E4F3-4C5F-A756-44B444339A97}"/>
    <cellStyle name="常规 4" xfId="1365" xr:uid="{F2C6FA06-BEBD-45EF-8D91-1EE304C281F8}"/>
    <cellStyle name="常规_Sheet1" xfId="1366" xr:uid="{D68AD2A9-CE1F-4D4F-83EC-9AA06A9A8974}"/>
    <cellStyle name="强调文字颜色 1" xfId="1367" xr:uid="{3BCB92A3-3F5D-4D9A-885B-6FFB20992CF7}"/>
    <cellStyle name="强调文字颜色 2" xfId="1368" xr:uid="{B76E8F32-942F-403B-8FA6-DB181C391659}"/>
    <cellStyle name="强调文字颜色 3" xfId="1369" xr:uid="{252FB569-758E-4801-9610-268144C3A380}"/>
    <cellStyle name="强调文字颜色 4" xfId="1370" xr:uid="{EA153EDC-F509-4C3B-84BB-06AC941C19EC}"/>
    <cellStyle name="强调文字颜色 5" xfId="1371" xr:uid="{591E55DB-2EA5-43B7-BB31-4E6002609703}"/>
    <cellStyle name="强调文字颜色 6" xfId="1372" xr:uid="{601BDCFC-FF9D-447C-AAE1-95D8AF46AEB2}"/>
    <cellStyle name="标题" xfId="1373" xr:uid="{3432C00D-8256-4FA8-9F80-DACB26499B28}"/>
    <cellStyle name="标题 1" xfId="1374" xr:uid="{C6CC5A64-DC78-4F0A-9607-979B4FC6BDCD}"/>
    <cellStyle name="标题 2" xfId="1375" xr:uid="{364AFBC1-1364-45A4-B0F0-D56AF35E393D}"/>
    <cellStyle name="标题 3" xfId="1376" xr:uid="{7FBAE35A-57DA-4B1B-8876-BCCE72193FB2}"/>
    <cellStyle name="标题 4" xfId="1377" xr:uid="{24E083CF-1804-447C-84C6-BA9D28CF2DE9}"/>
    <cellStyle name="标题_CHICILON FullRateCard 2011" xfId="1378" xr:uid="{2CE58167-3877-41AA-AD59-2329FB08BC3B}"/>
    <cellStyle name="样式 1" xfId="1379" xr:uid="{9F6D85F4-45EC-4336-930F-77BECF840577}"/>
    <cellStyle name="检查单元格" xfId="1380" xr:uid="{F5AA2926-C3E3-4FB2-87FC-28439794D2DE}"/>
    <cellStyle name="汇总" xfId="1381" xr:uid="{9D05A771-41C0-47FE-9C81-E6D7E5DC633B}"/>
    <cellStyle name="注释" xfId="1382" xr:uid="{8EBC2716-DCB0-4ADA-A7DB-3C15E8E9446A}"/>
    <cellStyle name="解释性文本" xfId="1383" xr:uid="{C12DBD28-E760-4B29-9A19-2527453228B0}"/>
    <cellStyle name="警告文本" xfId="1384" xr:uid="{F9F53883-C14F-4129-9FA5-FA56B0119CF9}"/>
    <cellStyle name="计算" xfId="1385" xr:uid="{C55B9FDA-2681-4954-BAEC-B1F16C9AE619}"/>
    <cellStyle name="貨幣 [0]_Book1" xfId="1386" xr:uid="{497021C3-6A9E-4AF1-A252-5E09C61AFEE4}"/>
    <cellStyle name="貨幣_Book1" xfId="1387" xr:uid="{934A8A83-5611-4FC9-B8CA-925763257877}"/>
    <cellStyle name="超链接 2" xfId="1388" xr:uid="{D91CCC3D-D162-4E31-8CB4-360E6A58D264}"/>
    <cellStyle name="输入" xfId="1389" xr:uid="{FC5C9A35-02EB-4DDC-8853-16DFDBB73D4E}"/>
    <cellStyle name="输出" xfId="1390" xr:uid="{E7177460-3276-43AC-AB09-10AE0D7D4E7F}"/>
    <cellStyle name="适中" xfId="1391" xr:uid="{ED735C80-9C53-4532-A8D7-95F15107E54A}"/>
    <cellStyle name="链接单元格" xfId="1392" xr:uid="{3D8E1828-C78D-4AF1-AC8C-BC5D9839948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5</xdr:col>
      <xdr:colOff>889000</xdr:colOff>
      <xdr:row>1</xdr:row>
      <xdr:rowOff>177800</xdr:rowOff>
    </xdr:to>
    <xdr:pic>
      <xdr:nvPicPr>
        <xdr:cNvPr id="15377" name="Picture 2" descr="GN title small.jpg">
          <a:extLst>
            <a:ext uri="{FF2B5EF4-FFF2-40B4-BE49-F238E27FC236}">
              <a16:creationId xmlns:a16="http://schemas.microsoft.com/office/drawing/2014/main" id="{A148D762-9ED1-8A9A-E800-93FA44BE94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58150" y="165100"/>
          <a:ext cx="889000" cy="17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Users/phuong.vo/Desktop/CTP%20Ma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19/CGV/Local/file/Nhung/C/My%20Documents/Data%202002/Budget%202002/1%20Plan%202002%20Working%20Paper%20---%20Update%2015-11-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19/CGV/Local/file/Nhung/C/Documents%20and%20Settings/Administrator/Desktop/My%20Documents/2002%20Data/MIR%202002/Mir1120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Documents%20and%20Settings/Oanh%20D/Desktop/VN_Publisher%20and%20Website%20Setup%20Form%20v6%2012Dec0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19/CGV/Local/file/B/c/My%20Documents/NAM%20HA%202002/NAM%20HA%201/NAM%20HA%202002/KT2002/Nam%20Ha%2020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TRIUMPH/HIEU/BG2005/DS-FINAL/OANH/Aa2002/bud2003-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ANH.BUI/Private/Linhtinh/Print/MaiAnh2004/PRINT/CONTRACTS%2020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019/CGV/Local/file/S/Documents%20and%20Settings/PhuongLam%20Le/Desktop/Book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MS%20Planners/Q.Phuong/Training%20documents/Reach%20estimato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DOCUME~1/NGUYEV~1/LOCALS~1/Temp/notes359DB9/A&amp;P%20USD%2008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019/CGV/Local/file/C/Users/khuyen.le/AppData/Local/Microsoft/Windows/Temporary%20Internet%20Files/Content.Outlook/EVGHVORZ/MAI%20ANH/MaiAnh2006/print%20ratecard%2020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019/CGV/Local/Macintosh%20HDUsers/mac/Downloads/09-%2011%20%20CGV%20-%20MOANA%20-%20Fly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019/CGV/Local/file/O/PROGRAM%20FILES/SCOPE/Data/PhaseFor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P Master Excel"/>
      <sheetName val="CTP Master"/>
      <sheetName val="TOTAL 2011 Tuyen (13 OCt)"/>
      <sheetName val="#REF"/>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CONTROLS"/>
      <sheetName val="COVER"/>
      <sheetName val="SOE"/>
      <sheetName val="RIGS"/>
      <sheetName val="SUM-INPUT"/>
      <sheetName val="S"/>
      <sheetName val="P"/>
      <sheetName val="I"/>
      <sheetName val="H"/>
      <sheetName val="E512"/>
      <sheetName val="E620"/>
      <sheetName val="E621"/>
      <sheetName val="E615"/>
      <sheetName val="E622"/>
      <sheetName val="TOTAL_SELLING"/>
      <sheetName val="700"/>
      <sheetName val="721"/>
      <sheetName val="723"/>
      <sheetName val="722"/>
      <sheetName val="800"/>
      <sheetName val="E516"/>
      <sheetName val="carryover"/>
      <sheetName val="newrequest"/>
      <sheetName val="expenditure"/>
      <sheetName val="SUPPORT"/>
      <sheetName val="Salary "/>
      <sheetName val="TB"/>
      <sheetName val="Revenue"/>
      <sheetName val="Module1"/>
      <sheetName val="DSO"/>
      <sheetName val="PRINT_CONTROLS"/>
      <sheetName val="Salary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I2A-A"/>
      <sheetName val="MI2A-B"/>
      <sheetName val="MI3"/>
      <sheetName val="MI19(A)"/>
      <sheetName val="MI20(1)"/>
      <sheetName val="E6102"/>
      <sheetName val="E6120"/>
      <sheetName val="E6105"/>
      <sheetName val="E6119"/>
      <sheetName val="E6131"/>
      <sheetName val="E6200"/>
      <sheetName val="6WD"/>
      <sheetName val="S"/>
      <sheetName val="Budget 2"/>
      <sheetName val="TB"/>
      <sheetName val="Budget_2"/>
    </sheetNames>
    <sheetDataSet>
      <sheetData sheetId="0" refreshError="1"/>
      <sheetData sheetId="1" refreshError="1">
        <row r="1">
          <cell r="A1" t="str">
            <v>FORM MI-2A (4/90 REV)</v>
          </cell>
          <cell r="N1" t="str">
            <v>Page  1 of  2</v>
          </cell>
        </row>
        <row r="2">
          <cell r="A2" t="str">
            <v>+</v>
          </cell>
        </row>
        <row r="3">
          <cell r="B3" t="str">
            <v>CONSOLIDATING BALANCE SHEET</v>
          </cell>
          <cell r="C3" t="str">
            <v>TOTAL</v>
          </cell>
          <cell r="I3" t="str">
            <v>TOTAL</v>
          </cell>
          <cell r="J3" t="str">
            <v>DRILLING</v>
          </cell>
          <cell r="M3" t="str">
            <v>WATERWELL</v>
          </cell>
          <cell r="N3" t="str">
            <v>AIR</v>
          </cell>
        </row>
        <row r="4">
          <cell r="A4" t="str">
            <v>A</v>
          </cell>
          <cell r="B4" t="str">
            <v>(EXPRESSED IN U. S. $000)</v>
          </cell>
          <cell r="C4" t="str">
            <v>ENTITY</v>
          </cell>
          <cell r="D4" t="str">
            <v>ELIM</v>
          </cell>
          <cell r="E4" t="str">
            <v>MINERALS</v>
          </cell>
          <cell r="F4" t="str">
            <v>EXECUTIVE</v>
          </cell>
          <cell r="G4" t="str">
            <v>SWACO</v>
          </cell>
          <cell r="I4" t="str">
            <v>HEMISPHERE</v>
          </cell>
          <cell r="J4" t="str">
            <v>FLUIDS</v>
          </cell>
          <cell r="K4" t="str">
            <v>FEDERAL</v>
          </cell>
          <cell r="L4" t="str">
            <v>TENDERS</v>
          </cell>
          <cell r="M4" t="str">
            <v>/ MINING</v>
          </cell>
          <cell r="N4" t="str">
            <v>DRILLING</v>
          </cell>
        </row>
        <row r="6">
          <cell r="B6" t="str">
            <v>CURRENT ASSETS</v>
          </cell>
        </row>
        <row r="7">
          <cell r="A7">
            <v>1</v>
          </cell>
          <cell r="B7" t="str">
            <v xml:space="preserve"> UNRESTRICTED CASH (MI-2B)</v>
          </cell>
          <cell r="C7">
            <v>3038.1493700000005</v>
          </cell>
          <cell r="I7">
            <v>3038.1493700000005</v>
          </cell>
          <cell r="J7">
            <v>3038.1493700000005</v>
          </cell>
        </row>
        <row r="8">
          <cell r="A8">
            <v>2</v>
          </cell>
          <cell r="B8" t="str">
            <v xml:space="preserve"> RESTRICTED CASH (MI-2B)</v>
          </cell>
          <cell r="C8">
            <v>12.00076</v>
          </cell>
          <cell r="I8">
            <v>12.00076</v>
          </cell>
          <cell r="J8">
            <v>12.00076</v>
          </cell>
        </row>
        <row r="9">
          <cell r="A9">
            <v>3</v>
          </cell>
          <cell r="B9" t="str">
            <v xml:space="preserve"> MKTBLE. SEC./S-T INVEST. (MI-2B)</v>
          </cell>
          <cell r="C9">
            <v>0</v>
          </cell>
          <cell r="I9">
            <v>0</v>
          </cell>
          <cell r="J9">
            <v>0</v>
          </cell>
        </row>
        <row r="10">
          <cell r="B10" t="str">
            <v xml:space="preserve"> PUBLIC RECEIVABLES</v>
          </cell>
        </row>
        <row r="11">
          <cell r="A11">
            <v>4</v>
          </cell>
          <cell r="B11" t="str">
            <v xml:space="preserve">   NOTES &amp; ACCRUED INTEREST</v>
          </cell>
          <cell r="C11">
            <v>0</v>
          </cell>
          <cell r="I11">
            <v>0</v>
          </cell>
        </row>
        <row r="12">
          <cell r="A12">
            <v>5</v>
          </cell>
          <cell r="B12" t="str">
            <v xml:space="preserve">   ACCOUNTS</v>
          </cell>
          <cell r="C12">
            <v>872.24527999999975</v>
          </cell>
          <cell r="I12">
            <v>872.24527999999975</v>
          </cell>
          <cell r="J12">
            <v>872.24527999999975</v>
          </cell>
        </row>
        <row r="13">
          <cell r="A13">
            <v>6</v>
          </cell>
          <cell r="B13" t="str">
            <v xml:space="preserve">     TOTAL PUBLIC RECEIVABLES</v>
          </cell>
          <cell r="C13">
            <v>872.24527999999975</v>
          </cell>
          <cell r="D13">
            <v>0</v>
          </cell>
          <cell r="E13">
            <v>0</v>
          </cell>
          <cell r="F13">
            <v>0</v>
          </cell>
          <cell r="G13">
            <v>0</v>
          </cell>
          <cell r="I13">
            <v>872.24527999999975</v>
          </cell>
          <cell r="J13">
            <v>872.24527999999975</v>
          </cell>
          <cell r="K13">
            <v>0</v>
          </cell>
          <cell r="L13">
            <v>0</v>
          </cell>
          <cell r="M13">
            <v>0</v>
          </cell>
          <cell r="N13">
            <v>0</v>
          </cell>
        </row>
        <row r="14">
          <cell r="A14">
            <v>7</v>
          </cell>
          <cell r="B14" t="str">
            <v xml:space="preserve">   LESS ALLOW. FOR DOUBT. REC.</v>
          </cell>
          <cell r="C14">
            <v>0</v>
          </cell>
          <cell r="I14">
            <v>0</v>
          </cell>
          <cell r="J14">
            <v>0</v>
          </cell>
        </row>
        <row r="15">
          <cell r="A15">
            <v>8</v>
          </cell>
          <cell r="B15" t="str">
            <v xml:space="preserve"> NET PUBLIC RECEIVABLES</v>
          </cell>
          <cell r="C15">
            <v>872.24527999999975</v>
          </cell>
          <cell r="D15">
            <v>0</v>
          </cell>
          <cell r="E15">
            <v>0</v>
          </cell>
          <cell r="F15">
            <v>0</v>
          </cell>
          <cell r="G15">
            <v>0</v>
          </cell>
          <cell r="I15">
            <v>872.24527999999975</v>
          </cell>
          <cell r="J15">
            <v>872.24527999999975</v>
          </cell>
          <cell r="K15">
            <v>0</v>
          </cell>
          <cell r="L15">
            <v>0</v>
          </cell>
          <cell r="M15">
            <v>0</v>
          </cell>
          <cell r="N15">
            <v>0</v>
          </cell>
        </row>
        <row r="16">
          <cell r="A16">
            <v>9</v>
          </cell>
          <cell r="B16" t="str">
            <v xml:space="preserve"> REC. FROM AFFIL. &amp; UNCON. SUBS. </v>
          </cell>
          <cell r="C16">
            <v>363.68565000000001</v>
          </cell>
          <cell r="I16">
            <v>363.68565000000001</v>
          </cell>
          <cell r="J16">
            <v>363.68565000000001</v>
          </cell>
        </row>
        <row r="17">
          <cell r="A17">
            <v>10</v>
          </cell>
          <cell r="B17" t="str">
            <v xml:space="preserve"> INTERCO./DIV. ACCOUNTS REC. (MI-2C)</v>
          </cell>
          <cell r="C17">
            <v>0</v>
          </cell>
          <cell r="I17">
            <v>0</v>
          </cell>
        </row>
        <row r="18">
          <cell r="B18" t="str">
            <v xml:space="preserve"> INVENTORIES</v>
          </cell>
        </row>
        <row r="19">
          <cell r="A19">
            <v>11</v>
          </cell>
          <cell r="B19" t="str">
            <v xml:space="preserve">   FINISHED PRODUCTS &amp; PARTS</v>
          </cell>
          <cell r="C19">
            <v>2254.4807800000003</v>
          </cell>
          <cell r="I19">
            <v>2254.4807800000003</v>
          </cell>
          <cell r="J19">
            <v>2254.4807800000003</v>
          </cell>
        </row>
        <row r="20">
          <cell r="A20">
            <v>12</v>
          </cell>
          <cell r="B20" t="str">
            <v xml:space="preserve">   IN-PROCESS PRODUCTS &amp; PARTS</v>
          </cell>
          <cell r="C20">
            <v>0</v>
          </cell>
          <cell r="I20">
            <v>0</v>
          </cell>
          <cell r="J20">
            <v>0</v>
          </cell>
        </row>
        <row r="21">
          <cell r="A21">
            <v>13</v>
          </cell>
          <cell r="B21" t="str">
            <v xml:space="preserve">   RAW MATERIALS &amp; SUPPLIES</v>
          </cell>
          <cell r="C21">
            <v>0</v>
          </cell>
          <cell r="I21">
            <v>0</v>
          </cell>
          <cell r="J21">
            <v>0</v>
          </cell>
        </row>
        <row r="22">
          <cell r="A22">
            <v>14</v>
          </cell>
          <cell r="B22" t="str">
            <v xml:space="preserve">      TOTAL INVENTORY</v>
          </cell>
          <cell r="C22">
            <v>2254.4807800000003</v>
          </cell>
          <cell r="D22">
            <v>0</v>
          </cell>
          <cell r="E22">
            <v>0</v>
          </cell>
          <cell r="F22">
            <v>0</v>
          </cell>
          <cell r="G22">
            <v>0</v>
          </cell>
          <cell r="I22">
            <v>2254.4807800000003</v>
          </cell>
          <cell r="J22">
            <v>2254.4807800000003</v>
          </cell>
          <cell r="K22">
            <v>0</v>
          </cell>
          <cell r="L22">
            <v>0</v>
          </cell>
          <cell r="M22">
            <v>0</v>
          </cell>
          <cell r="N22">
            <v>0</v>
          </cell>
        </row>
        <row r="23">
          <cell r="A23">
            <v>15</v>
          </cell>
          <cell r="B23" t="str">
            <v xml:space="preserve">   LESS PROG. PYMTS. ON CONT.</v>
          </cell>
          <cell r="C23">
            <v>0</v>
          </cell>
          <cell r="I23">
            <v>0</v>
          </cell>
        </row>
        <row r="24">
          <cell r="A24">
            <v>16</v>
          </cell>
          <cell r="B24" t="str">
            <v xml:space="preserve"> NET INVENTORY</v>
          </cell>
          <cell r="C24">
            <v>2254.4807800000003</v>
          </cell>
          <cell r="D24">
            <v>0</v>
          </cell>
          <cell r="E24">
            <v>0</v>
          </cell>
          <cell r="F24">
            <v>0</v>
          </cell>
          <cell r="G24">
            <v>0</v>
          </cell>
          <cell r="I24">
            <v>2254.4807800000003</v>
          </cell>
          <cell r="J24">
            <v>2254.4807800000003</v>
          </cell>
          <cell r="K24">
            <v>0</v>
          </cell>
          <cell r="L24">
            <v>0</v>
          </cell>
          <cell r="M24">
            <v>0</v>
          </cell>
          <cell r="N24">
            <v>0</v>
          </cell>
        </row>
        <row r="25">
          <cell r="A25">
            <v>17</v>
          </cell>
          <cell r="B25" t="str">
            <v xml:space="preserve"> PREPAID EXPENSES</v>
          </cell>
          <cell r="C25">
            <v>4.3586800000000006</v>
          </cell>
          <cell r="I25">
            <v>4.3586800000000006</v>
          </cell>
          <cell r="J25">
            <v>4.3586800000000006</v>
          </cell>
        </row>
        <row r="26">
          <cell r="A26">
            <v>18</v>
          </cell>
          <cell r="B26" t="str">
            <v xml:space="preserve">      TOTAL CURRENT ASSETS</v>
          </cell>
          <cell r="C26">
            <v>6544.9205200000006</v>
          </cell>
          <cell r="D26">
            <v>0</v>
          </cell>
          <cell r="E26">
            <v>0</v>
          </cell>
          <cell r="F26">
            <v>0</v>
          </cell>
          <cell r="G26">
            <v>0</v>
          </cell>
          <cell r="I26">
            <v>6544.9205200000006</v>
          </cell>
          <cell r="J26">
            <v>6544.9205200000006</v>
          </cell>
          <cell r="K26">
            <v>0</v>
          </cell>
          <cell r="L26">
            <v>0</v>
          </cell>
          <cell r="M26">
            <v>0</v>
          </cell>
          <cell r="N26">
            <v>0</v>
          </cell>
        </row>
        <row r="28">
          <cell r="A28">
            <v>19</v>
          </cell>
          <cell r="B28" t="str">
            <v>INTERDIVISION CONTROL (MI-2C)</v>
          </cell>
          <cell r="C28">
            <v>0</v>
          </cell>
          <cell r="I28">
            <v>0</v>
          </cell>
        </row>
        <row r="29">
          <cell r="A29">
            <v>20</v>
          </cell>
          <cell r="B29" t="str">
            <v>INVEST. IN CONSOL. SUBSIDIARIES</v>
          </cell>
          <cell r="C29">
            <v>0</v>
          </cell>
          <cell r="I29">
            <v>0</v>
          </cell>
          <cell r="J29">
            <v>0</v>
          </cell>
        </row>
        <row r="30">
          <cell r="A30">
            <v>21</v>
          </cell>
          <cell r="B30" t="str">
            <v>INVEST. IN AFFIL. &amp; UNCON. SUBS.</v>
          </cell>
          <cell r="C30">
            <v>0</v>
          </cell>
          <cell r="I30">
            <v>0</v>
          </cell>
          <cell r="J30">
            <v>0</v>
          </cell>
        </row>
        <row r="31">
          <cell r="A31">
            <v>22</v>
          </cell>
          <cell r="B31" t="str">
            <v>INVEST. IN MKT. SEC. - NON CURRENT</v>
          </cell>
          <cell r="C31">
            <v>0</v>
          </cell>
          <cell r="I31">
            <v>0</v>
          </cell>
          <cell r="J31">
            <v>0</v>
          </cell>
        </row>
        <row r="32">
          <cell r="A32">
            <v>23</v>
          </cell>
          <cell r="B32" t="str">
            <v>OTHER ASSETS</v>
          </cell>
          <cell r="C32">
            <v>0</v>
          </cell>
          <cell r="I32">
            <v>0</v>
          </cell>
          <cell r="J32">
            <v>0</v>
          </cell>
        </row>
        <row r="33">
          <cell r="A33">
            <v>24</v>
          </cell>
          <cell r="B33" t="str">
            <v>LONG-TERM RECEIVABLES</v>
          </cell>
          <cell r="C33">
            <v>0</v>
          </cell>
          <cell r="I33">
            <v>0</v>
          </cell>
          <cell r="J33">
            <v>0</v>
          </cell>
        </row>
        <row r="34">
          <cell r="A34">
            <v>25</v>
          </cell>
          <cell r="B34" t="str">
            <v>L-T REC FRM AFFIL.&amp; UNCON. SUBS.</v>
          </cell>
          <cell r="C34">
            <v>0</v>
          </cell>
          <cell r="I34">
            <v>0</v>
          </cell>
          <cell r="J34">
            <v>0</v>
          </cell>
        </row>
        <row r="35">
          <cell r="A35">
            <v>26</v>
          </cell>
          <cell r="B35" t="str">
            <v>(UNASSIGNED)</v>
          </cell>
          <cell r="C35">
            <v>0</v>
          </cell>
          <cell r="I35">
            <v>0</v>
          </cell>
          <cell r="J35">
            <v>0</v>
          </cell>
        </row>
        <row r="36">
          <cell r="A36">
            <v>27</v>
          </cell>
          <cell r="B36" t="str">
            <v>PATENTS</v>
          </cell>
          <cell r="C36">
            <v>0</v>
          </cell>
          <cell r="I36">
            <v>0</v>
          </cell>
          <cell r="J36">
            <v>0</v>
          </cell>
        </row>
        <row r="37">
          <cell r="A37">
            <v>28</v>
          </cell>
          <cell r="B37" t="str">
            <v>GOODWILL</v>
          </cell>
          <cell r="C37">
            <v>0</v>
          </cell>
          <cell r="I37">
            <v>0</v>
          </cell>
          <cell r="J37">
            <v>0</v>
          </cell>
        </row>
        <row r="39">
          <cell r="B39" t="str">
            <v>PROPERTY PLANT &amp;  EQUIPMENT</v>
          </cell>
        </row>
        <row r="40">
          <cell r="A40">
            <v>29</v>
          </cell>
          <cell r="B40" t="str">
            <v xml:space="preserve"> LAND, LAND IMPROVE. &amp; MIN. DEP.</v>
          </cell>
          <cell r="C40">
            <v>0</v>
          </cell>
          <cell r="I40">
            <v>0</v>
          </cell>
          <cell r="J40">
            <v>0</v>
          </cell>
        </row>
        <row r="41">
          <cell r="A41">
            <v>30</v>
          </cell>
          <cell r="B41" t="str">
            <v xml:space="preserve"> BUILDINGS</v>
          </cell>
          <cell r="C41">
            <v>294.61</v>
          </cell>
          <cell r="I41">
            <v>294.61</v>
          </cell>
          <cell r="J41">
            <v>294.61</v>
          </cell>
        </row>
        <row r="42">
          <cell r="A42">
            <v>31</v>
          </cell>
          <cell r="B42" t="str">
            <v xml:space="preserve"> MACHINERY &amp; EQUIPMENT</v>
          </cell>
          <cell r="C42">
            <v>1157.9166</v>
          </cell>
          <cell r="I42">
            <v>1157.9166</v>
          </cell>
          <cell r="J42">
            <v>1157.9166</v>
          </cell>
        </row>
        <row r="43">
          <cell r="A43">
            <v>32</v>
          </cell>
          <cell r="B43" t="str">
            <v xml:space="preserve">     TOTAL PROPERTIES - GROSS</v>
          </cell>
          <cell r="C43">
            <v>1452.5266000000001</v>
          </cell>
          <cell r="D43">
            <v>0</v>
          </cell>
          <cell r="E43">
            <v>0</v>
          </cell>
          <cell r="F43">
            <v>0</v>
          </cell>
          <cell r="G43">
            <v>0</v>
          </cell>
          <cell r="I43">
            <v>1452.5266000000001</v>
          </cell>
          <cell r="J43">
            <v>1452.5266000000001</v>
          </cell>
          <cell r="K43">
            <v>0</v>
          </cell>
          <cell r="L43">
            <v>0</v>
          </cell>
          <cell r="M43">
            <v>0</v>
          </cell>
          <cell r="N43">
            <v>0</v>
          </cell>
        </row>
        <row r="44">
          <cell r="A44">
            <v>33</v>
          </cell>
          <cell r="B44" t="str">
            <v xml:space="preserve">  LESS ALLOW. FOR DEPR. &amp; AMORT.</v>
          </cell>
          <cell r="C44">
            <v>788.17600000000004</v>
          </cell>
          <cell r="I44">
            <v>788.17600000000004</v>
          </cell>
          <cell r="J44">
            <v>788.17600000000004</v>
          </cell>
        </row>
        <row r="45">
          <cell r="A45">
            <v>34</v>
          </cell>
          <cell r="B45" t="str">
            <v xml:space="preserve">     TOTAL PROPERTIES - NET</v>
          </cell>
          <cell r="C45">
            <v>664.3506000000001</v>
          </cell>
          <cell r="D45">
            <v>0</v>
          </cell>
          <cell r="E45">
            <v>0</v>
          </cell>
          <cell r="F45">
            <v>0</v>
          </cell>
          <cell r="G45">
            <v>0</v>
          </cell>
          <cell r="I45">
            <v>664.3506000000001</v>
          </cell>
          <cell r="J45">
            <v>664.3506000000001</v>
          </cell>
          <cell r="K45">
            <v>0</v>
          </cell>
          <cell r="L45">
            <v>0</v>
          </cell>
          <cell r="M45">
            <v>0</v>
          </cell>
          <cell r="N45">
            <v>0</v>
          </cell>
        </row>
        <row r="47">
          <cell r="A47">
            <v>35</v>
          </cell>
          <cell r="B47" t="str">
            <v xml:space="preserve">     TOTAL ASSETS (LINE B-34)</v>
          </cell>
          <cell r="C47">
            <v>7209.2711200000003</v>
          </cell>
          <cell r="D47">
            <v>0</v>
          </cell>
          <cell r="E47">
            <v>0</v>
          </cell>
          <cell r="F47">
            <v>0</v>
          </cell>
          <cell r="G47">
            <v>0</v>
          </cell>
          <cell r="I47">
            <v>7209.2711200000003</v>
          </cell>
          <cell r="J47">
            <v>7209.2711200000003</v>
          </cell>
          <cell r="K47">
            <v>0</v>
          </cell>
          <cell r="L47">
            <v>0</v>
          </cell>
          <cell r="M47">
            <v>0</v>
          </cell>
          <cell r="N47">
            <v>0</v>
          </cell>
        </row>
        <row r="48">
          <cell r="C48" t="str">
            <v xml:space="preserve"> </v>
          </cell>
          <cell r="H48" t="str">
            <v xml:space="preserve"> </v>
          </cell>
        </row>
        <row r="49">
          <cell r="A49">
            <v>36</v>
          </cell>
          <cell r="B49" t="str">
            <v>CAPITAL EXPENDITURES</v>
          </cell>
          <cell r="C49">
            <v>0</v>
          </cell>
          <cell r="I49">
            <v>0</v>
          </cell>
        </row>
        <row r="52">
          <cell r="A52" t="str">
            <v>M-I DRILLING FLUIDS - VIETNAM J/V CO.</v>
          </cell>
          <cell r="C52" t="str">
            <v>November 2002</v>
          </cell>
        </row>
        <row r="53">
          <cell r="A53" t="str">
            <v>COMPANY  /   BRANCH   /   DIVISION</v>
          </cell>
        </row>
        <row r="55">
          <cell r="B55" t="str">
            <v>7739</v>
          </cell>
        </row>
        <row r="56">
          <cell r="A56" t="str">
            <v>IDENTIFICATION NUMBER</v>
          </cell>
        </row>
      </sheetData>
      <sheetData sheetId="2" refreshError="1"/>
      <sheetData sheetId="3" refreshError="1">
        <row r="1">
          <cell r="A1" t="str">
            <v>FORM MI-3 (12/94 REV)</v>
          </cell>
        </row>
        <row r="2">
          <cell r="A2" t="str">
            <v>COMPANY / BRANCH / DIVISION</v>
          </cell>
          <cell r="H2" t="str">
            <v>CURRENT</v>
          </cell>
          <cell r="I2" t="str">
            <v>YTD</v>
          </cell>
        </row>
        <row r="3">
          <cell r="A3" t="str">
            <v>M-I DRILLING FLUIDS VIETNAM J/V COMPANY</v>
          </cell>
          <cell r="B3" t="str">
            <v>STATEMENT OF EARNINGS</v>
          </cell>
          <cell r="C3" t="str">
            <v>TOTAL</v>
          </cell>
          <cell r="E3" t="str">
            <v>AGING ANALYSIS</v>
          </cell>
          <cell r="H3" t="str">
            <v>DRILLING</v>
          </cell>
          <cell r="I3" t="str">
            <v xml:space="preserve">DRILLING </v>
          </cell>
        </row>
        <row r="4">
          <cell r="A4" t="str">
            <v>E</v>
          </cell>
          <cell r="B4" t="str">
            <v>(EXPRESSED IN U. S. $000)</v>
          </cell>
          <cell r="C4" t="str">
            <v>ENTITY</v>
          </cell>
          <cell r="D4" t="str">
            <v>ELIM</v>
          </cell>
          <cell r="E4" t="str">
            <v>MINERALS</v>
          </cell>
          <cell r="F4" t="str">
            <v>EXECUTIVE</v>
          </cell>
          <cell r="G4" t="str">
            <v xml:space="preserve"> </v>
          </cell>
          <cell r="H4" t="str">
            <v>FLUIDS</v>
          </cell>
          <cell r="I4" t="str">
            <v>FLUIDS</v>
          </cell>
        </row>
        <row r="5">
          <cell r="A5" t="str">
            <v>November 2002</v>
          </cell>
          <cell r="E5" t="str">
            <v>(EXPRESSED IN U. S. $000)</v>
          </cell>
          <cell r="H5" t="str">
            <v xml:space="preserve"> </v>
          </cell>
        </row>
        <row r="6">
          <cell r="A6">
            <v>1</v>
          </cell>
          <cell r="B6" t="str">
            <v xml:space="preserve"> NET SALES &amp; SERVICE REVENUE</v>
          </cell>
          <cell r="C6">
            <v>1336.854879999999</v>
          </cell>
          <cell r="D6" t="str">
            <v>CURRENT - (NOT YET DUE)</v>
          </cell>
          <cell r="H6">
            <v>1336.854879999999</v>
          </cell>
          <cell r="I6">
            <v>11388.06335</v>
          </cell>
        </row>
        <row r="7">
          <cell r="A7">
            <v>1</v>
          </cell>
          <cell r="B7" t="str">
            <v xml:space="preserve"> COST OF SALES</v>
          </cell>
          <cell r="C7">
            <v>0</v>
          </cell>
          <cell r="D7" t="str">
            <v>SPECIAL</v>
          </cell>
          <cell r="F7" t="str">
            <v>1 - 30</v>
          </cell>
          <cell r="G7" t="str">
            <v>31 - 90</v>
          </cell>
          <cell r="H7" t="str">
            <v>91 - 180</v>
          </cell>
          <cell r="I7">
            <v>0</v>
          </cell>
        </row>
        <row r="8">
          <cell r="A8">
            <v>2</v>
          </cell>
          <cell r="B8" t="str">
            <v xml:space="preserve">   STANDARD COST OF SALES</v>
          </cell>
          <cell r="C8">
            <v>832.22746000000006</v>
          </cell>
          <cell r="D8" t="str">
            <v>TERMS</v>
          </cell>
          <cell r="E8" t="str">
            <v>TOTAL</v>
          </cell>
          <cell r="F8" t="str">
            <v>DAYS</v>
          </cell>
          <cell r="G8" t="str">
            <v>DAYS</v>
          </cell>
          <cell r="H8">
            <v>832.22746000000006</v>
          </cell>
          <cell r="I8">
            <v>6574.2761100000007</v>
          </cell>
        </row>
        <row r="9">
          <cell r="A9">
            <v>3</v>
          </cell>
          <cell r="B9" t="str">
            <v xml:space="preserve">   OTHER COST OF SALES</v>
          </cell>
          <cell r="C9">
            <v>0.7061999999999955</v>
          </cell>
          <cell r="E9">
            <v>35.352640000000001</v>
          </cell>
          <cell r="F9">
            <v>244.11521999999999</v>
          </cell>
          <cell r="G9">
            <v>12.640700000000001</v>
          </cell>
          <cell r="H9">
            <v>0.7061999999999955</v>
          </cell>
          <cell r="I9">
            <v>98.219679999999997</v>
          </cell>
        </row>
        <row r="10">
          <cell r="A10">
            <v>4</v>
          </cell>
          <cell r="B10" t="str">
            <v xml:space="preserve">   MANUFACTURING COST</v>
          </cell>
          <cell r="C10">
            <v>0</v>
          </cell>
          <cell r="E10">
            <v>455.90532999999999</v>
          </cell>
          <cell r="F10">
            <v>45.56015</v>
          </cell>
          <cell r="H10">
            <v>0</v>
          </cell>
          <cell r="I10">
            <v>0</v>
          </cell>
        </row>
        <row r="11">
          <cell r="A11">
            <v>5</v>
          </cell>
          <cell r="B11" t="str">
            <v xml:space="preserve">   DISTRIBUTION COST/RETAIL COMM.</v>
          </cell>
          <cell r="C11">
            <v>39.698440000000005</v>
          </cell>
          <cell r="E11">
            <v>489.33859000000001</v>
          </cell>
          <cell r="F11">
            <v>-77.175060000000002</v>
          </cell>
          <cell r="H11">
            <v>39.698440000000005</v>
          </cell>
          <cell r="I11">
            <v>429.40224000000006</v>
          </cell>
        </row>
        <row r="12">
          <cell r="A12">
            <v>6</v>
          </cell>
          <cell r="B12" t="str">
            <v xml:space="preserve">   FLUID HANDLING/PROCESSING COST</v>
          </cell>
          <cell r="C12">
            <v>2</v>
          </cell>
          <cell r="E12">
            <v>0</v>
          </cell>
          <cell r="H12">
            <v>2</v>
          </cell>
          <cell r="I12">
            <v>157.93117000000001</v>
          </cell>
        </row>
        <row r="13">
          <cell r="A13">
            <v>7</v>
          </cell>
          <cell r="B13" t="str">
            <v xml:space="preserve">   RESEARCH &amp; DEVELOPMENT COST</v>
          </cell>
          <cell r="C13">
            <v>0</v>
          </cell>
          <cell r="E13">
            <v>132.74379999999999</v>
          </cell>
          <cell r="F13">
            <v>188.65403000000001</v>
          </cell>
          <cell r="G13">
            <v>40.379449999999999</v>
          </cell>
          <cell r="H13">
            <v>0</v>
          </cell>
        </row>
        <row r="14">
          <cell r="A14">
            <v>8</v>
          </cell>
          <cell r="B14" t="str">
            <v xml:space="preserve">   INV. PERIOD COST COMPL. EXP. (INC.)</v>
          </cell>
          <cell r="C14">
            <v>0</v>
          </cell>
          <cell r="E14">
            <v>0</v>
          </cell>
          <cell r="F14">
            <v>-85.175690000000003</v>
          </cell>
          <cell r="G14">
            <v>98.494839999999996</v>
          </cell>
          <cell r="H14">
            <v>0</v>
          </cell>
          <cell r="I14">
            <v>0</v>
          </cell>
        </row>
        <row r="15">
          <cell r="A15">
            <v>9</v>
          </cell>
          <cell r="B15" t="str">
            <v xml:space="preserve">       TOTAL COST OF SALES</v>
          </cell>
          <cell r="C15">
            <v>874.63210000000004</v>
          </cell>
          <cell r="D15">
            <v>0</v>
          </cell>
          <cell r="E15">
            <v>0</v>
          </cell>
          <cell r="F15">
            <v>0</v>
          </cell>
          <cell r="G15">
            <v>0</v>
          </cell>
          <cell r="H15">
            <v>874.63210000000004</v>
          </cell>
          <cell r="I15">
            <v>7259.829200000001</v>
          </cell>
        </row>
        <row r="16">
          <cell r="A16">
            <v>10</v>
          </cell>
          <cell r="B16" t="str">
            <v xml:space="preserve">          GROSS PROFIT</v>
          </cell>
          <cell r="C16">
            <v>462.22277999999892</v>
          </cell>
          <cell r="D16">
            <v>0</v>
          </cell>
          <cell r="E16">
            <v>0</v>
          </cell>
          <cell r="F16">
            <v>0</v>
          </cell>
          <cell r="G16">
            <v>0</v>
          </cell>
          <cell r="H16">
            <v>462.22277999999892</v>
          </cell>
          <cell r="I16">
            <v>4128.2341499999993</v>
          </cell>
        </row>
        <row r="17">
          <cell r="A17">
            <v>10</v>
          </cell>
          <cell r="B17" t="str">
            <v xml:space="preserve"> OPERATING EXPENSE</v>
          </cell>
          <cell r="C17">
            <v>0</v>
          </cell>
          <cell r="E17">
            <v>0</v>
          </cell>
          <cell r="F17">
            <v>2.2357200000000002</v>
          </cell>
          <cell r="I17">
            <v>0</v>
          </cell>
        </row>
        <row r="18">
          <cell r="A18">
            <v>11</v>
          </cell>
          <cell r="B18" t="str">
            <v xml:space="preserve">    SELLING</v>
          </cell>
          <cell r="C18">
            <v>144.1559299999999</v>
          </cell>
          <cell r="E18">
            <v>0</v>
          </cell>
          <cell r="H18">
            <v>144.1559299999999</v>
          </cell>
          <cell r="I18">
            <v>1210.93382</v>
          </cell>
        </row>
        <row r="19">
          <cell r="A19">
            <v>12</v>
          </cell>
          <cell r="B19" t="str">
            <v xml:space="preserve">    GENERAL &amp; ADMINISTRATIVE</v>
          </cell>
          <cell r="C19">
            <v>29.479620000000011</v>
          </cell>
          <cell r="E19">
            <v>0</v>
          </cell>
          <cell r="H19">
            <v>29.479620000000011</v>
          </cell>
          <cell r="I19">
            <v>270.20357000000001</v>
          </cell>
        </row>
        <row r="20">
          <cell r="A20">
            <v>13</v>
          </cell>
          <cell r="B20" t="str">
            <v xml:space="preserve">        TOTAL OPERATING EXPENSE</v>
          </cell>
          <cell r="C20">
            <v>173.63554999999991</v>
          </cell>
          <cell r="D20">
            <v>0</v>
          </cell>
          <cell r="E20">
            <v>0</v>
          </cell>
          <cell r="F20">
            <v>0</v>
          </cell>
          <cell r="G20">
            <v>0</v>
          </cell>
          <cell r="H20">
            <v>173.63554999999991</v>
          </cell>
          <cell r="I20">
            <v>1481.1373899999999</v>
          </cell>
        </row>
        <row r="21">
          <cell r="A21">
            <v>14</v>
          </cell>
          <cell r="B21" t="str">
            <v xml:space="preserve">           OPERATING EARNINGS</v>
          </cell>
          <cell r="C21">
            <v>288.58722999999901</v>
          </cell>
          <cell r="D21">
            <v>0</v>
          </cell>
          <cell r="E21">
            <v>0</v>
          </cell>
          <cell r="F21">
            <v>0</v>
          </cell>
          <cell r="G21">
            <v>0</v>
          </cell>
          <cell r="H21">
            <v>288.58722999999901</v>
          </cell>
          <cell r="I21">
            <v>2647.0967599999994</v>
          </cell>
        </row>
        <row r="22">
          <cell r="A22">
            <v>15</v>
          </cell>
          <cell r="B22" t="str">
            <v xml:space="preserve"> OTHER INCOME  /  (EXPENSE)</v>
          </cell>
          <cell r="C22">
            <v>0</v>
          </cell>
          <cell r="E22">
            <v>0</v>
          </cell>
          <cell r="I22">
            <v>0</v>
          </cell>
        </row>
        <row r="23">
          <cell r="A23">
            <v>15</v>
          </cell>
          <cell r="B23" t="str">
            <v xml:space="preserve">   DIVIDENDS RECEIVED</v>
          </cell>
          <cell r="C23">
            <v>0</v>
          </cell>
          <cell r="D23">
            <v>0</v>
          </cell>
          <cell r="E23">
            <v>0</v>
          </cell>
          <cell r="F23">
            <v>0</v>
          </cell>
          <cell r="G23">
            <v>0</v>
          </cell>
          <cell r="H23">
            <v>0</v>
          </cell>
          <cell r="I23">
            <v>2464.7200399999997</v>
          </cell>
        </row>
        <row r="24">
          <cell r="A24">
            <v>16</v>
          </cell>
          <cell r="B24" t="str">
            <v xml:space="preserve">   ROYALTIES EARNED</v>
          </cell>
          <cell r="C24">
            <v>0</v>
          </cell>
          <cell r="E24">
            <v>0</v>
          </cell>
          <cell r="H24">
            <v>0</v>
          </cell>
        </row>
        <row r="25">
          <cell r="A25">
            <v>17</v>
          </cell>
          <cell r="B25" t="str">
            <v xml:space="preserve">   GAIN (LOSS) ON SALE OF ASSETS</v>
          </cell>
          <cell r="C25">
            <v>0</v>
          </cell>
          <cell r="E25">
            <v>0</v>
          </cell>
          <cell r="H25">
            <v>0</v>
          </cell>
          <cell r="I25">
            <v>0</v>
          </cell>
        </row>
        <row r="26">
          <cell r="A26">
            <v>18</v>
          </cell>
          <cell r="B26" t="str">
            <v xml:space="preserve">   (UNASSIGNED)</v>
          </cell>
          <cell r="C26">
            <v>0</v>
          </cell>
          <cell r="E26">
            <v>59.535580000000003</v>
          </cell>
          <cell r="H26">
            <v>0</v>
          </cell>
          <cell r="I26">
            <v>0</v>
          </cell>
        </row>
        <row r="27">
          <cell r="A27">
            <v>19</v>
          </cell>
          <cell r="B27" t="str">
            <v xml:space="preserve">   EQUITY EARNINGS (LOSS)</v>
          </cell>
          <cell r="C27">
            <v>0</v>
          </cell>
          <cell r="E27">
            <v>0</v>
          </cell>
          <cell r="H27">
            <v>0</v>
          </cell>
          <cell r="I27">
            <v>0</v>
          </cell>
        </row>
        <row r="28">
          <cell r="A28">
            <v>20</v>
          </cell>
          <cell r="B28" t="str">
            <v xml:space="preserve">   FOREIGN EXCH. CONVERSION (LOSS)</v>
          </cell>
          <cell r="C28">
            <v>3.0055499999999995</v>
          </cell>
          <cell r="E28">
            <v>0</v>
          </cell>
          <cell r="H28">
            <v>3.0055499999999995</v>
          </cell>
          <cell r="I28">
            <v>12.660639999999999</v>
          </cell>
        </row>
        <row r="29">
          <cell r="A29">
            <v>21</v>
          </cell>
          <cell r="B29" t="str">
            <v xml:space="preserve">   TRANSLATION RATE CHANGE (LOSS)</v>
          </cell>
          <cell r="C29">
            <v>0</v>
          </cell>
          <cell r="E29">
            <v>25.724599999999999</v>
          </cell>
          <cell r="H29">
            <v>0</v>
          </cell>
          <cell r="I29">
            <v>0</v>
          </cell>
        </row>
        <row r="30">
          <cell r="A30">
            <v>22</v>
          </cell>
          <cell r="B30" t="str">
            <v xml:space="preserve">   OTHER INCOME (EXPENSE)</v>
          </cell>
          <cell r="C30">
            <v>1.9569299999999927</v>
          </cell>
          <cell r="E30">
            <v>0</v>
          </cell>
          <cell r="H30">
            <v>1.9569299999999927</v>
          </cell>
          <cell r="I30">
            <v>49.443929999999995</v>
          </cell>
        </row>
        <row r="31">
          <cell r="A31">
            <v>23</v>
          </cell>
          <cell r="B31" t="str">
            <v xml:space="preserve">       TOTAL OTHER INCOME (EXPENSE)</v>
          </cell>
          <cell r="C31">
            <v>4.9624799999999922</v>
          </cell>
          <cell r="D31">
            <v>0</v>
          </cell>
          <cell r="E31">
            <v>0</v>
          </cell>
          <cell r="F31">
            <v>0</v>
          </cell>
          <cell r="G31">
            <v>0</v>
          </cell>
          <cell r="H31">
            <v>4.9624799999999922</v>
          </cell>
          <cell r="I31">
            <v>62.104569999999995</v>
          </cell>
        </row>
        <row r="32">
          <cell r="A32">
            <v>24</v>
          </cell>
          <cell r="B32" t="str">
            <v xml:space="preserve">   EARNINGS BEF. INTEREST &amp; TAXES</v>
          </cell>
          <cell r="C32">
            <v>293.54970999999898</v>
          </cell>
          <cell r="D32">
            <v>0</v>
          </cell>
          <cell r="E32">
            <v>0</v>
          </cell>
          <cell r="F32">
            <v>0</v>
          </cell>
          <cell r="G32">
            <v>0</v>
          </cell>
          <cell r="H32">
            <v>293.54970999999898</v>
          </cell>
          <cell r="I32">
            <v>2709.2013299999994</v>
          </cell>
        </row>
        <row r="33">
          <cell r="A33">
            <v>25</v>
          </cell>
          <cell r="B33" t="str">
            <v xml:space="preserve"> INTEREST INCOME</v>
          </cell>
          <cell r="C33">
            <v>2.4776600000000002</v>
          </cell>
          <cell r="E33">
            <v>0</v>
          </cell>
          <cell r="H33">
            <v>2.4776600000000002</v>
          </cell>
          <cell r="I33">
            <v>11.67421</v>
          </cell>
        </row>
        <row r="34">
          <cell r="A34">
            <v>26</v>
          </cell>
          <cell r="B34" t="str">
            <v xml:space="preserve"> INTEREST EXPENSE</v>
          </cell>
          <cell r="C34">
            <v>0</v>
          </cell>
          <cell r="E34">
            <v>0</v>
          </cell>
          <cell r="H34">
            <v>0</v>
          </cell>
          <cell r="I34">
            <v>0</v>
          </cell>
        </row>
        <row r="35">
          <cell r="B35" t="str">
            <v xml:space="preserve"> PROVISION FOR TAXES ON INCOME</v>
          </cell>
          <cell r="E35">
            <v>0</v>
          </cell>
          <cell r="H35">
            <v>0</v>
          </cell>
        </row>
        <row r="36">
          <cell r="A36">
            <v>27</v>
          </cell>
          <cell r="B36" t="str">
            <v xml:space="preserve">   U.S. TAXES - CURRENT</v>
          </cell>
          <cell r="C36">
            <v>0</v>
          </cell>
          <cell r="E36">
            <v>0</v>
          </cell>
          <cell r="H36">
            <v>0</v>
          </cell>
          <cell r="I36">
            <v>0</v>
          </cell>
        </row>
        <row r="37">
          <cell r="A37">
            <v>28</v>
          </cell>
          <cell r="B37" t="str">
            <v xml:space="preserve">   STATE TAXES - CURRENT</v>
          </cell>
          <cell r="C37">
            <v>0</v>
          </cell>
          <cell r="E37">
            <v>0</v>
          </cell>
          <cell r="H37">
            <v>0</v>
          </cell>
          <cell r="I37">
            <v>939.10599999999999</v>
          </cell>
        </row>
        <row r="38">
          <cell r="A38">
            <v>29</v>
          </cell>
          <cell r="B38" t="str">
            <v xml:space="preserve">   FOREIGN TAXES - CURRENT</v>
          </cell>
          <cell r="C38">
            <v>50</v>
          </cell>
          <cell r="D38">
            <v>0</v>
          </cell>
          <cell r="E38">
            <v>1487.85754</v>
          </cell>
          <cell r="F38">
            <v>472.08334000000002</v>
          </cell>
          <cell r="G38">
            <v>65.943520000000007</v>
          </cell>
          <cell r="H38">
            <v>50</v>
          </cell>
          <cell r="I38">
            <v>565</v>
          </cell>
        </row>
        <row r="39">
          <cell r="A39">
            <v>30</v>
          </cell>
          <cell r="B39" t="str">
            <v xml:space="preserve">   U.S. TAXES - DEFERRED</v>
          </cell>
          <cell r="C39">
            <v>0</v>
          </cell>
          <cell r="H39">
            <v>0</v>
          </cell>
          <cell r="I39">
            <v>3805.4450799999977</v>
          </cell>
        </row>
        <row r="40">
          <cell r="A40">
            <v>31</v>
          </cell>
          <cell r="B40" t="str">
            <v xml:space="preserve">   FOREIGN TAXES - DEFERRED</v>
          </cell>
          <cell r="C40">
            <v>0</v>
          </cell>
          <cell r="H40">
            <v>0</v>
          </cell>
          <cell r="I40">
            <v>0</v>
          </cell>
        </row>
        <row r="41">
          <cell r="A41">
            <v>32</v>
          </cell>
          <cell r="B41" t="str">
            <v xml:space="preserve">        TOTAL TAXES</v>
          </cell>
          <cell r="C41">
            <v>50</v>
          </cell>
          <cell r="D41">
            <v>0</v>
          </cell>
          <cell r="E41">
            <v>0</v>
          </cell>
          <cell r="F41">
            <v>0</v>
          </cell>
          <cell r="G41">
            <v>0</v>
          </cell>
          <cell r="H41">
            <v>50</v>
          </cell>
          <cell r="I41">
            <v>565</v>
          </cell>
        </row>
      </sheetData>
      <sheetData sheetId="4" refreshError="1"/>
      <sheetData sheetId="5" refreshError="1"/>
      <sheetData sheetId="6"/>
      <sheetData sheetId="7"/>
      <sheetData sheetId="8"/>
      <sheetData sheetId="9"/>
      <sheetData sheetId="10" refreshError="1"/>
      <sheetData sheetId="11"/>
      <sheetData sheetId="12" refreshError="1"/>
      <sheetData sheetId="13" refreshError="1">
        <row r="18">
          <cell r="Q18">
            <v>4012329.7157999999</v>
          </cell>
        </row>
        <row r="19">
          <cell r="Q19">
            <v>61874.370299999988</v>
          </cell>
        </row>
        <row r="20">
          <cell r="Q20">
            <v>0</v>
          </cell>
        </row>
        <row r="21">
          <cell r="Q21">
            <v>0</v>
          </cell>
        </row>
        <row r="22">
          <cell r="Q22">
            <v>0</v>
          </cell>
        </row>
        <row r="23">
          <cell r="Q23">
            <v>0</v>
          </cell>
        </row>
        <row r="24">
          <cell r="Q24">
            <v>0</v>
          </cell>
        </row>
        <row r="27">
          <cell r="Q27">
            <v>0</v>
          </cell>
        </row>
      </sheetData>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Publisher Info (for PO)"/>
      <sheetName val="Network Channel Definition"/>
      <sheetName val="Guidelines"/>
      <sheetName val="Description"/>
      <sheetName val="Lists"/>
    </sheetNames>
    <sheetDataSet>
      <sheetData sheetId="0"/>
      <sheetData sheetId="1"/>
      <sheetData sheetId="2"/>
      <sheetData sheetId="3"/>
      <sheetData sheetId="4"/>
      <sheetData sheetId="5">
        <row r="1">
          <cell r="A1" t="str">
            <v>Autos</v>
          </cell>
        </row>
        <row r="2">
          <cell r="A2" t="str">
            <v>Business</v>
          </cell>
        </row>
        <row r="3">
          <cell r="A3" t="str">
            <v>Community and Networking</v>
          </cell>
        </row>
        <row r="4">
          <cell r="A4" t="str">
            <v>Education</v>
          </cell>
        </row>
        <row r="5">
          <cell r="A5" t="str">
            <v>Gaming</v>
          </cell>
        </row>
        <row r="6">
          <cell r="A6" t="str">
            <v>Lifestyle and Entertainment</v>
          </cell>
        </row>
        <row r="7">
          <cell r="A7" t="str">
            <v>Men</v>
          </cell>
        </row>
        <row r="8">
          <cell r="A8" t="str">
            <v>News and Information</v>
          </cell>
        </row>
        <row r="9">
          <cell r="A9" t="str">
            <v>Real Estate</v>
          </cell>
        </row>
        <row r="10">
          <cell r="A10" t="str">
            <v>Run of Network</v>
          </cell>
        </row>
        <row r="11">
          <cell r="A11" t="str">
            <v>Shopping</v>
          </cell>
        </row>
        <row r="12">
          <cell r="A12" t="str">
            <v>Sports</v>
          </cell>
        </row>
        <row r="13">
          <cell r="A13" t="str">
            <v>Technology</v>
          </cell>
        </row>
        <row r="14">
          <cell r="A14" t="str">
            <v>Travel</v>
          </cell>
        </row>
        <row r="15">
          <cell r="A15" t="str">
            <v>Women</v>
          </cell>
        </row>
        <row r="16">
          <cell r="A16" t="str">
            <v>Youth</v>
          </cell>
        </row>
        <row r="17">
          <cell r="A17" t="str">
            <v>Video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GTGT"/>
      <sheetName val="BANRA"/>
      <sheetName val="MUAVAO"/>
      <sheetName val="MUAVAO3%"/>
      <sheetName val="DATA"/>
      <sheetName val="CDPS"/>
      <sheetName val="KQKD"/>
      <sheetName val="CONGNO"/>
      <sheetName val="THUE"/>
      <sheetName val="hoadon"/>
      <sheetName val="hoadon 1"/>
      <sheetName val="TNDN_uoc"/>
      <sheetName val="TNDN_qt2"/>
      <sheetName val="QT_HD"/>
      <sheetName val="TNDN_qt"/>
      <sheetName val="HD"/>
      <sheetName val="NVL"/>
      <sheetName val="HH"/>
      <sheetName val="CDKT"/>
      <sheetName val="Z"/>
      <sheetName val="phieuchi"/>
      <sheetName val="TT"/>
      <sheetName val="phieuthu"/>
      <sheetName val="TSCD"/>
      <sheetName val="Module1"/>
      <sheetName val="Module4"/>
    </sheetNames>
    <sheetDataSet>
      <sheetData sheetId="0" refreshError="1"/>
      <sheetData sheetId="1" refreshError="1"/>
      <sheetData sheetId="2" refreshError="1"/>
      <sheetData sheetId="3" refreshError="1"/>
      <sheetData sheetId="4" refreshError="1"/>
      <sheetData sheetId="5" refreshError="1">
        <row r="12">
          <cell r="H12" t="str">
            <v>NO</v>
          </cell>
          <cell r="I12" t="str">
            <v>CO</v>
          </cell>
          <cell r="J12" t="str">
            <v xml:space="preserve"> SOTIEN </v>
          </cell>
          <cell r="K12" t="str">
            <v>MANO</v>
          </cell>
          <cell r="L12" t="str">
            <v>MACO</v>
          </cell>
        </row>
        <row r="13">
          <cell r="H13">
            <v>0</v>
          </cell>
          <cell r="I13">
            <v>0</v>
          </cell>
          <cell r="J13" t="str">
            <v xml:space="preserve"> </v>
          </cell>
        </row>
        <row r="14">
          <cell r="H14">
            <v>0</v>
          </cell>
          <cell r="I14">
            <v>0</v>
          </cell>
          <cell r="J14">
            <v>0</v>
          </cell>
          <cell r="L14" t="str">
            <v/>
          </cell>
        </row>
        <row r="15">
          <cell r="H15">
            <v>131</v>
          </cell>
          <cell r="I15">
            <v>511</v>
          </cell>
          <cell r="J15">
            <v>872720</v>
          </cell>
          <cell r="K15" t="str">
            <v>131_XL4</v>
          </cell>
        </row>
        <row r="16">
          <cell r="H16">
            <v>131</v>
          </cell>
          <cell r="I16">
            <v>3331</v>
          </cell>
          <cell r="J16">
            <v>87272</v>
          </cell>
          <cell r="K16" t="str">
            <v>131_XL4</v>
          </cell>
        </row>
        <row r="17">
          <cell r="H17">
            <v>111</v>
          </cell>
          <cell r="I17">
            <v>511</v>
          </cell>
          <cell r="J17">
            <v>500000</v>
          </cell>
          <cell r="K17" t="str">
            <v>a</v>
          </cell>
          <cell r="L17" t="str">
            <v>131_BTL</v>
          </cell>
        </row>
        <row r="18">
          <cell r="H18">
            <v>111</v>
          </cell>
          <cell r="I18">
            <v>3331</v>
          </cell>
          <cell r="J18">
            <v>50000</v>
          </cell>
          <cell r="K18" t="str">
            <v>a</v>
          </cell>
        </row>
        <row r="19">
          <cell r="H19">
            <v>111</v>
          </cell>
          <cell r="I19">
            <v>131</v>
          </cell>
          <cell r="J19">
            <v>87272</v>
          </cell>
          <cell r="L19" t="str">
            <v>131_XL4</v>
          </cell>
        </row>
        <row r="20">
          <cell r="H20">
            <v>111</v>
          </cell>
          <cell r="I20">
            <v>511</v>
          </cell>
          <cell r="J20">
            <v>1727270</v>
          </cell>
          <cell r="K20" t="str">
            <v>a</v>
          </cell>
          <cell r="L20" t="str">
            <v>131_NP</v>
          </cell>
        </row>
        <row r="21">
          <cell r="H21">
            <v>111</v>
          </cell>
          <cell r="I21">
            <v>3331</v>
          </cell>
          <cell r="J21">
            <v>172727</v>
          </cell>
          <cell r="K21" t="str">
            <v>a</v>
          </cell>
        </row>
        <row r="22">
          <cell r="H22">
            <v>131</v>
          </cell>
          <cell r="I22">
            <v>511</v>
          </cell>
          <cell r="J22">
            <v>872720</v>
          </cell>
          <cell r="K22" t="str">
            <v>131_XL4</v>
          </cell>
        </row>
        <row r="23">
          <cell r="H23">
            <v>131</v>
          </cell>
          <cell r="I23">
            <v>3331</v>
          </cell>
          <cell r="J23">
            <v>87272</v>
          </cell>
          <cell r="K23" t="str">
            <v>131_XL4</v>
          </cell>
        </row>
        <row r="24">
          <cell r="H24">
            <v>111</v>
          </cell>
          <cell r="I24">
            <v>131</v>
          </cell>
          <cell r="J24">
            <v>872720</v>
          </cell>
          <cell r="L24" t="str">
            <v>131_XL4</v>
          </cell>
        </row>
        <row r="25">
          <cell r="H25">
            <v>111</v>
          </cell>
          <cell r="I25">
            <v>511</v>
          </cell>
          <cell r="J25">
            <v>500000</v>
          </cell>
          <cell r="K25" t="str">
            <v>a</v>
          </cell>
          <cell r="L25" t="str">
            <v>131_BTL</v>
          </cell>
        </row>
        <row r="26">
          <cell r="H26">
            <v>111</v>
          </cell>
          <cell r="I26">
            <v>3331</v>
          </cell>
          <cell r="J26">
            <v>50000</v>
          </cell>
          <cell r="K26" t="str">
            <v>a</v>
          </cell>
        </row>
        <row r="27">
          <cell r="H27">
            <v>111</v>
          </cell>
          <cell r="I27">
            <v>511</v>
          </cell>
          <cell r="J27">
            <v>1840000</v>
          </cell>
          <cell r="K27" t="str">
            <v>a</v>
          </cell>
          <cell r="L27" t="str">
            <v>131_DNAM</v>
          </cell>
        </row>
        <row r="28">
          <cell r="H28">
            <v>111</v>
          </cell>
          <cell r="I28">
            <v>3331</v>
          </cell>
          <cell r="J28">
            <v>184000</v>
          </cell>
          <cell r="K28" t="str">
            <v>a</v>
          </cell>
        </row>
        <row r="29">
          <cell r="H29">
            <v>111</v>
          </cell>
          <cell r="I29">
            <v>511</v>
          </cell>
          <cell r="J29">
            <v>230000</v>
          </cell>
          <cell r="K29" t="str">
            <v>a</v>
          </cell>
          <cell r="L29" t="str">
            <v>131_BTL</v>
          </cell>
        </row>
        <row r="30">
          <cell r="H30">
            <v>111</v>
          </cell>
          <cell r="I30">
            <v>3331</v>
          </cell>
          <cell r="J30">
            <v>23000</v>
          </cell>
          <cell r="K30" t="str">
            <v>a</v>
          </cell>
        </row>
        <row r="31">
          <cell r="H31">
            <v>111</v>
          </cell>
          <cell r="I31">
            <v>511</v>
          </cell>
          <cell r="J31">
            <v>2249983</v>
          </cell>
          <cell r="K31" t="str">
            <v>a</v>
          </cell>
          <cell r="L31" t="str">
            <v>131_CAM</v>
          </cell>
        </row>
        <row r="32">
          <cell r="H32">
            <v>111</v>
          </cell>
          <cell r="I32">
            <v>3331</v>
          </cell>
          <cell r="J32">
            <v>224998</v>
          </cell>
          <cell r="K32" t="str">
            <v>a</v>
          </cell>
        </row>
        <row r="33">
          <cell r="H33">
            <v>111</v>
          </cell>
          <cell r="I33">
            <v>511</v>
          </cell>
          <cell r="J33">
            <v>1309080</v>
          </cell>
          <cell r="K33" t="str">
            <v>a</v>
          </cell>
        </row>
        <row r="34">
          <cell r="H34">
            <v>111</v>
          </cell>
          <cell r="I34">
            <v>3331</v>
          </cell>
          <cell r="J34">
            <v>130908</v>
          </cell>
          <cell r="K34" t="str">
            <v>a</v>
          </cell>
        </row>
        <row r="35">
          <cell r="H35">
            <v>111</v>
          </cell>
          <cell r="I35">
            <v>511</v>
          </cell>
          <cell r="J35">
            <v>545000</v>
          </cell>
          <cell r="K35" t="str">
            <v>b</v>
          </cell>
          <cell r="L35" t="str">
            <v>131_BTL</v>
          </cell>
        </row>
        <row r="36">
          <cell r="H36">
            <v>111</v>
          </cell>
          <cell r="I36">
            <v>3331</v>
          </cell>
          <cell r="J36">
            <v>54500</v>
          </cell>
          <cell r="K36" t="str">
            <v>b</v>
          </cell>
        </row>
        <row r="37">
          <cell r="H37">
            <v>111</v>
          </cell>
          <cell r="I37">
            <v>511</v>
          </cell>
          <cell r="J37">
            <v>3409085</v>
          </cell>
          <cell r="K37" t="str">
            <v>b</v>
          </cell>
          <cell r="L37" t="str">
            <v>131_TOAN</v>
          </cell>
        </row>
        <row r="38">
          <cell r="H38">
            <v>111</v>
          </cell>
          <cell r="I38">
            <v>3331</v>
          </cell>
          <cell r="J38">
            <v>340909</v>
          </cell>
          <cell r="K38" t="str">
            <v>b</v>
          </cell>
        </row>
        <row r="39">
          <cell r="H39">
            <v>111</v>
          </cell>
          <cell r="I39">
            <v>511</v>
          </cell>
          <cell r="J39">
            <v>49963632</v>
          </cell>
          <cell r="K39" t="str">
            <v>b</v>
          </cell>
          <cell r="L39" t="str">
            <v>131_TOAN</v>
          </cell>
        </row>
        <row r="40">
          <cell r="H40">
            <v>111</v>
          </cell>
          <cell r="I40">
            <v>3331</v>
          </cell>
          <cell r="J40">
            <v>4996363</v>
          </cell>
          <cell r="K40" t="str">
            <v>b</v>
          </cell>
        </row>
        <row r="41">
          <cell r="H41">
            <v>111</v>
          </cell>
          <cell r="I41">
            <v>511</v>
          </cell>
          <cell r="J41">
            <v>6509060</v>
          </cell>
          <cell r="K41" t="str">
            <v>c</v>
          </cell>
          <cell r="L41" t="str">
            <v>131_CKCT2</v>
          </cell>
        </row>
        <row r="42">
          <cell r="H42">
            <v>111</v>
          </cell>
          <cell r="I42">
            <v>3331</v>
          </cell>
          <cell r="J42">
            <v>650906</v>
          </cell>
          <cell r="K42" t="str">
            <v>c</v>
          </cell>
        </row>
        <row r="43">
          <cell r="H43">
            <v>111</v>
          </cell>
          <cell r="I43">
            <v>511</v>
          </cell>
          <cell r="J43">
            <v>1818180</v>
          </cell>
          <cell r="K43" t="str">
            <v>c</v>
          </cell>
          <cell r="L43" t="str">
            <v>131_XDBC</v>
          </cell>
        </row>
        <row r="44">
          <cell r="H44">
            <v>111</v>
          </cell>
          <cell r="I44">
            <v>3331</v>
          </cell>
          <cell r="J44">
            <v>181818</v>
          </cell>
          <cell r="K44" t="str">
            <v>c</v>
          </cell>
        </row>
        <row r="45">
          <cell r="H45">
            <v>111</v>
          </cell>
          <cell r="I45">
            <v>511</v>
          </cell>
          <cell r="J45">
            <v>5563641</v>
          </cell>
          <cell r="K45" t="str">
            <v>c</v>
          </cell>
          <cell r="L45" t="str">
            <v>131_XL6</v>
          </cell>
        </row>
        <row r="46">
          <cell r="H46">
            <v>111</v>
          </cell>
          <cell r="I46">
            <v>3331</v>
          </cell>
          <cell r="J46">
            <v>556364</v>
          </cell>
          <cell r="K46" t="str">
            <v>c</v>
          </cell>
        </row>
        <row r="47">
          <cell r="H47">
            <v>111</v>
          </cell>
          <cell r="I47">
            <v>511</v>
          </cell>
          <cell r="J47">
            <v>1430000</v>
          </cell>
          <cell r="K47" t="str">
            <v>c</v>
          </cell>
          <cell r="L47" t="str">
            <v>131_XL6</v>
          </cell>
        </row>
        <row r="48">
          <cell r="H48">
            <v>111</v>
          </cell>
          <cell r="I48">
            <v>3331</v>
          </cell>
          <cell r="J48">
            <v>143000</v>
          </cell>
          <cell r="K48" t="str">
            <v>c</v>
          </cell>
        </row>
        <row r="49">
          <cell r="H49">
            <v>111</v>
          </cell>
          <cell r="I49">
            <v>511</v>
          </cell>
          <cell r="J49">
            <v>90000</v>
          </cell>
        </row>
        <row r="50">
          <cell r="H50">
            <v>111</v>
          </cell>
          <cell r="I50">
            <v>3331</v>
          </cell>
          <cell r="J50">
            <v>9000</v>
          </cell>
        </row>
        <row r="51">
          <cell r="H51">
            <v>111</v>
          </cell>
          <cell r="I51">
            <v>511</v>
          </cell>
          <cell r="J51">
            <v>96415500</v>
          </cell>
          <cell r="K51" t="str">
            <v>c</v>
          </cell>
          <cell r="L51" t="str">
            <v>131_XL6</v>
          </cell>
        </row>
        <row r="52">
          <cell r="H52">
            <v>111</v>
          </cell>
          <cell r="I52">
            <v>3331</v>
          </cell>
          <cell r="J52">
            <v>5074500</v>
          </cell>
          <cell r="K52" t="str">
            <v>c</v>
          </cell>
        </row>
        <row r="53">
          <cell r="H53">
            <v>111</v>
          </cell>
          <cell r="I53">
            <v>511</v>
          </cell>
          <cell r="J53">
            <v>2322729</v>
          </cell>
          <cell r="K53" t="str">
            <v>c</v>
          </cell>
          <cell r="L53" t="str">
            <v>131_XL6</v>
          </cell>
        </row>
        <row r="54">
          <cell r="H54">
            <v>111</v>
          </cell>
          <cell r="I54">
            <v>3331</v>
          </cell>
          <cell r="J54">
            <v>232273</v>
          </cell>
          <cell r="K54" t="str">
            <v>c</v>
          </cell>
        </row>
        <row r="55">
          <cell r="H55">
            <v>111</v>
          </cell>
          <cell r="I55">
            <v>511</v>
          </cell>
          <cell r="J55">
            <v>3254545</v>
          </cell>
          <cell r="K55" t="str">
            <v>c</v>
          </cell>
          <cell r="L55" t="str">
            <v>131_XL6</v>
          </cell>
        </row>
        <row r="56">
          <cell r="H56">
            <v>111</v>
          </cell>
          <cell r="I56">
            <v>3331</v>
          </cell>
          <cell r="J56">
            <v>325454</v>
          </cell>
          <cell r="K56" t="str">
            <v>c</v>
          </cell>
        </row>
        <row r="57">
          <cell r="H57">
            <v>111</v>
          </cell>
          <cell r="I57">
            <v>511</v>
          </cell>
          <cell r="J57">
            <v>2681818</v>
          </cell>
          <cell r="K57" t="str">
            <v>c</v>
          </cell>
          <cell r="L57" t="str">
            <v>131_XL6</v>
          </cell>
        </row>
        <row r="58">
          <cell r="H58">
            <v>111</v>
          </cell>
          <cell r="I58">
            <v>3331</v>
          </cell>
          <cell r="J58">
            <v>268182</v>
          </cell>
          <cell r="K58" t="str">
            <v>c</v>
          </cell>
        </row>
        <row r="59">
          <cell r="H59">
            <v>111</v>
          </cell>
          <cell r="I59">
            <v>511</v>
          </cell>
          <cell r="J59">
            <v>1232722</v>
          </cell>
          <cell r="K59" t="str">
            <v>c</v>
          </cell>
        </row>
        <row r="60">
          <cell r="H60">
            <v>111</v>
          </cell>
          <cell r="I60">
            <v>3331</v>
          </cell>
          <cell r="J60">
            <v>123272</v>
          </cell>
          <cell r="K60" t="str">
            <v>c</v>
          </cell>
          <cell r="L60" t="str">
            <v>131_TNDIEN</v>
          </cell>
        </row>
        <row r="61">
          <cell r="H61">
            <v>111</v>
          </cell>
          <cell r="I61">
            <v>511</v>
          </cell>
          <cell r="J61">
            <v>1186364</v>
          </cell>
          <cell r="K61" t="str">
            <v>c</v>
          </cell>
        </row>
        <row r="62">
          <cell r="H62">
            <v>111</v>
          </cell>
          <cell r="I62">
            <v>3331</v>
          </cell>
          <cell r="J62">
            <v>118636</v>
          </cell>
          <cell r="K62" t="str">
            <v>c</v>
          </cell>
          <cell r="L62" t="str">
            <v>131_TNDIEN</v>
          </cell>
        </row>
        <row r="63">
          <cell r="H63">
            <v>111</v>
          </cell>
          <cell r="I63">
            <v>511</v>
          </cell>
          <cell r="J63">
            <v>1818180</v>
          </cell>
          <cell r="K63" t="str">
            <v>c</v>
          </cell>
        </row>
        <row r="64">
          <cell r="H64">
            <v>111</v>
          </cell>
          <cell r="I64">
            <v>3331</v>
          </cell>
          <cell r="J64">
            <v>181818</v>
          </cell>
          <cell r="K64" t="str">
            <v>c</v>
          </cell>
          <cell r="L64" t="str">
            <v>131_TNDIEN</v>
          </cell>
        </row>
        <row r="65">
          <cell r="H65">
            <v>111</v>
          </cell>
          <cell r="I65">
            <v>511</v>
          </cell>
          <cell r="J65">
            <v>1818182</v>
          </cell>
          <cell r="K65" t="str">
            <v>c</v>
          </cell>
        </row>
        <row r="66">
          <cell r="H66">
            <v>111</v>
          </cell>
          <cell r="I66">
            <v>3331</v>
          </cell>
          <cell r="J66">
            <v>181818</v>
          </cell>
          <cell r="K66" t="str">
            <v>c</v>
          </cell>
          <cell r="L66" t="str">
            <v>131_TNDIEN</v>
          </cell>
        </row>
        <row r="67">
          <cell r="H67">
            <v>111</v>
          </cell>
          <cell r="I67">
            <v>511</v>
          </cell>
          <cell r="J67">
            <v>1990717</v>
          </cell>
          <cell r="K67" t="str">
            <v>c</v>
          </cell>
        </row>
        <row r="68">
          <cell r="H68">
            <v>111</v>
          </cell>
          <cell r="I68">
            <v>3331</v>
          </cell>
          <cell r="J68">
            <v>99538</v>
          </cell>
          <cell r="K68" t="str">
            <v>c</v>
          </cell>
          <cell r="L68" t="str">
            <v>131_TNDIEN</v>
          </cell>
        </row>
        <row r="69">
          <cell r="H69">
            <v>131</v>
          </cell>
          <cell r="I69">
            <v>511</v>
          </cell>
          <cell r="J69">
            <v>192773486</v>
          </cell>
          <cell r="K69">
            <v>202758150</v>
          </cell>
        </row>
        <row r="70">
          <cell r="H70">
            <v>131</v>
          </cell>
          <cell r="I70">
            <v>3331</v>
          </cell>
          <cell r="J70">
            <v>9984664</v>
          </cell>
          <cell r="K70" t="str">
            <v>c</v>
          </cell>
          <cell r="L70" t="str">
            <v>131_TNDIEN</v>
          </cell>
        </row>
        <row r="71">
          <cell r="H71">
            <v>111</v>
          </cell>
          <cell r="I71">
            <v>511</v>
          </cell>
          <cell r="J71">
            <v>1477273</v>
          </cell>
          <cell r="K71" t="str">
            <v>c</v>
          </cell>
        </row>
        <row r="72">
          <cell r="H72">
            <v>111</v>
          </cell>
          <cell r="I72">
            <v>3331</v>
          </cell>
          <cell r="J72">
            <v>147727</v>
          </cell>
          <cell r="K72" t="str">
            <v>c</v>
          </cell>
          <cell r="L72" t="str">
            <v>131_TNDIEN</v>
          </cell>
        </row>
        <row r="73">
          <cell r="H73">
            <v>131</v>
          </cell>
          <cell r="I73">
            <v>511</v>
          </cell>
          <cell r="J73">
            <v>222857000</v>
          </cell>
          <cell r="K73">
            <v>234000000</v>
          </cell>
        </row>
        <row r="74">
          <cell r="H74">
            <v>131</v>
          </cell>
          <cell r="I74">
            <v>3331</v>
          </cell>
          <cell r="J74">
            <v>11143000</v>
          </cell>
          <cell r="K74">
            <v>436758150</v>
          </cell>
        </row>
        <row r="75">
          <cell r="H75">
            <v>111</v>
          </cell>
          <cell r="I75">
            <v>511</v>
          </cell>
          <cell r="J75">
            <v>2445455</v>
          </cell>
          <cell r="K75" t="str">
            <v>0</v>
          </cell>
          <cell r="L75">
            <v>1</v>
          </cell>
        </row>
        <row r="76">
          <cell r="H76">
            <v>111</v>
          </cell>
          <cell r="I76">
            <v>3331</v>
          </cell>
          <cell r="J76">
            <v>244545</v>
          </cell>
        </row>
        <row r="77">
          <cell r="H77">
            <v>111</v>
          </cell>
          <cell r="I77">
            <v>511</v>
          </cell>
          <cell r="J77">
            <v>300000</v>
          </cell>
          <cell r="K77">
            <v>0</v>
          </cell>
          <cell r="L77" t="str">
            <v>1</v>
          </cell>
        </row>
        <row r="78">
          <cell r="H78">
            <v>111</v>
          </cell>
          <cell r="I78">
            <v>3331</v>
          </cell>
          <cell r="J78">
            <v>30000</v>
          </cell>
        </row>
        <row r="79">
          <cell r="H79">
            <v>111</v>
          </cell>
          <cell r="I79">
            <v>511</v>
          </cell>
          <cell r="J79">
            <v>1727273</v>
          </cell>
          <cell r="K79">
            <v>0</v>
          </cell>
          <cell r="L79">
            <v>0</v>
          </cell>
        </row>
        <row r="80">
          <cell r="H80">
            <v>111</v>
          </cell>
          <cell r="I80">
            <v>3331</v>
          </cell>
          <cell r="J80">
            <v>172727</v>
          </cell>
        </row>
        <row r="81">
          <cell r="H81">
            <v>111</v>
          </cell>
          <cell r="I81">
            <v>511</v>
          </cell>
          <cell r="J81">
            <v>2590900</v>
          </cell>
          <cell r="K81">
            <v>0</v>
          </cell>
          <cell r="L81">
            <v>0</v>
          </cell>
        </row>
        <row r="82">
          <cell r="H82">
            <v>111</v>
          </cell>
          <cell r="I82">
            <v>3331</v>
          </cell>
          <cell r="J82">
            <v>259100</v>
          </cell>
        </row>
        <row r="83">
          <cell r="H83">
            <v>111</v>
          </cell>
          <cell r="I83">
            <v>511</v>
          </cell>
          <cell r="J83">
            <v>4481834</v>
          </cell>
          <cell r="K83">
            <v>0</v>
          </cell>
          <cell r="L83" t="str">
            <v>1</v>
          </cell>
        </row>
        <row r="84">
          <cell r="H84">
            <v>111</v>
          </cell>
          <cell r="I84">
            <v>3331</v>
          </cell>
          <cell r="J84">
            <v>448183</v>
          </cell>
        </row>
        <row r="85">
          <cell r="H85">
            <v>111</v>
          </cell>
          <cell r="I85">
            <v>511</v>
          </cell>
          <cell r="J85">
            <v>4590920</v>
          </cell>
          <cell r="K85">
            <v>0</v>
          </cell>
          <cell r="L85">
            <v>0</v>
          </cell>
        </row>
        <row r="86">
          <cell r="H86">
            <v>111</v>
          </cell>
          <cell r="I86">
            <v>3331</v>
          </cell>
          <cell r="J86">
            <v>459092</v>
          </cell>
        </row>
        <row r="87">
          <cell r="H87">
            <v>111</v>
          </cell>
          <cell r="I87">
            <v>511</v>
          </cell>
          <cell r="J87">
            <v>3090880</v>
          </cell>
          <cell r="K87">
            <v>0</v>
          </cell>
          <cell r="L87">
            <v>0</v>
          </cell>
        </row>
        <row r="88">
          <cell r="H88">
            <v>111</v>
          </cell>
          <cell r="I88">
            <v>3331</v>
          </cell>
          <cell r="J88">
            <v>309088</v>
          </cell>
        </row>
        <row r="89">
          <cell r="H89">
            <v>111</v>
          </cell>
          <cell r="I89">
            <v>511</v>
          </cell>
          <cell r="J89">
            <v>2045445</v>
          </cell>
          <cell r="K89">
            <v>0</v>
          </cell>
          <cell r="L89" t="str">
            <v>1</v>
          </cell>
        </row>
        <row r="90">
          <cell r="H90">
            <v>111</v>
          </cell>
          <cell r="I90">
            <v>3331</v>
          </cell>
          <cell r="J90">
            <v>204544</v>
          </cell>
        </row>
        <row r="91">
          <cell r="H91">
            <v>111</v>
          </cell>
          <cell r="I91">
            <v>511</v>
          </cell>
          <cell r="J91">
            <v>2109088</v>
          </cell>
          <cell r="K91" t="str">
            <v>060</v>
          </cell>
          <cell r="L91" t="str">
            <v>1</v>
          </cell>
        </row>
        <row r="92">
          <cell r="H92">
            <v>111</v>
          </cell>
          <cell r="I92">
            <v>3331</v>
          </cell>
          <cell r="J92">
            <v>210908</v>
          </cell>
        </row>
        <row r="93">
          <cell r="H93">
            <v>111</v>
          </cell>
          <cell r="I93">
            <v>511</v>
          </cell>
          <cell r="J93">
            <v>3318200</v>
          </cell>
          <cell r="K93" t="str">
            <v>242</v>
          </cell>
          <cell r="L93">
            <v>0</v>
          </cell>
        </row>
        <row r="94">
          <cell r="H94">
            <v>111</v>
          </cell>
          <cell r="I94">
            <v>3331</v>
          </cell>
          <cell r="J94">
            <v>331800</v>
          </cell>
        </row>
        <row r="95">
          <cell r="H95">
            <v>111</v>
          </cell>
          <cell r="I95">
            <v>511</v>
          </cell>
          <cell r="J95">
            <v>42300000</v>
          </cell>
          <cell r="K95">
            <v>0</v>
          </cell>
          <cell r="L95" t="str">
            <v>1</v>
          </cell>
        </row>
        <row r="96">
          <cell r="H96">
            <v>111</v>
          </cell>
          <cell r="I96">
            <v>3331</v>
          </cell>
          <cell r="J96">
            <v>2115000</v>
          </cell>
        </row>
        <row r="97">
          <cell r="H97">
            <v>111</v>
          </cell>
          <cell r="I97">
            <v>511</v>
          </cell>
          <cell r="J97">
            <v>4004545</v>
          </cell>
          <cell r="K97">
            <v>0</v>
          </cell>
          <cell r="L97">
            <v>0</v>
          </cell>
        </row>
        <row r="98">
          <cell r="H98">
            <v>111</v>
          </cell>
          <cell r="I98">
            <v>3331</v>
          </cell>
          <cell r="J98">
            <v>400455</v>
          </cell>
        </row>
        <row r="99">
          <cell r="H99">
            <v>111</v>
          </cell>
          <cell r="I99">
            <v>511</v>
          </cell>
          <cell r="J99">
            <v>316364</v>
          </cell>
          <cell r="K99">
            <v>0</v>
          </cell>
          <cell r="L99">
            <v>0</v>
          </cell>
        </row>
        <row r="100">
          <cell r="H100">
            <v>111</v>
          </cell>
          <cell r="I100">
            <v>3331</v>
          </cell>
          <cell r="J100">
            <v>31636</v>
          </cell>
        </row>
        <row r="101">
          <cell r="H101">
            <v>111</v>
          </cell>
          <cell r="I101">
            <v>511</v>
          </cell>
          <cell r="J101">
            <v>490908</v>
          </cell>
          <cell r="K101">
            <v>0</v>
          </cell>
          <cell r="L101">
            <v>0</v>
          </cell>
        </row>
        <row r="102">
          <cell r="H102">
            <v>111</v>
          </cell>
          <cell r="I102">
            <v>3331</v>
          </cell>
          <cell r="J102">
            <v>49091</v>
          </cell>
        </row>
        <row r="103">
          <cell r="H103">
            <v>111</v>
          </cell>
          <cell r="I103">
            <v>511</v>
          </cell>
          <cell r="J103">
            <v>2322726</v>
          </cell>
          <cell r="K103">
            <v>0</v>
          </cell>
          <cell r="L103" t="str">
            <v>1</v>
          </cell>
        </row>
        <row r="104">
          <cell r="H104">
            <v>111</v>
          </cell>
          <cell r="I104">
            <v>3331</v>
          </cell>
          <cell r="J104">
            <v>232273</v>
          </cell>
        </row>
        <row r="105">
          <cell r="H105">
            <v>111</v>
          </cell>
          <cell r="I105">
            <v>511</v>
          </cell>
          <cell r="J105">
            <v>8413659</v>
          </cell>
          <cell r="K105">
            <v>0</v>
          </cell>
          <cell r="L105">
            <v>0</v>
          </cell>
        </row>
        <row r="106">
          <cell r="H106">
            <v>111</v>
          </cell>
          <cell r="I106">
            <v>3331</v>
          </cell>
          <cell r="J106">
            <v>841366</v>
          </cell>
        </row>
        <row r="107">
          <cell r="H107">
            <v>111</v>
          </cell>
          <cell r="I107">
            <v>511</v>
          </cell>
          <cell r="J107">
            <v>2730000</v>
          </cell>
          <cell r="K107" t="str">
            <v>008</v>
          </cell>
          <cell r="L107" t="str">
            <v>1</v>
          </cell>
        </row>
        <row r="108">
          <cell r="H108">
            <v>111</v>
          </cell>
          <cell r="I108">
            <v>3331</v>
          </cell>
          <cell r="J108">
            <v>273000</v>
          </cell>
        </row>
        <row r="109">
          <cell r="H109">
            <v>111</v>
          </cell>
          <cell r="I109">
            <v>511</v>
          </cell>
          <cell r="J109">
            <v>6418182</v>
          </cell>
          <cell r="K109">
            <v>0</v>
          </cell>
          <cell r="L109">
            <v>0</v>
          </cell>
        </row>
        <row r="110">
          <cell r="H110">
            <v>111</v>
          </cell>
          <cell r="I110">
            <v>3331</v>
          </cell>
          <cell r="J110">
            <v>641818</v>
          </cell>
        </row>
        <row r="111">
          <cell r="H111">
            <v>111</v>
          </cell>
          <cell r="I111">
            <v>511</v>
          </cell>
          <cell r="J111">
            <v>910000</v>
          </cell>
          <cell r="K111">
            <v>0</v>
          </cell>
          <cell r="L111">
            <v>0</v>
          </cell>
        </row>
        <row r="112">
          <cell r="H112">
            <v>111</v>
          </cell>
          <cell r="I112">
            <v>3331</v>
          </cell>
          <cell r="J112">
            <v>91000</v>
          </cell>
        </row>
        <row r="113">
          <cell r="H113">
            <v>111</v>
          </cell>
          <cell r="I113">
            <v>511</v>
          </cell>
          <cell r="J113">
            <v>700000</v>
          </cell>
          <cell r="K113" t="str">
            <v xml:space="preserve">  </v>
          </cell>
          <cell r="L113" t="str">
            <v>3</v>
          </cell>
        </row>
        <row r="114">
          <cell r="H114">
            <v>111</v>
          </cell>
          <cell r="I114">
            <v>3331</v>
          </cell>
          <cell r="J114">
            <v>70000</v>
          </cell>
        </row>
        <row r="115">
          <cell r="H115">
            <v>111</v>
          </cell>
          <cell r="I115">
            <v>511</v>
          </cell>
          <cell r="J115">
            <v>5136364</v>
          </cell>
          <cell r="K115">
            <v>0</v>
          </cell>
          <cell r="L115" t="str">
            <v>1</v>
          </cell>
        </row>
        <row r="116">
          <cell r="H116">
            <v>111</v>
          </cell>
          <cell r="I116">
            <v>3331</v>
          </cell>
          <cell r="J116">
            <v>513636</v>
          </cell>
        </row>
        <row r="117">
          <cell r="H117">
            <v>111</v>
          </cell>
          <cell r="I117">
            <v>511</v>
          </cell>
          <cell r="J117">
            <v>1363640</v>
          </cell>
          <cell r="K117">
            <v>0</v>
          </cell>
          <cell r="L117" t="str">
            <v>1</v>
          </cell>
        </row>
        <row r="118">
          <cell r="H118">
            <v>111</v>
          </cell>
          <cell r="I118">
            <v>3331</v>
          </cell>
          <cell r="J118">
            <v>136360</v>
          </cell>
        </row>
        <row r="119">
          <cell r="H119">
            <v>111</v>
          </cell>
          <cell r="I119">
            <v>511</v>
          </cell>
          <cell r="J119">
            <v>2100000</v>
          </cell>
        </row>
        <row r="120">
          <cell r="H120">
            <v>111</v>
          </cell>
          <cell r="I120">
            <v>3331</v>
          </cell>
          <cell r="J120">
            <v>210000</v>
          </cell>
        </row>
        <row r="121">
          <cell r="H121">
            <v>111</v>
          </cell>
          <cell r="I121">
            <v>511</v>
          </cell>
          <cell r="J121">
            <v>12727300</v>
          </cell>
          <cell r="L121">
            <v>1</v>
          </cell>
        </row>
        <row r="122">
          <cell r="H122">
            <v>111</v>
          </cell>
          <cell r="I122">
            <v>3331</v>
          </cell>
          <cell r="J122">
            <v>1272700</v>
          </cell>
        </row>
        <row r="123">
          <cell r="H123">
            <v>111</v>
          </cell>
          <cell r="I123">
            <v>511</v>
          </cell>
          <cell r="J123">
            <v>4636365</v>
          </cell>
          <cell r="L123">
            <v>1</v>
          </cell>
        </row>
        <row r="124">
          <cell r="H124">
            <v>111</v>
          </cell>
          <cell r="I124">
            <v>3331</v>
          </cell>
          <cell r="J124">
            <v>463636</v>
          </cell>
        </row>
        <row r="125">
          <cell r="H125">
            <v>111</v>
          </cell>
          <cell r="I125">
            <v>511</v>
          </cell>
          <cell r="J125">
            <v>2945000</v>
          </cell>
        </row>
        <row r="126">
          <cell r="H126">
            <v>111</v>
          </cell>
          <cell r="I126">
            <v>3331</v>
          </cell>
          <cell r="J126">
            <v>294500</v>
          </cell>
        </row>
        <row r="127">
          <cell r="H127">
            <v>111</v>
          </cell>
          <cell r="I127">
            <v>511</v>
          </cell>
          <cell r="J127">
            <v>3481818</v>
          </cell>
          <cell r="K127" t="str">
            <v>0</v>
          </cell>
          <cell r="L127">
            <v>0</v>
          </cell>
        </row>
        <row r="128">
          <cell r="H128">
            <v>111</v>
          </cell>
          <cell r="I128">
            <v>3331</v>
          </cell>
          <cell r="J128">
            <v>348182</v>
          </cell>
        </row>
        <row r="129">
          <cell r="H129">
            <v>111</v>
          </cell>
          <cell r="I129">
            <v>511</v>
          </cell>
          <cell r="J129">
            <v>1518180</v>
          </cell>
          <cell r="L129">
            <v>1</v>
          </cell>
        </row>
        <row r="130">
          <cell r="H130">
            <v>111</v>
          </cell>
          <cell r="I130">
            <v>3331</v>
          </cell>
          <cell r="J130">
            <v>151818</v>
          </cell>
        </row>
        <row r="131">
          <cell r="H131">
            <v>111</v>
          </cell>
          <cell r="I131">
            <v>511</v>
          </cell>
          <cell r="J131">
            <v>2081817</v>
          </cell>
          <cell r="K131">
            <v>0</v>
          </cell>
          <cell r="L131">
            <v>0</v>
          </cell>
        </row>
        <row r="132">
          <cell r="H132">
            <v>111</v>
          </cell>
          <cell r="I132">
            <v>3331</v>
          </cell>
          <cell r="J132">
            <v>208182</v>
          </cell>
        </row>
        <row r="133">
          <cell r="H133">
            <v>111</v>
          </cell>
          <cell r="I133">
            <v>511</v>
          </cell>
          <cell r="J133">
            <v>2100000</v>
          </cell>
          <cell r="K133">
            <v>0</v>
          </cell>
          <cell r="L133">
            <v>0</v>
          </cell>
        </row>
        <row r="134">
          <cell r="H134">
            <v>111</v>
          </cell>
          <cell r="I134">
            <v>3331</v>
          </cell>
          <cell r="J134">
            <v>210000</v>
          </cell>
        </row>
        <row r="135">
          <cell r="H135">
            <v>111</v>
          </cell>
          <cell r="I135">
            <v>511</v>
          </cell>
          <cell r="J135">
            <v>1500000</v>
          </cell>
          <cell r="K135">
            <v>0</v>
          </cell>
          <cell r="L135" t="str">
            <v>1</v>
          </cell>
        </row>
        <row r="136">
          <cell r="H136">
            <v>111</v>
          </cell>
          <cell r="I136">
            <v>3331</v>
          </cell>
          <cell r="J136">
            <v>150000</v>
          </cell>
        </row>
        <row r="137">
          <cell r="H137">
            <v>111</v>
          </cell>
          <cell r="I137">
            <v>511</v>
          </cell>
          <cell r="J137">
            <v>6374546</v>
          </cell>
          <cell r="K137">
            <v>0</v>
          </cell>
          <cell r="L137" t="str">
            <v>1</v>
          </cell>
        </row>
        <row r="138">
          <cell r="H138">
            <v>111</v>
          </cell>
          <cell r="I138">
            <v>3331</v>
          </cell>
          <cell r="J138">
            <v>637454</v>
          </cell>
        </row>
        <row r="139">
          <cell r="H139">
            <v>111</v>
          </cell>
          <cell r="I139">
            <v>511</v>
          </cell>
          <cell r="J139">
            <v>4609092</v>
          </cell>
          <cell r="K139">
            <v>0</v>
          </cell>
          <cell r="L139">
            <v>0</v>
          </cell>
        </row>
        <row r="140">
          <cell r="H140">
            <v>111</v>
          </cell>
          <cell r="I140">
            <v>3331</v>
          </cell>
          <cell r="J140">
            <v>460909</v>
          </cell>
        </row>
        <row r="141">
          <cell r="H141">
            <v>111</v>
          </cell>
          <cell r="I141">
            <v>511</v>
          </cell>
          <cell r="J141">
            <v>4609092</v>
          </cell>
          <cell r="K141">
            <v>0</v>
          </cell>
          <cell r="L141">
            <v>0</v>
          </cell>
        </row>
        <row r="142">
          <cell r="H142">
            <v>111</v>
          </cell>
          <cell r="I142">
            <v>3331</v>
          </cell>
          <cell r="J142">
            <v>460909</v>
          </cell>
        </row>
        <row r="143">
          <cell r="H143">
            <v>111</v>
          </cell>
          <cell r="I143">
            <v>511</v>
          </cell>
          <cell r="J143">
            <v>2236350</v>
          </cell>
          <cell r="K143">
            <v>0</v>
          </cell>
          <cell r="L143">
            <v>0</v>
          </cell>
        </row>
        <row r="144">
          <cell r="H144">
            <v>111</v>
          </cell>
          <cell r="I144">
            <v>3331</v>
          </cell>
          <cell r="J144">
            <v>223635</v>
          </cell>
        </row>
        <row r="145">
          <cell r="H145">
            <v>111</v>
          </cell>
          <cell r="I145">
            <v>511</v>
          </cell>
          <cell r="J145">
            <v>9500000</v>
          </cell>
          <cell r="K145">
            <v>0</v>
          </cell>
          <cell r="L145" t="str">
            <v>1</v>
          </cell>
        </row>
        <row r="146">
          <cell r="H146">
            <v>111</v>
          </cell>
          <cell r="I146">
            <v>3331</v>
          </cell>
          <cell r="J146">
            <v>950000</v>
          </cell>
        </row>
        <row r="147">
          <cell r="H147">
            <v>111</v>
          </cell>
          <cell r="I147">
            <v>511</v>
          </cell>
          <cell r="J147">
            <v>1035000</v>
          </cell>
          <cell r="K147">
            <v>0</v>
          </cell>
          <cell r="L147" t="str">
            <v>1</v>
          </cell>
        </row>
        <row r="148">
          <cell r="H148">
            <v>111</v>
          </cell>
          <cell r="I148">
            <v>3331</v>
          </cell>
          <cell r="J148">
            <v>103500</v>
          </cell>
        </row>
        <row r="149">
          <cell r="H149">
            <v>111</v>
          </cell>
          <cell r="I149">
            <v>511</v>
          </cell>
          <cell r="J149">
            <v>458178</v>
          </cell>
          <cell r="K149">
            <v>0</v>
          </cell>
          <cell r="L149">
            <v>0</v>
          </cell>
        </row>
        <row r="150">
          <cell r="H150">
            <v>111</v>
          </cell>
          <cell r="I150">
            <v>3331</v>
          </cell>
          <cell r="J150">
            <v>45818</v>
          </cell>
        </row>
        <row r="151">
          <cell r="H151">
            <v>111</v>
          </cell>
          <cell r="I151">
            <v>511</v>
          </cell>
          <cell r="J151">
            <v>3345440</v>
          </cell>
          <cell r="K151">
            <v>0</v>
          </cell>
          <cell r="L151">
            <v>0</v>
          </cell>
        </row>
        <row r="152">
          <cell r="H152">
            <v>111</v>
          </cell>
          <cell r="I152">
            <v>3331</v>
          </cell>
          <cell r="J152">
            <v>334544</v>
          </cell>
        </row>
        <row r="153">
          <cell r="H153">
            <v>111</v>
          </cell>
          <cell r="I153">
            <v>511</v>
          </cell>
          <cell r="J153">
            <v>2781810</v>
          </cell>
          <cell r="K153">
            <v>0</v>
          </cell>
          <cell r="L153">
            <v>0</v>
          </cell>
        </row>
        <row r="154">
          <cell r="H154">
            <v>111</v>
          </cell>
          <cell r="I154">
            <v>3331</v>
          </cell>
          <cell r="J154">
            <v>278181</v>
          </cell>
        </row>
        <row r="155">
          <cell r="H155">
            <v>111</v>
          </cell>
          <cell r="I155">
            <v>511</v>
          </cell>
          <cell r="J155">
            <v>40525714</v>
          </cell>
          <cell r="K155">
            <v>0</v>
          </cell>
          <cell r="L155">
            <v>0</v>
          </cell>
        </row>
        <row r="156">
          <cell r="H156">
            <v>111</v>
          </cell>
          <cell r="I156">
            <v>3331</v>
          </cell>
          <cell r="J156">
            <v>2026286</v>
          </cell>
        </row>
        <row r="157">
          <cell r="H157">
            <v>111</v>
          </cell>
          <cell r="I157">
            <v>511</v>
          </cell>
          <cell r="J157">
            <v>4272300</v>
          </cell>
          <cell r="K157">
            <v>0</v>
          </cell>
          <cell r="L157">
            <v>0</v>
          </cell>
        </row>
        <row r="158">
          <cell r="H158">
            <v>111</v>
          </cell>
          <cell r="I158">
            <v>3331</v>
          </cell>
          <cell r="J158">
            <v>427230</v>
          </cell>
        </row>
        <row r="159">
          <cell r="H159">
            <v>111</v>
          </cell>
          <cell r="I159">
            <v>511</v>
          </cell>
          <cell r="J159">
            <v>1581824</v>
          </cell>
          <cell r="K159">
            <v>0</v>
          </cell>
          <cell r="L159" t="str">
            <v>1</v>
          </cell>
        </row>
        <row r="160">
          <cell r="H160">
            <v>111</v>
          </cell>
          <cell r="I160">
            <v>3331</v>
          </cell>
          <cell r="J160">
            <v>158182</v>
          </cell>
        </row>
        <row r="161">
          <cell r="H161">
            <v>111</v>
          </cell>
          <cell r="I161">
            <v>511</v>
          </cell>
          <cell r="J161">
            <v>790900</v>
          </cell>
          <cell r="K161">
            <v>0</v>
          </cell>
          <cell r="L161" t="str">
            <v>1</v>
          </cell>
        </row>
        <row r="162">
          <cell r="H162">
            <v>111</v>
          </cell>
          <cell r="I162">
            <v>3331</v>
          </cell>
          <cell r="J162">
            <v>79090</v>
          </cell>
        </row>
        <row r="163">
          <cell r="H163">
            <v>111</v>
          </cell>
          <cell r="I163">
            <v>511</v>
          </cell>
          <cell r="J163">
            <v>5481806</v>
          </cell>
          <cell r="K163">
            <v>0</v>
          </cell>
          <cell r="L163">
            <v>0</v>
          </cell>
        </row>
        <row r="164">
          <cell r="H164">
            <v>111</v>
          </cell>
          <cell r="I164">
            <v>3331</v>
          </cell>
          <cell r="J164">
            <v>548181</v>
          </cell>
        </row>
        <row r="165">
          <cell r="H165">
            <v>111</v>
          </cell>
          <cell r="I165">
            <v>511</v>
          </cell>
          <cell r="J165">
            <v>4866379</v>
          </cell>
          <cell r="K165">
            <v>0</v>
          </cell>
          <cell r="L165">
            <v>0</v>
          </cell>
        </row>
        <row r="166">
          <cell r="H166">
            <v>111</v>
          </cell>
          <cell r="I166">
            <v>3331</v>
          </cell>
          <cell r="J166">
            <v>486638</v>
          </cell>
        </row>
        <row r="167">
          <cell r="H167">
            <v>111</v>
          </cell>
          <cell r="I167">
            <v>511</v>
          </cell>
          <cell r="J167">
            <v>2927280</v>
          </cell>
          <cell r="K167">
            <v>0</v>
          </cell>
          <cell r="L167" t="str">
            <v>1</v>
          </cell>
        </row>
        <row r="168">
          <cell r="H168">
            <v>111</v>
          </cell>
          <cell r="I168">
            <v>3331</v>
          </cell>
          <cell r="J168">
            <v>292728</v>
          </cell>
        </row>
        <row r="169">
          <cell r="H169">
            <v>111</v>
          </cell>
          <cell r="I169">
            <v>511</v>
          </cell>
          <cell r="J169">
            <v>4559107</v>
          </cell>
          <cell r="K169">
            <v>0</v>
          </cell>
          <cell r="L169" t="str">
            <v>1</v>
          </cell>
        </row>
        <row r="170">
          <cell r="H170">
            <v>111</v>
          </cell>
          <cell r="I170">
            <v>3331</v>
          </cell>
          <cell r="J170">
            <v>455911</v>
          </cell>
        </row>
        <row r="171">
          <cell r="H171">
            <v>111</v>
          </cell>
          <cell r="I171">
            <v>511</v>
          </cell>
          <cell r="J171">
            <v>672730</v>
          </cell>
          <cell r="K171">
            <v>0</v>
          </cell>
          <cell r="L171" t="str">
            <v>1</v>
          </cell>
        </row>
        <row r="172">
          <cell r="H172">
            <v>111</v>
          </cell>
          <cell r="I172">
            <v>3331</v>
          </cell>
          <cell r="J172">
            <v>67273</v>
          </cell>
        </row>
        <row r="173">
          <cell r="H173">
            <v>111</v>
          </cell>
          <cell r="I173">
            <v>511</v>
          </cell>
          <cell r="J173">
            <v>1490900</v>
          </cell>
          <cell r="K173">
            <v>0</v>
          </cell>
          <cell r="L173">
            <v>0</v>
          </cell>
        </row>
        <row r="174">
          <cell r="H174">
            <v>111</v>
          </cell>
          <cell r="I174">
            <v>3331</v>
          </cell>
          <cell r="J174">
            <v>149090</v>
          </cell>
        </row>
        <row r="175">
          <cell r="H175">
            <v>111</v>
          </cell>
          <cell r="I175">
            <v>511</v>
          </cell>
          <cell r="J175">
            <v>668182</v>
          </cell>
          <cell r="K175">
            <v>0</v>
          </cell>
          <cell r="L175">
            <v>0</v>
          </cell>
        </row>
        <row r="176">
          <cell r="H176">
            <v>111</v>
          </cell>
          <cell r="I176">
            <v>3331</v>
          </cell>
          <cell r="J176">
            <v>66818</v>
          </cell>
        </row>
        <row r="177">
          <cell r="H177">
            <v>111</v>
          </cell>
          <cell r="I177">
            <v>511</v>
          </cell>
          <cell r="J177">
            <v>2795465</v>
          </cell>
          <cell r="K177">
            <v>0</v>
          </cell>
          <cell r="L177">
            <v>0</v>
          </cell>
        </row>
        <row r="178">
          <cell r="H178">
            <v>111</v>
          </cell>
          <cell r="I178">
            <v>3331</v>
          </cell>
          <cell r="J178">
            <v>279547</v>
          </cell>
        </row>
        <row r="179">
          <cell r="H179">
            <v>111</v>
          </cell>
          <cell r="I179">
            <v>511</v>
          </cell>
          <cell r="J179">
            <v>9100000</v>
          </cell>
          <cell r="K179">
            <v>0</v>
          </cell>
          <cell r="L179">
            <v>0</v>
          </cell>
        </row>
        <row r="180">
          <cell r="H180">
            <v>111</v>
          </cell>
          <cell r="I180">
            <v>3331</v>
          </cell>
          <cell r="J180">
            <v>910000</v>
          </cell>
        </row>
        <row r="181">
          <cell r="H181">
            <v>111</v>
          </cell>
          <cell r="I181">
            <v>511</v>
          </cell>
          <cell r="J181">
            <v>5460000</v>
          </cell>
          <cell r="K181">
            <v>0</v>
          </cell>
          <cell r="L181" t="str">
            <v>1</v>
          </cell>
        </row>
        <row r="182">
          <cell r="H182">
            <v>111</v>
          </cell>
          <cell r="I182">
            <v>3331</v>
          </cell>
          <cell r="J182">
            <v>546000</v>
          </cell>
        </row>
        <row r="183">
          <cell r="H183">
            <v>155</v>
          </cell>
          <cell r="I183">
            <v>154</v>
          </cell>
        </row>
        <row r="184">
          <cell r="H184">
            <v>152</v>
          </cell>
          <cell r="I184">
            <v>111</v>
          </cell>
        </row>
        <row r="185">
          <cell r="H185">
            <v>111</v>
          </cell>
          <cell r="I185">
            <v>338</v>
          </cell>
          <cell r="J185">
            <v>525000000</v>
          </cell>
        </row>
        <row r="186">
          <cell r="H186">
            <v>112</v>
          </cell>
          <cell r="I186">
            <v>131</v>
          </cell>
          <cell r="J186">
            <v>436758150</v>
          </cell>
        </row>
        <row r="187">
          <cell r="H187">
            <v>111</v>
          </cell>
          <cell r="I187">
            <v>112</v>
          </cell>
          <cell r="J187">
            <v>21000000</v>
          </cell>
          <cell r="K187" t="str">
            <v>c</v>
          </cell>
        </row>
        <row r="188">
          <cell r="H188">
            <v>111</v>
          </cell>
          <cell r="I188">
            <v>112</v>
          </cell>
          <cell r="J188">
            <v>40000000</v>
          </cell>
          <cell r="K188" t="str">
            <v>c</v>
          </cell>
        </row>
        <row r="189">
          <cell r="H189">
            <v>622</v>
          </cell>
          <cell r="I189">
            <v>111</v>
          </cell>
          <cell r="J189">
            <v>4820775</v>
          </cell>
        </row>
        <row r="190">
          <cell r="H190">
            <v>622</v>
          </cell>
          <cell r="I190">
            <v>111</v>
          </cell>
          <cell r="J190">
            <v>9738210</v>
          </cell>
        </row>
        <row r="191">
          <cell r="H191">
            <v>622</v>
          </cell>
          <cell r="I191">
            <v>111</v>
          </cell>
          <cell r="J191">
            <v>11142850</v>
          </cell>
        </row>
        <row r="192">
          <cell r="H192">
            <v>622</v>
          </cell>
          <cell r="I192">
            <v>111</v>
          </cell>
          <cell r="J192">
            <v>2026286</v>
          </cell>
        </row>
        <row r="193">
          <cell r="H193">
            <v>154</v>
          </cell>
          <cell r="I193">
            <v>622</v>
          </cell>
          <cell r="J193">
            <v>27728121</v>
          </cell>
        </row>
        <row r="194">
          <cell r="H194">
            <v>632</v>
          </cell>
          <cell r="I194">
            <v>154</v>
          </cell>
          <cell r="J194">
            <v>27728121</v>
          </cell>
        </row>
        <row r="195">
          <cell r="H195">
            <v>111</v>
          </cell>
          <cell r="I195">
            <v>112</v>
          </cell>
          <cell r="J195">
            <v>3000000</v>
          </cell>
          <cell r="K195" t="str">
            <v>e</v>
          </cell>
        </row>
        <row r="196">
          <cell r="H196">
            <v>111</v>
          </cell>
          <cell r="I196">
            <v>112</v>
          </cell>
          <cell r="J196">
            <v>1000000</v>
          </cell>
          <cell r="K196" t="str">
            <v>f</v>
          </cell>
        </row>
        <row r="197">
          <cell r="H197">
            <v>111</v>
          </cell>
          <cell r="I197">
            <v>112</v>
          </cell>
          <cell r="J197">
            <v>85000000</v>
          </cell>
          <cell r="K197" t="str">
            <v>f</v>
          </cell>
        </row>
        <row r="198">
          <cell r="H198">
            <v>111</v>
          </cell>
          <cell r="I198">
            <v>112</v>
          </cell>
          <cell r="J198">
            <v>35000000</v>
          </cell>
          <cell r="K198" t="str">
            <v>f</v>
          </cell>
        </row>
        <row r="199">
          <cell r="H199">
            <v>111</v>
          </cell>
          <cell r="I199">
            <v>112</v>
          </cell>
          <cell r="J199">
            <v>3500000</v>
          </cell>
          <cell r="K199" t="str">
            <v>g</v>
          </cell>
        </row>
        <row r="200">
          <cell r="H200">
            <v>111</v>
          </cell>
          <cell r="I200">
            <v>112</v>
          </cell>
          <cell r="J200">
            <v>60000000</v>
          </cell>
          <cell r="K200" t="str">
            <v>g</v>
          </cell>
        </row>
        <row r="201">
          <cell r="H201">
            <v>111</v>
          </cell>
          <cell r="I201">
            <v>112</v>
          </cell>
          <cell r="J201">
            <v>100000000</v>
          </cell>
          <cell r="K201" t="str">
            <v>h</v>
          </cell>
        </row>
        <row r="202">
          <cell r="H202">
            <v>111</v>
          </cell>
          <cell r="I202">
            <v>112</v>
          </cell>
          <cell r="J202">
            <v>16000000</v>
          </cell>
          <cell r="K202" t="str">
            <v>h</v>
          </cell>
        </row>
        <row r="203">
          <cell r="H203">
            <v>111</v>
          </cell>
          <cell r="I203">
            <v>112</v>
          </cell>
          <cell r="J203">
            <v>20000000</v>
          </cell>
        </row>
        <row r="204">
          <cell r="H204">
            <v>111</v>
          </cell>
          <cell r="I204">
            <v>112</v>
          </cell>
          <cell r="J204">
            <v>10000000</v>
          </cell>
        </row>
        <row r="205">
          <cell r="H205">
            <v>112</v>
          </cell>
          <cell r="I205">
            <v>711</v>
          </cell>
          <cell r="J205">
            <v>200</v>
          </cell>
        </row>
        <row r="206">
          <cell r="H206">
            <v>112</v>
          </cell>
          <cell r="I206">
            <v>711</v>
          </cell>
          <cell r="J206">
            <v>26318</v>
          </cell>
        </row>
        <row r="207">
          <cell r="H207">
            <v>112</v>
          </cell>
          <cell r="I207">
            <v>711</v>
          </cell>
          <cell r="J207">
            <v>91237</v>
          </cell>
        </row>
        <row r="208">
          <cell r="H208">
            <v>112</v>
          </cell>
          <cell r="I208">
            <v>711</v>
          </cell>
          <cell r="J208">
            <v>115022</v>
          </cell>
        </row>
        <row r="209">
          <cell r="H209">
            <v>112</v>
          </cell>
          <cell r="I209">
            <v>711</v>
          </cell>
          <cell r="J209">
            <v>119607</v>
          </cell>
        </row>
        <row r="210">
          <cell r="H210">
            <v>642</v>
          </cell>
          <cell r="I210">
            <v>111</v>
          </cell>
          <cell r="J210">
            <v>2750000</v>
          </cell>
          <cell r="K210" t="str">
            <v>a</v>
          </cell>
        </row>
        <row r="211">
          <cell r="H211">
            <v>152</v>
          </cell>
          <cell r="I211">
            <v>111</v>
          </cell>
          <cell r="J211">
            <v>88928541</v>
          </cell>
          <cell r="K211" t="str">
            <v>a</v>
          </cell>
        </row>
        <row r="212">
          <cell r="H212">
            <v>133</v>
          </cell>
          <cell r="I212">
            <v>111</v>
          </cell>
          <cell r="J212">
            <v>6293673</v>
          </cell>
          <cell r="K212" t="str">
            <v>a</v>
          </cell>
        </row>
        <row r="213">
          <cell r="H213">
            <v>621</v>
          </cell>
          <cell r="I213">
            <v>152</v>
          </cell>
          <cell r="J213">
            <v>88928541</v>
          </cell>
          <cell r="K213" t="str">
            <v>a</v>
          </cell>
        </row>
        <row r="214">
          <cell r="H214">
            <v>622</v>
          </cell>
          <cell r="I214">
            <v>111</v>
          </cell>
          <cell r="J214">
            <v>2400000</v>
          </cell>
        </row>
        <row r="215">
          <cell r="H215">
            <v>154</v>
          </cell>
          <cell r="I215">
            <v>622</v>
          </cell>
          <cell r="J215">
            <v>2400000</v>
          </cell>
          <cell r="K215" t="str">
            <v>a</v>
          </cell>
        </row>
        <row r="216">
          <cell r="H216">
            <v>154</v>
          </cell>
          <cell r="I216">
            <v>621</v>
          </cell>
          <cell r="J216">
            <v>88928541</v>
          </cell>
          <cell r="K216" t="str">
            <v>a</v>
          </cell>
        </row>
        <row r="217">
          <cell r="H217">
            <v>155</v>
          </cell>
          <cell r="I217">
            <v>154</v>
          </cell>
          <cell r="J217">
            <v>91328541</v>
          </cell>
          <cell r="K217" t="str">
            <v>a</v>
          </cell>
        </row>
        <row r="218">
          <cell r="H218">
            <v>632</v>
          </cell>
          <cell r="I218">
            <v>155</v>
          </cell>
          <cell r="J218">
            <v>91328541</v>
          </cell>
          <cell r="K218" t="str">
            <v>a</v>
          </cell>
        </row>
        <row r="219">
          <cell r="H219">
            <v>152</v>
          </cell>
          <cell r="I219">
            <v>111</v>
          </cell>
          <cell r="J219">
            <v>8754545</v>
          </cell>
          <cell r="K219" t="str">
            <v>a</v>
          </cell>
        </row>
        <row r="220">
          <cell r="H220">
            <v>133</v>
          </cell>
          <cell r="I220">
            <v>111</v>
          </cell>
          <cell r="J220">
            <v>635455</v>
          </cell>
          <cell r="K220" t="str">
            <v>a</v>
          </cell>
        </row>
        <row r="221">
          <cell r="H221">
            <v>621</v>
          </cell>
          <cell r="I221">
            <v>152</v>
          </cell>
          <cell r="J221">
            <v>8754545</v>
          </cell>
          <cell r="K221" t="str">
            <v>a</v>
          </cell>
        </row>
        <row r="222">
          <cell r="H222">
            <v>622</v>
          </cell>
          <cell r="I222">
            <v>111</v>
          </cell>
          <cell r="J222">
            <v>2400000</v>
          </cell>
        </row>
        <row r="223">
          <cell r="H223">
            <v>154</v>
          </cell>
          <cell r="I223">
            <v>622</v>
          </cell>
          <cell r="J223">
            <v>2400000</v>
          </cell>
          <cell r="K223" t="str">
            <v>a</v>
          </cell>
        </row>
        <row r="224">
          <cell r="H224">
            <v>154</v>
          </cell>
          <cell r="I224">
            <v>621</v>
          </cell>
          <cell r="J224">
            <v>8754545</v>
          </cell>
          <cell r="K224" t="str">
            <v>a</v>
          </cell>
        </row>
        <row r="225">
          <cell r="H225">
            <v>155</v>
          </cell>
          <cell r="I225">
            <v>154</v>
          </cell>
          <cell r="J225">
            <v>11154545</v>
          </cell>
          <cell r="K225" t="str">
            <v>a</v>
          </cell>
        </row>
        <row r="226">
          <cell r="H226">
            <v>632</v>
          </cell>
          <cell r="I226">
            <v>155</v>
          </cell>
          <cell r="J226">
            <v>11154545</v>
          </cell>
          <cell r="K226" t="str">
            <v>a</v>
          </cell>
        </row>
        <row r="227">
          <cell r="H227">
            <v>152</v>
          </cell>
          <cell r="I227">
            <v>111</v>
          </cell>
          <cell r="J227">
            <v>49918182</v>
          </cell>
          <cell r="K227" t="str">
            <v>a</v>
          </cell>
        </row>
        <row r="228">
          <cell r="H228">
            <v>133</v>
          </cell>
          <cell r="I228">
            <v>111</v>
          </cell>
          <cell r="J228">
            <v>4991818</v>
          </cell>
          <cell r="K228" t="str">
            <v>a</v>
          </cell>
        </row>
        <row r="229">
          <cell r="H229">
            <v>621</v>
          </cell>
          <cell r="I229">
            <v>152</v>
          </cell>
          <cell r="J229">
            <v>49918182</v>
          </cell>
          <cell r="K229" t="str">
            <v>a</v>
          </cell>
        </row>
        <row r="230">
          <cell r="H230">
            <v>622</v>
          </cell>
          <cell r="I230">
            <v>111</v>
          </cell>
          <cell r="J230">
            <v>2400000</v>
          </cell>
        </row>
        <row r="231">
          <cell r="H231">
            <v>154</v>
          </cell>
          <cell r="I231">
            <v>622</v>
          </cell>
          <cell r="J231">
            <v>2400000</v>
          </cell>
          <cell r="K231" t="str">
            <v>a</v>
          </cell>
        </row>
        <row r="232">
          <cell r="H232">
            <v>154</v>
          </cell>
          <cell r="I232">
            <v>621</v>
          </cell>
          <cell r="J232">
            <v>49918182</v>
          </cell>
          <cell r="K232" t="str">
            <v>a</v>
          </cell>
        </row>
        <row r="233">
          <cell r="H233">
            <v>155</v>
          </cell>
          <cell r="I233">
            <v>154</v>
          </cell>
          <cell r="J233">
            <v>52318182</v>
          </cell>
          <cell r="K233" t="str">
            <v>a</v>
          </cell>
        </row>
        <row r="234">
          <cell r="H234">
            <v>632</v>
          </cell>
          <cell r="I234">
            <v>155</v>
          </cell>
          <cell r="J234">
            <v>52318182</v>
          </cell>
          <cell r="K234" t="str">
            <v>a</v>
          </cell>
        </row>
        <row r="235">
          <cell r="H235">
            <v>152</v>
          </cell>
          <cell r="I235">
            <v>111</v>
          </cell>
          <cell r="J235">
            <v>12936364</v>
          </cell>
          <cell r="K235" t="str">
            <v>a</v>
          </cell>
        </row>
        <row r="236">
          <cell r="H236">
            <v>133</v>
          </cell>
          <cell r="I236">
            <v>111</v>
          </cell>
          <cell r="J236">
            <v>1293636</v>
          </cell>
          <cell r="K236" t="str">
            <v>a</v>
          </cell>
        </row>
        <row r="237">
          <cell r="H237">
            <v>621</v>
          </cell>
          <cell r="I237">
            <v>152</v>
          </cell>
          <cell r="J237">
            <v>12936364</v>
          </cell>
          <cell r="K237" t="str">
            <v>a</v>
          </cell>
        </row>
        <row r="238">
          <cell r="H238">
            <v>622</v>
          </cell>
          <cell r="I238">
            <v>111</v>
          </cell>
          <cell r="J238">
            <v>2400000</v>
          </cell>
        </row>
        <row r="239">
          <cell r="H239">
            <v>154</v>
          </cell>
          <cell r="I239">
            <v>622</v>
          </cell>
          <cell r="J239">
            <v>2400000</v>
          </cell>
          <cell r="K239" t="str">
            <v>a</v>
          </cell>
        </row>
        <row r="240">
          <cell r="H240">
            <v>154</v>
          </cell>
          <cell r="I240">
            <v>621</v>
          </cell>
          <cell r="J240">
            <v>12936364</v>
          </cell>
          <cell r="K240" t="str">
            <v>a</v>
          </cell>
        </row>
        <row r="241">
          <cell r="H241">
            <v>155</v>
          </cell>
          <cell r="I241">
            <v>154</v>
          </cell>
          <cell r="J241">
            <v>15336364</v>
          </cell>
          <cell r="K241" t="str">
            <v>a</v>
          </cell>
        </row>
        <row r="242">
          <cell r="H242">
            <v>632</v>
          </cell>
          <cell r="I242">
            <v>155</v>
          </cell>
          <cell r="J242">
            <v>15336364</v>
          </cell>
          <cell r="K242" t="str">
            <v>a</v>
          </cell>
        </row>
        <row r="243">
          <cell r="H243">
            <v>152</v>
          </cell>
          <cell r="I243">
            <v>111</v>
          </cell>
          <cell r="J243">
            <v>10954545</v>
          </cell>
          <cell r="K243" t="str">
            <v>a</v>
          </cell>
        </row>
        <row r="244">
          <cell r="H244">
            <v>133</v>
          </cell>
          <cell r="I244">
            <v>111</v>
          </cell>
          <cell r="J244">
            <v>1095455</v>
          </cell>
          <cell r="K244" t="str">
            <v>a</v>
          </cell>
        </row>
        <row r="245">
          <cell r="H245">
            <v>621</v>
          </cell>
          <cell r="I245">
            <v>152</v>
          </cell>
          <cell r="J245">
            <v>10954545</v>
          </cell>
          <cell r="K245" t="str">
            <v>a</v>
          </cell>
        </row>
        <row r="246">
          <cell r="H246">
            <v>622</v>
          </cell>
          <cell r="I246">
            <v>111</v>
          </cell>
          <cell r="J246">
            <v>2400000</v>
          </cell>
        </row>
        <row r="247">
          <cell r="H247">
            <v>154</v>
          </cell>
          <cell r="I247">
            <v>622</v>
          </cell>
          <cell r="J247">
            <v>2400000</v>
          </cell>
          <cell r="K247" t="str">
            <v>a</v>
          </cell>
        </row>
        <row r="248">
          <cell r="H248">
            <v>154</v>
          </cell>
          <cell r="I248">
            <v>621</v>
          </cell>
          <cell r="J248">
            <v>10954545</v>
          </cell>
          <cell r="K248" t="str">
            <v>a</v>
          </cell>
        </row>
        <row r="249">
          <cell r="H249">
            <v>155</v>
          </cell>
          <cell r="I249">
            <v>154</v>
          </cell>
          <cell r="J249">
            <v>13354545</v>
          </cell>
          <cell r="K249" t="str">
            <v>a</v>
          </cell>
        </row>
        <row r="250">
          <cell r="H250">
            <v>632</v>
          </cell>
          <cell r="I250">
            <v>155</v>
          </cell>
          <cell r="J250">
            <v>13354545</v>
          </cell>
          <cell r="K250" t="str">
            <v>a</v>
          </cell>
        </row>
        <row r="251">
          <cell r="H251">
            <v>152</v>
          </cell>
          <cell r="I251">
            <v>111</v>
          </cell>
          <cell r="J251">
            <v>101016447</v>
          </cell>
          <cell r="K251" t="str">
            <v>a</v>
          </cell>
        </row>
        <row r="252">
          <cell r="H252">
            <v>133</v>
          </cell>
          <cell r="I252">
            <v>111</v>
          </cell>
          <cell r="J252">
            <v>8432337</v>
          </cell>
          <cell r="K252" t="str">
            <v>a</v>
          </cell>
        </row>
        <row r="253">
          <cell r="H253">
            <v>621</v>
          </cell>
          <cell r="I253">
            <v>152</v>
          </cell>
          <cell r="J253">
            <v>101016447</v>
          </cell>
          <cell r="K253" t="str">
            <v>a</v>
          </cell>
        </row>
        <row r="254">
          <cell r="H254">
            <v>622</v>
          </cell>
          <cell r="I254">
            <v>111</v>
          </cell>
          <cell r="J254">
            <v>2400000</v>
          </cell>
        </row>
        <row r="255">
          <cell r="H255">
            <v>154</v>
          </cell>
          <cell r="I255">
            <v>622</v>
          </cell>
          <cell r="J255">
            <v>2400000</v>
          </cell>
          <cell r="K255" t="str">
            <v>a</v>
          </cell>
        </row>
        <row r="256">
          <cell r="H256">
            <v>154</v>
          </cell>
          <cell r="I256">
            <v>621</v>
          </cell>
          <cell r="J256">
            <v>101016447</v>
          </cell>
          <cell r="K256" t="str">
            <v>a</v>
          </cell>
        </row>
        <row r="257">
          <cell r="H257">
            <v>155</v>
          </cell>
          <cell r="I257">
            <v>154</v>
          </cell>
          <cell r="J257">
            <v>103416447</v>
          </cell>
          <cell r="K257" t="str">
            <v>a</v>
          </cell>
        </row>
        <row r="258">
          <cell r="H258">
            <v>632</v>
          </cell>
          <cell r="I258">
            <v>155</v>
          </cell>
          <cell r="J258">
            <v>103416447</v>
          </cell>
          <cell r="K258" t="str">
            <v>a</v>
          </cell>
        </row>
        <row r="259">
          <cell r="H259">
            <v>152</v>
          </cell>
          <cell r="I259">
            <v>111</v>
          </cell>
          <cell r="J259">
            <v>88000000</v>
          </cell>
          <cell r="K259" t="str">
            <v>a</v>
          </cell>
        </row>
        <row r="260">
          <cell r="H260">
            <v>133</v>
          </cell>
          <cell r="I260">
            <v>111</v>
          </cell>
          <cell r="J260">
            <v>4400000</v>
          </cell>
          <cell r="K260" t="str">
            <v>a</v>
          </cell>
        </row>
        <row r="261">
          <cell r="H261">
            <v>621</v>
          </cell>
          <cell r="I261">
            <v>152</v>
          </cell>
          <cell r="J261">
            <v>88000000</v>
          </cell>
          <cell r="K261" t="str">
            <v>a</v>
          </cell>
        </row>
        <row r="262">
          <cell r="H262">
            <v>622</v>
          </cell>
          <cell r="I262">
            <v>111</v>
          </cell>
          <cell r="J262">
            <v>2400000</v>
          </cell>
        </row>
        <row r="263">
          <cell r="H263">
            <v>154</v>
          </cell>
          <cell r="I263">
            <v>622</v>
          </cell>
          <cell r="J263">
            <v>2400000</v>
          </cell>
          <cell r="K263" t="str">
            <v>a</v>
          </cell>
        </row>
        <row r="264">
          <cell r="H264">
            <v>154</v>
          </cell>
          <cell r="I264">
            <v>621</v>
          </cell>
          <cell r="J264">
            <v>88000000</v>
          </cell>
          <cell r="K264" t="str">
            <v>a</v>
          </cell>
        </row>
        <row r="265">
          <cell r="H265">
            <v>155</v>
          </cell>
          <cell r="I265">
            <v>154</v>
          </cell>
          <cell r="J265">
            <v>90400000</v>
          </cell>
          <cell r="K265" t="str">
            <v>a</v>
          </cell>
        </row>
        <row r="266">
          <cell r="H266">
            <v>632</v>
          </cell>
          <cell r="I266">
            <v>155</v>
          </cell>
          <cell r="J266">
            <v>90400000</v>
          </cell>
          <cell r="K266" t="str">
            <v>a</v>
          </cell>
        </row>
        <row r="267">
          <cell r="H267">
            <v>152</v>
          </cell>
          <cell r="I267">
            <v>111</v>
          </cell>
          <cell r="J267">
            <v>43840435</v>
          </cell>
          <cell r="K267" t="str">
            <v>a</v>
          </cell>
        </row>
        <row r="268">
          <cell r="H268">
            <v>133</v>
          </cell>
          <cell r="I268">
            <v>111</v>
          </cell>
          <cell r="J268">
            <v>2996950</v>
          </cell>
          <cell r="K268" t="str">
            <v>a</v>
          </cell>
        </row>
        <row r="269">
          <cell r="H269">
            <v>621</v>
          </cell>
          <cell r="I269">
            <v>152</v>
          </cell>
          <cell r="J269">
            <v>43840435</v>
          </cell>
          <cell r="K269" t="str">
            <v>a</v>
          </cell>
        </row>
        <row r="270">
          <cell r="H270">
            <v>622</v>
          </cell>
          <cell r="I270">
            <v>111</v>
          </cell>
          <cell r="J270">
            <v>2400000</v>
          </cell>
        </row>
        <row r="271">
          <cell r="H271">
            <v>154</v>
          </cell>
          <cell r="I271">
            <v>622</v>
          </cell>
          <cell r="J271">
            <v>2400000</v>
          </cell>
          <cell r="K271" t="str">
            <v>a</v>
          </cell>
        </row>
        <row r="272">
          <cell r="H272">
            <v>154</v>
          </cell>
          <cell r="I272">
            <v>621</v>
          </cell>
          <cell r="J272">
            <v>43840435</v>
          </cell>
          <cell r="K272" t="str">
            <v>a</v>
          </cell>
        </row>
        <row r="273">
          <cell r="H273">
            <v>155</v>
          </cell>
          <cell r="I273">
            <v>154</v>
          </cell>
          <cell r="J273">
            <v>46240435</v>
          </cell>
          <cell r="K273" t="str">
            <v>a</v>
          </cell>
        </row>
        <row r="274">
          <cell r="H274">
            <v>632</v>
          </cell>
          <cell r="I274">
            <v>155</v>
          </cell>
          <cell r="J274">
            <v>46240435</v>
          </cell>
          <cell r="K274" t="str">
            <v>a</v>
          </cell>
        </row>
        <row r="275">
          <cell r="H275">
            <v>152</v>
          </cell>
          <cell r="I275">
            <v>111</v>
          </cell>
          <cell r="J275">
            <v>94450669</v>
          </cell>
          <cell r="K275" t="str">
            <v>a</v>
          </cell>
        </row>
        <row r="276">
          <cell r="H276">
            <v>133</v>
          </cell>
          <cell r="I276">
            <v>111</v>
          </cell>
          <cell r="J276">
            <v>5492307</v>
          </cell>
          <cell r="K276" t="str">
            <v>a</v>
          </cell>
        </row>
        <row r="277">
          <cell r="H277">
            <v>621</v>
          </cell>
          <cell r="I277">
            <v>152</v>
          </cell>
          <cell r="J277">
            <v>94450669</v>
          </cell>
          <cell r="K277" t="str">
            <v>a</v>
          </cell>
        </row>
        <row r="278">
          <cell r="H278">
            <v>622</v>
          </cell>
          <cell r="I278">
            <v>111</v>
          </cell>
          <cell r="J278">
            <v>2400000</v>
          </cell>
        </row>
        <row r="279">
          <cell r="H279">
            <v>154</v>
          </cell>
          <cell r="I279">
            <v>622</v>
          </cell>
          <cell r="J279">
            <v>2400000</v>
          </cell>
          <cell r="K279" t="str">
            <v>a</v>
          </cell>
        </row>
        <row r="280">
          <cell r="H280">
            <v>154</v>
          </cell>
          <cell r="I280">
            <v>621</v>
          </cell>
          <cell r="J280">
            <v>94450669</v>
          </cell>
          <cell r="K280" t="str">
            <v>a</v>
          </cell>
        </row>
        <row r="281">
          <cell r="H281">
            <v>155</v>
          </cell>
          <cell r="I281">
            <v>154</v>
          </cell>
          <cell r="J281">
            <v>96850669</v>
          </cell>
          <cell r="K281" t="str">
            <v>a</v>
          </cell>
        </row>
        <row r="282">
          <cell r="H282">
            <v>632</v>
          </cell>
          <cell r="I282">
            <v>155</v>
          </cell>
          <cell r="J282">
            <v>96850669</v>
          </cell>
          <cell r="K282" t="str">
            <v>a</v>
          </cell>
        </row>
        <row r="283">
          <cell r="H283">
            <v>152</v>
          </cell>
          <cell r="I283">
            <v>111</v>
          </cell>
          <cell r="J283">
            <v>240025491</v>
          </cell>
          <cell r="K283" t="str">
            <v>a</v>
          </cell>
        </row>
        <row r="284">
          <cell r="H284">
            <v>133</v>
          </cell>
          <cell r="I284">
            <v>111</v>
          </cell>
          <cell r="J284">
            <v>18193984</v>
          </cell>
          <cell r="K284" t="str">
            <v>a</v>
          </cell>
        </row>
        <row r="285">
          <cell r="H285">
            <v>621</v>
          </cell>
          <cell r="I285">
            <v>152</v>
          </cell>
          <cell r="J285">
            <v>240025491</v>
          </cell>
          <cell r="K285" t="str">
            <v>a</v>
          </cell>
        </row>
        <row r="286">
          <cell r="H286">
            <v>622</v>
          </cell>
          <cell r="I286">
            <v>111</v>
          </cell>
          <cell r="J286">
            <v>2400000</v>
          </cell>
        </row>
        <row r="287">
          <cell r="H287">
            <v>154</v>
          </cell>
          <cell r="I287">
            <v>622</v>
          </cell>
          <cell r="J287">
            <v>2400000</v>
          </cell>
          <cell r="K287" t="str">
            <v>a</v>
          </cell>
        </row>
        <row r="288">
          <cell r="H288">
            <v>154</v>
          </cell>
          <cell r="I288">
            <v>621</v>
          </cell>
          <cell r="J288">
            <v>240025491</v>
          </cell>
          <cell r="K288" t="str">
            <v>a</v>
          </cell>
        </row>
        <row r="289">
          <cell r="H289">
            <v>155</v>
          </cell>
          <cell r="I289">
            <v>154</v>
          </cell>
          <cell r="J289">
            <v>242425491</v>
          </cell>
          <cell r="K289" t="str">
            <v>a</v>
          </cell>
        </row>
        <row r="290">
          <cell r="H290">
            <v>632</v>
          </cell>
          <cell r="I290">
            <v>155</v>
          </cell>
          <cell r="J290">
            <v>242425491</v>
          </cell>
          <cell r="K290" t="str">
            <v>a</v>
          </cell>
        </row>
        <row r="291">
          <cell r="H291">
            <v>152</v>
          </cell>
          <cell r="I291">
            <v>111</v>
          </cell>
          <cell r="J291">
            <v>54045900</v>
          </cell>
          <cell r="K291" t="str">
            <v>a</v>
          </cell>
        </row>
        <row r="292">
          <cell r="H292">
            <v>133</v>
          </cell>
          <cell r="I292">
            <v>111</v>
          </cell>
          <cell r="J292">
            <v>5318876</v>
          </cell>
          <cell r="K292" t="str">
            <v>a</v>
          </cell>
        </row>
        <row r="293">
          <cell r="H293">
            <v>621</v>
          </cell>
          <cell r="I293">
            <v>152</v>
          </cell>
          <cell r="J293">
            <v>54045900</v>
          </cell>
          <cell r="K293" t="str">
            <v>a</v>
          </cell>
        </row>
        <row r="294">
          <cell r="H294">
            <v>622</v>
          </cell>
          <cell r="I294">
            <v>111</v>
          </cell>
          <cell r="J294">
            <v>2400000</v>
          </cell>
        </row>
        <row r="295">
          <cell r="H295">
            <v>154</v>
          </cell>
          <cell r="I295">
            <v>622</v>
          </cell>
          <cell r="J295">
            <v>2400000</v>
          </cell>
          <cell r="K295" t="str">
            <v>a</v>
          </cell>
        </row>
        <row r="296">
          <cell r="H296">
            <v>154</v>
          </cell>
          <cell r="I296">
            <v>621</v>
          </cell>
          <cell r="J296">
            <v>54045900</v>
          </cell>
          <cell r="K296" t="str">
            <v>a</v>
          </cell>
        </row>
        <row r="299">
          <cell r="H299" t="str">
            <v>642</v>
          </cell>
          <cell r="I299" t="str">
            <v>3338</v>
          </cell>
          <cell r="J299">
            <v>850000</v>
          </cell>
          <cell r="K299" t="str">
            <v>MONBAI_642</v>
          </cell>
        </row>
        <row r="300">
          <cell r="H300" t="str">
            <v>141</v>
          </cell>
          <cell r="I300" t="str">
            <v>3339</v>
          </cell>
        </row>
        <row r="301">
          <cell r="H301" t="str">
            <v>133</v>
          </cell>
          <cell r="I301" t="str">
            <v>331</v>
          </cell>
          <cell r="L301" t="str">
            <v>PHUONG_331</v>
          </cell>
        </row>
        <row r="302">
          <cell r="H302" t="str">
            <v>3331</v>
          </cell>
          <cell r="I302" t="str">
            <v>133</v>
          </cell>
          <cell r="J302">
            <v>57186483</v>
          </cell>
        </row>
        <row r="303">
          <cell r="H303" t="str">
            <v>642</v>
          </cell>
          <cell r="I303">
            <v>214</v>
          </cell>
          <cell r="K303" t="str">
            <v>KH_642</v>
          </cell>
        </row>
        <row r="304">
          <cell r="H304" t="str">
            <v>154</v>
          </cell>
          <cell r="I304" t="str">
            <v>621</v>
          </cell>
          <cell r="L304" t="str">
            <v>KC_621</v>
          </cell>
        </row>
        <row r="305">
          <cell r="H305" t="str">
            <v>154</v>
          </cell>
          <cell r="I305" t="str">
            <v>622</v>
          </cell>
          <cell r="L305" t="str">
            <v>KC_622</v>
          </cell>
        </row>
        <row r="306">
          <cell r="H306" t="str">
            <v>154</v>
          </cell>
          <cell r="I306" t="str">
            <v>627</v>
          </cell>
          <cell r="J306">
            <v>0</v>
          </cell>
          <cell r="L306" t="str">
            <v>KC_627</v>
          </cell>
        </row>
        <row r="307">
          <cell r="H307" t="str">
            <v>911</v>
          </cell>
          <cell r="I307">
            <v>641</v>
          </cell>
          <cell r="J307">
            <v>0</v>
          </cell>
        </row>
        <row r="308">
          <cell r="H308" t="str">
            <v>911</v>
          </cell>
          <cell r="I308">
            <v>642</v>
          </cell>
          <cell r="J308">
            <v>3600000</v>
          </cell>
          <cell r="L308" t="str">
            <v>KC_642</v>
          </cell>
        </row>
        <row r="309">
          <cell r="H309" t="str">
            <v>632</v>
          </cell>
          <cell r="I309" t="str">
            <v>154</v>
          </cell>
        </row>
        <row r="310">
          <cell r="H310" t="str">
            <v>911</v>
          </cell>
          <cell r="I310" t="str">
            <v>632</v>
          </cell>
          <cell r="J310">
            <v>790553340</v>
          </cell>
        </row>
        <row r="311">
          <cell r="H311">
            <v>511</v>
          </cell>
          <cell r="I311" t="str">
            <v>911</v>
          </cell>
          <cell r="J311">
            <v>864297845</v>
          </cell>
          <cell r="K311" t="str">
            <v>KC_511</v>
          </cell>
        </row>
        <row r="312">
          <cell r="H312" t="str">
            <v>711</v>
          </cell>
          <cell r="I312" t="str">
            <v>911</v>
          </cell>
          <cell r="J312">
            <v>352384</v>
          </cell>
        </row>
        <row r="313">
          <cell r="H313" t="str">
            <v>911</v>
          </cell>
          <cell r="I313" t="str">
            <v>811</v>
          </cell>
        </row>
        <row r="314">
          <cell r="H314" t="str">
            <v>721</v>
          </cell>
          <cell r="I314" t="str">
            <v>911</v>
          </cell>
          <cell r="J314">
            <v>0</v>
          </cell>
        </row>
        <row r="315">
          <cell r="H315" t="str">
            <v>911</v>
          </cell>
          <cell r="I315" t="str">
            <v>821</v>
          </cell>
        </row>
        <row r="316">
          <cell r="H316" t="str">
            <v>911</v>
          </cell>
          <cell r="I316" t="str">
            <v>4212</v>
          </cell>
          <cell r="J316">
            <v>70496889</v>
          </cell>
        </row>
        <row r="317">
          <cell r="H317" t="str">
            <v>4212</v>
          </cell>
          <cell r="I317" t="str">
            <v>911</v>
          </cell>
          <cell r="J317">
            <v>0</v>
          </cell>
        </row>
        <row r="318">
          <cell r="H318" t="str">
            <v>4212</v>
          </cell>
          <cell r="I318" t="str">
            <v>3334</v>
          </cell>
          <cell r="J318">
            <v>22559004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AA-B"/>
      <sheetName val="AA-R"/>
      <sheetName val="AA-W"/>
      <sheetName val="AA-C"/>
      <sheetName val="B"/>
      <sheetName val="R"/>
      <sheetName val="W"/>
      <sheetName val="C"/>
    </sheetNames>
    <sheetDataSet>
      <sheetData sheetId="0" refreshError="1">
        <row r="2">
          <cell r="A2" t="str">
            <v>style No.</v>
          </cell>
          <cell r="C2">
            <v>37394</v>
          </cell>
        </row>
        <row r="3">
          <cell r="C3">
            <v>15221</v>
          </cell>
        </row>
        <row r="4">
          <cell r="C4" t="str">
            <v>VND</v>
          </cell>
          <cell r="D4" t="str">
            <v>USD</v>
          </cell>
        </row>
        <row r="5">
          <cell r="A5" t="str">
            <v>11V089</v>
          </cell>
          <cell r="B5" t="str">
            <v>AMORTEEN</v>
          </cell>
          <cell r="C5">
            <v>11271</v>
          </cell>
          <cell r="D5">
            <v>0.74049011234478679</v>
          </cell>
        </row>
        <row r="6">
          <cell r="A6" t="str">
            <v>11V103</v>
          </cell>
          <cell r="B6" t="str">
            <v>CLASSIQUE</v>
          </cell>
          <cell r="C6">
            <v>15368</v>
          </cell>
          <cell r="D6">
            <v>1.0096577097431181</v>
          </cell>
        </row>
        <row r="7">
          <cell r="A7" t="str">
            <v>11V261</v>
          </cell>
          <cell r="B7" t="str">
            <v>CLARICE</v>
          </cell>
          <cell r="C7">
            <v>23110</v>
          </cell>
          <cell r="D7">
            <v>1.518297089547336</v>
          </cell>
        </row>
        <row r="8">
          <cell r="A8" t="str">
            <v>11V451</v>
          </cell>
          <cell r="B8" t="str">
            <v>JESSICA</v>
          </cell>
          <cell r="C8">
            <v>25284</v>
          </cell>
          <cell r="D8">
            <v>1.6611260758163064</v>
          </cell>
        </row>
        <row r="9">
          <cell r="A9" t="str">
            <v>11V615</v>
          </cell>
          <cell r="B9" t="str">
            <v>T 434 V</v>
          </cell>
          <cell r="C9">
            <v>12960</v>
          </cell>
          <cell r="D9">
            <v>0.85145522633204129</v>
          </cell>
        </row>
        <row r="10">
          <cell r="A10" t="str">
            <v>11V708</v>
          </cell>
          <cell r="B10" t="str">
            <v>T 350 V</v>
          </cell>
          <cell r="C10">
            <v>16677</v>
          </cell>
          <cell r="D10">
            <v>1.0956573155508837</v>
          </cell>
        </row>
        <row r="11">
          <cell r="A11" t="str">
            <v>11V711</v>
          </cell>
          <cell r="B11" t="str">
            <v>ANGELICA V</v>
          </cell>
          <cell r="C11">
            <v>18043</v>
          </cell>
          <cell r="D11">
            <v>1.1854017475855725</v>
          </cell>
        </row>
        <row r="12">
          <cell r="A12" t="str">
            <v>11V941</v>
          </cell>
          <cell r="B12" t="str">
            <v>FASHION 350 V</v>
          </cell>
          <cell r="C12">
            <v>17358</v>
          </cell>
          <cell r="D12">
            <v>1.1403981341567571</v>
          </cell>
        </row>
        <row r="13">
          <cell r="A13" t="str">
            <v>16V086</v>
          </cell>
          <cell r="C13">
            <v>59152</v>
          </cell>
          <cell r="D13">
            <v>3.886209841666119</v>
          </cell>
        </row>
        <row r="14">
          <cell r="A14" t="str">
            <v>16V101</v>
          </cell>
          <cell r="C14">
            <v>59244</v>
          </cell>
          <cell r="D14">
            <v>3.8922541225937848</v>
          </cell>
        </row>
        <row r="15">
          <cell r="A15" t="str">
            <v>16V114</v>
          </cell>
          <cell r="C15">
            <v>60165</v>
          </cell>
          <cell r="D15">
            <v>3.9527626305761778</v>
          </cell>
        </row>
        <row r="16">
          <cell r="A16" t="str">
            <v>16V128</v>
          </cell>
          <cell r="C16">
            <v>60427</v>
          </cell>
          <cell r="D16">
            <v>3.969975691478878</v>
          </cell>
        </row>
        <row r="17">
          <cell r="A17" t="str">
            <v>16V163</v>
          </cell>
          <cell r="C17">
            <v>52611</v>
          </cell>
          <cell r="D17">
            <v>3.4564746074502333</v>
          </cell>
        </row>
        <row r="18">
          <cell r="A18" t="str">
            <v>16V164</v>
          </cell>
          <cell r="C18">
            <v>55954</v>
          </cell>
          <cell r="D18">
            <v>3.6761053807239996</v>
          </cell>
        </row>
        <row r="19">
          <cell r="A19" t="str">
            <v>18V184</v>
          </cell>
          <cell r="B19" t="str">
            <v>MAXIMIZER 020 DS</v>
          </cell>
          <cell r="C19">
            <v>31238</v>
          </cell>
          <cell r="D19">
            <v>2.0522961697654556</v>
          </cell>
        </row>
        <row r="20">
          <cell r="A20" t="str">
            <v>18V257</v>
          </cell>
          <cell r="B20" t="str">
            <v>T 352 TV</v>
          </cell>
          <cell r="C20">
            <v>20522</v>
          </cell>
          <cell r="D20">
            <v>1.3482688391038697</v>
          </cell>
        </row>
        <row r="21">
          <cell r="A21" t="str">
            <v>18V291</v>
          </cell>
          <cell r="B21" t="str">
            <v>MAXIMIZER 018 MVT</v>
          </cell>
          <cell r="C21">
            <v>29581</v>
          </cell>
          <cell r="D21">
            <v>1.9434334143617371</v>
          </cell>
        </row>
        <row r="22">
          <cell r="A22" t="str">
            <v>18V344</v>
          </cell>
          <cell r="B22" t="str">
            <v>ODELIE TV</v>
          </cell>
          <cell r="C22">
            <v>25268</v>
          </cell>
          <cell r="D22">
            <v>1.6600748965245384</v>
          </cell>
        </row>
        <row r="23">
          <cell r="A23" t="str">
            <v>18V435</v>
          </cell>
          <cell r="B23" t="str">
            <v>2758 DS</v>
          </cell>
          <cell r="C23">
            <v>19309</v>
          </cell>
          <cell r="D23">
            <v>1.2685763090467117</v>
          </cell>
        </row>
        <row r="24">
          <cell r="A24" t="str">
            <v>18V695</v>
          </cell>
          <cell r="B24" t="str">
            <v>MAXIMIZER 025 MDS</v>
          </cell>
          <cell r="C24">
            <v>34945</v>
          </cell>
          <cell r="D24">
            <v>2.295841271926943</v>
          </cell>
        </row>
        <row r="25">
          <cell r="A25" t="str">
            <v>19V437</v>
          </cell>
          <cell r="B25" t="str">
            <v>FASHION 350 TV 01</v>
          </cell>
          <cell r="C25">
            <v>18053</v>
          </cell>
          <cell r="D25">
            <v>1.1860587346429274</v>
          </cell>
        </row>
        <row r="26">
          <cell r="A26" t="str">
            <v>19V613</v>
          </cell>
          <cell r="B26" t="str">
            <v>MAXIMIZER 031 MVT 02</v>
          </cell>
          <cell r="C26">
            <v>50461</v>
          </cell>
          <cell r="D26">
            <v>3.3152223901189148</v>
          </cell>
        </row>
        <row r="27">
          <cell r="A27" t="str">
            <v>19V623</v>
          </cell>
          <cell r="B27" t="str">
            <v>MAXIMIZER 039 MVT 02</v>
          </cell>
          <cell r="C27">
            <v>65140</v>
          </cell>
          <cell r="D27">
            <v>4.2796136916102752</v>
          </cell>
        </row>
        <row r="28">
          <cell r="A28" t="str">
            <v>19V779</v>
          </cell>
          <cell r="B28" t="str">
            <v>MAXIMIZER 045 TV</v>
          </cell>
          <cell r="C28">
            <v>61370</v>
          </cell>
          <cell r="D28">
            <v>4.0319295709874519</v>
          </cell>
        </row>
        <row r="29">
          <cell r="A29" t="str">
            <v>19V803</v>
          </cell>
          <cell r="B29" t="str">
            <v>MAXIMIZER 060 DS</v>
          </cell>
          <cell r="C29">
            <v>28767</v>
          </cell>
          <cell r="D29">
            <v>1.8899546678930426</v>
          </cell>
        </row>
        <row r="30">
          <cell r="A30" t="str">
            <v>19V819</v>
          </cell>
          <cell r="C30">
            <v>48192</v>
          </cell>
          <cell r="D30">
            <v>3.1661520268050718</v>
          </cell>
        </row>
        <row r="31">
          <cell r="A31" t="str">
            <v>19V967</v>
          </cell>
          <cell r="B31" t="str">
            <v>FASHION 463 DS</v>
          </cell>
          <cell r="C31">
            <v>19559</v>
          </cell>
          <cell r="D31">
            <v>1.2850009854805859</v>
          </cell>
        </row>
        <row r="32">
          <cell r="A32" t="str">
            <v>19V968</v>
          </cell>
          <cell r="B32" t="str">
            <v>FASHION 463 TV</v>
          </cell>
          <cell r="C32">
            <v>18512</v>
          </cell>
          <cell r="D32">
            <v>1.2162144405755206</v>
          </cell>
        </row>
        <row r="33">
          <cell r="A33" t="str">
            <v>19V969</v>
          </cell>
          <cell r="B33" t="str">
            <v>FASHION 464 MDS</v>
          </cell>
          <cell r="C33">
            <v>51188</v>
          </cell>
          <cell r="D33">
            <v>3.3629853491886208</v>
          </cell>
        </row>
        <row r="34">
          <cell r="A34" t="str">
            <v>19V972</v>
          </cell>
          <cell r="B34" t="str">
            <v>FASHION 466 TV</v>
          </cell>
          <cell r="C34">
            <v>40864</v>
          </cell>
          <cell r="D34">
            <v>2.6847119111753499</v>
          </cell>
        </row>
        <row r="35">
          <cell r="A35" t="str">
            <v>19V973</v>
          </cell>
          <cell r="B35" t="str">
            <v>FASHION 466 DS</v>
          </cell>
          <cell r="C35">
            <v>43215</v>
          </cell>
          <cell r="D35">
            <v>2.8391695683595035</v>
          </cell>
        </row>
        <row r="36">
          <cell r="A36" t="str">
            <v>19V976</v>
          </cell>
          <cell r="B36" t="str">
            <v>FASHION 467 MDS</v>
          </cell>
          <cell r="C36">
            <v>35603</v>
          </cell>
          <cell r="D36">
            <v>2.3390710203009002</v>
          </cell>
        </row>
        <row r="37">
          <cell r="A37" t="str">
            <v>19V977</v>
          </cell>
          <cell r="B37" t="str">
            <v>FASHION 467 MVT</v>
          </cell>
          <cell r="C37">
            <v>35514</v>
          </cell>
          <cell r="D37">
            <v>2.3332238354904407</v>
          </cell>
        </row>
        <row r="38">
          <cell r="A38" t="str">
            <v>19V979</v>
          </cell>
          <cell r="B38" t="str">
            <v>FASHION 468 FV</v>
          </cell>
          <cell r="C38">
            <v>33654</v>
          </cell>
          <cell r="D38">
            <v>2.2110242428224165</v>
          </cell>
        </row>
        <row r="39">
          <cell r="A39" t="str">
            <v>20V407</v>
          </cell>
          <cell r="B39" t="str">
            <v>CONFECTION N</v>
          </cell>
          <cell r="C39">
            <v>13103</v>
          </cell>
          <cell r="D39">
            <v>0.86085014125221737</v>
          </cell>
        </row>
        <row r="40">
          <cell r="A40" t="str">
            <v>20V408</v>
          </cell>
          <cell r="B40" t="str">
            <v>JOLLY FLOWER N</v>
          </cell>
          <cell r="C40">
            <v>12059</v>
          </cell>
          <cell r="D40">
            <v>0.79226069246435848</v>
          </cell>
        </row>
        <row r="41">
          <cell r="A41" t="str">
            <v>20V421</v>
          </cell>
          <cell r="B41" t="str">
            <v>2003 V</v>
          </cell>
          <cell r="C41">
            <v>20284</v>
          </cell>
          <cell r="D41">
            <v>1.3326325471388214</v>
          </cell>
        </row>
        <row r="42">
          <cell r="A42" t="str">
            <v>20V427</v>
          </cell>
          <cell r="B42" t="str">
            <v>MAMABEL 01</v>
          </cell>
          <cell r="C42">
            <v>30391</v>
          </cell>
          <cell r="D42">
            <v>1.9966493660074895</v>
          </cell>
        </row>
        <row r="43">
          <cell r="A43" t="str">
            <v>21V165</v>
          </cell>
          <cell r="B43" t="str">
            <v>FASHION 118 MV</v>
          </cell>
          <cell r="C43">
            <v>23843</v>
          </cell>
          <cell r="D43">
            <v>1.5664542408514552</v>
          </cell>
        </row>
        <row r="44">
          <cell r="A44" t="str">
            <v>26V274</v>
          </cell>
          <cell r="C44">
            <v>37702</v>
          </cell>
          <cell r="D44">
            <v>2.4769726036397084</v>
          </cell>
        </row>
        <row r="45">
          <cell r="A45" t="str">
            <v>26V300</v>
          </cell>
          <cell r="B45" t="str">
            <v>MAXIMIZER 022 MVT CLICK N</v>
          </cell>
          <cell r="C45">
            <v>35199</v>
          </cell>
          <cell r="D45">
            <v>2.3125287431837593</v>
          </cell>
        </row>
        <row r="46">
          <cell r="A46" t="str">
            <v>26V308</v>
          </cell>
          <cell r="B46" t="str">
            <v>MAXIMIZER 012 TV CLICK N</v>
          </cell>
          <cell r="C46">
            <v>45856</v>
          </cell>
          <cell r="D46">
            <v>3.0126798502069509</v>
          </cell>
        </row>
        <row r="47">
          <cell r="A47" t="str">
            <v>26V332</v>
          </cell>
          <cell r="C47">
            <v>65922</v>
          </cell>
          <cell r="D47">
            <v>4.3309900794954341</v>
          </cell>
        </row>
        <row r="48">
          <cell r="A48" t="str">
            <v>27V143</v>
          </cell>
          <cell r="B48" t="str">
            <v>2620 FV</v>
          </cell>
          <cell r="C48">
            <v>21531</v>
          </cell>
          <cell r="D48">
            <v>1.4145588331909862</v>
          </cell>
        </row>
        <row r="49">
          <cell r="A49" t="str">
            <v>27V627</v>
          </cell>
          <cell r="B49" t="str">
            <v>SILHOUETTE</v>
          </cell>
          <cell r="C49">
            <v>19743</v>
          </cell>
          <cell r="D49">
            <v>1.2970895473359174</v>
          </cell>
        </row>
        <row r="50">
          <cell r="A50" t="str">
            <v>29V352</v>
          </cell>
          <cell r="B50" t="str">
            <v>BEATRICE</v>
          </cell>
          <cell r="C50">
            <v>20792</v>
          </cell>
          <cell r="D50">
            <v>1.3660074896524539</v>
          </cell>
        </row>
        <row r="51">
          <cell r="A51" t="str">
            <v>37V010</v>
          </cell>
          <cell r="B51" t="str">
            <v>AMOURETTE 01 LDN</v>
          </cell>
          <cell r="C51">
            <v>71344</v>
          </cell>
          <cell r="D51">
            <v>4.6872084619932988</v>
          </cell>
        </row>
        <row r="52">
          <cell r="A52" t="str">
            <v>37V092</v>
          </cell>
          <cell r="B52" t="str">
            <v>MAXIMIZER 034 MDSL</v>
          </cell>
          <cell r="C52">
            <v>68580</v>
          </cell>
          <cell r="D52">
            <v>4.5056172393403848</v>
          </cell>
        </row>
        <row r="53">
          <cell r="A53" t="str">
            <v>40V208</v>
          </cell>
          <cell r="C53">
            <v>25893</v>
          </cell>
          <cell r="D53">
            <v>1.7011365876092241</v>
          </cell>
        </row>
        <row r="54">
          <cell r="A54" t="str">
            <v>40V301</v>
          </cell>
          <cell r="B54" t="str">
            <v>SLIMFIT</v>
          </cell>
          <cell r="C54">
            <v>45617</v>
          </cell>
          <cell r="D54">
            <v>2.9969778595361674</v>
          </cell>
        </row>
        <row r="55">
          <cell r="A55" t="str">
            <v>40V684</v>
          </cell>
          <cell r="B55" t="str">
            <v>FASHION 355 PY</v>
          </cell>
          <cell r="C55">
            <v>28052</v>
          </cell>
          <cell r="D55">
            <v>1.8429800932921621</v>
          </cell>
        </row>
        <row r="56">
          <cell r="A56" t="str">
            <v>40V707</v>
          </cell>
          <cell r="C56">
            <v>35101</v>
          </cell>
          <cell r="D56">
            <v>2.3060902700216808</v>
          </cell>
        </row>
        <row r="57">
          <cell r="A57" t="str">
            <v>74V034</v>
          </cell>
          <cell r="B57" t="str">
            <v>FASHION 245 HIKINI</v>
          </cell>
          <cell r="C57">
            <v>11528</v>
          </cell>
          <cell r="D57">
            <v>0.75737467971880956</v>
          </cell>
        </row>
        <row r="58">
          <cell r="A58" t="str">
            <v>74V072</v>
          </cell>
          <cell r="B58" t="str">
            <v>T 352 HIKINI</v>
          </cell>
          <cell r="C58">
            <v>13360</v>
          </cell>
          <cell r="D58">
            <v>0.87773470862624003</v>
          </cell>
        </row>
        <row r="59">
          <cell r="A59" t="str">
            <v>74V084</v>
          </cell>
          <cell r="B59" t="str">
            <v>ANGELICA HIKINI</v>
          </cell>
          <cell r="C59">
            <v>7936</v>
          </cell>
          <cell r="D59">
            <v>0.52138492871690423</v>
          </cell>
        </row>
        <row r="60">
          <cell r="A60" t="str">
            <v>74V1002</v>
          </cell>
          <cell r="C60">
            <v>15513</v>
          </cell>
          <cell r="D60">
            <v>1.0191840220747652</v>
          </cell>
        </row>
        <row r="61">
          <cell r="A61" t="str">
            <v>74V1003</v>
          </cell>
          <cell r="C61">
            <v>16426</v>
          </cell>
          <cell r="D61">
            <v>1.0791669404112738</v>
          </cell>
        </row>
        <row r="62">
          <cell r="A62" t="str">
            <v>74V1061</v>
          </cell>
          <cell r="C62">
            <v>23004</v>
          </cell>
          <cell r="D62">
            <v>1.5113330267393732</v>
          </cell>
        </row>
        <row r="63">
          <cell r="A63" t="str">
            <v>74V653</v>
          </cell>
          <cell r="B63" t="str">
            <v>FASHION 330 HIKINI</v>
          </cell>
          <cell r="C63">
            <v>13765</v>
          </cell>
          <cell r="D63">
            <v>0.90434268444911636</v>
          </cell>
        </row>
        <row r="64">
          <cell r="A64" t="str">
            <v>74V733</v>
          </cell>
          <cell r="B64" t="str">
            <v>FASHION 355 HIKINI</v>
          </cell>
          <cell r="C64">
            <v>19500</v>
          </cell>
          <cell r="D64">
            <v>1.2811247618421917</v>
          </cell>
        </row>
        <row r="65">
          <cell r="A65" t="str">
            <v>74V735</v>
          </cell>
          <cell r="B65" t="str">
            <v>FASHION 429 HIKINI</v>
          </cell>
          <cell r="C65">
            <v>8865</v>
          </cell>
          <cell r="D65">
            <v>0.58241902634518095</v>
          </cell>
        </row>
        <row r="66">
          <cell r="A66" t="str">
            <v>74V793</v>
          </cell>
          <cell r="B66" t="str">
            <v>FASHION 398 MINI</v>
          </cell>
          <cell r="C66">
            <v>22363</v>
          </cell>
          <cell r="D66">
            <v>1.4692201563629197</v>
          </cell>
        </row>
        <row r="67">
          <cell r="A67" t="str">
            <v>74V868</v>
          </cell>
          <cell r="B67" t="str">
            <v>74V868</v>
          </cell>
          <cell r="C67">
            <v>6965</v>
          </cell>
          <cell r="D67">
            <v>0.4575914854477367</v>
          </cell>
        </row>
        <row r="68">
          <cell r="A68" t="str">
            <v>74V869</v>
          </cell>
          <cell r="B68" t="str">
            <v>74V869</v>
          </cell>
          <cell r="C68">
            <v>7093</v>
          </cell>
          <cell r="D68">
            <v>0.4660009197818803</v>
          </cell>
        </row>
        <row r="69">
          <cell r="A69" t="str">
            <v>74V870</v>
          </cell>
          <cell r="B69" t="str">
            <v>74V870</v>
          </cell>
          <cell r="C69">
            <v>7835</v>
          </cell>
          <cell r="D69">
            <v>0.51474935943761913</v>
          </cell>
        </row>
        <row r="70">
          <cell r="A70" t="str">
            <v>74V892</v>
          </cell>
          <cell r="B70" t="str">
            <v>FASHION 466 HIKINI</v>
          </cell>
          <cell r="C70">
            <v>12487</v>
          </cell>
          <cell r="D70">
            <v>0.82037973851915114</v>
          </cell>
        </row>
        <row r="71">
          <cell r="A71" t="str">
            <v>74V893</v>
          </cell>
          <cell r="B71" t="str">
            <v>FASHION 467 HIKINI</v>
          </cell>
          <cell r="C71">
            <v>17673</v>
          </cell>
          <cell r="D71">
            <v>1.1610932264634386</v>
          </cell>
        </row>
        <row r="72">
          <cell r="A72" t="str">
            <v>74V894</v>
          </cell>
          <cell r="B72" t="str">
            <v>FASHION 468 HIKINI</v>
          </cell>
          <cell r="C72">
            <v>15498</v>
          </cell>
          <cell r="D72">
            <v>1.0181985414887327</v>
          </cell>
        </row>
        <row r="73">
          <cell r="A73" t="str">
            <v>74V980</v>
          </cell>
          <cell r="C73">
            <v>21433</v>
          </cell>
          <cell r="D73">
            <v>1.4081203600289074</v>
          </cell>
        </row>
        <row r="74">
          <cell r="A74" t="str">
            <v>75X974</v>
          </cell>
          <cell r="C74">
            <v>6122</v>
          </cell>
          <cell r="D74">
            <v>0.40220747651271271</v>
          </cell>
        </row>
        <row r="75">
          <cell r="A75" t="str">
            <v>76v030</v>
          </cell>
          <cell r="B75" t="str">
            <v>Lilia midi 1</v>
          </cell>
          <cell r="C75">
            <v>16389</v>
          </cell>
          <cell r="D75">
            <v>1.0767360882990604</v>
          </cell>
        </row>
        <row r="76">
          <cell r="A76" t="str">
            <v>76V129</v>
          </cell>
          <cell r="B76" t="str">
            <v>MAMABEL 05</v>
          </cell>
          <cell r="C76">
            <v>23144</v>
          </cell>
          <cell r="D76">
            <v>1.5205308455423427</v>
          </cell>
        </row>
        <row r="77">
          <cell r="A77" t="str">
            <v>76V261</v>
          </cell>
          <cell r="B77" t="str">
            <v>SLOGGI STYLE TANGA</v>
          </cell>
          <cell r="C77">
            <v>10121</v>
          </cell>
          <cell r="D77">
            <v>0.66493660074896521</v>
          </cell>
        </row>
        <row r="78">
          <cell r="A78" t="str">
            <v>76V262</v>
          </cell>
          <cell r="B78" t="str">
            <v>SLOGGI STYLE MIDI</v>
          </cell>
          <cell r="C78">
            <v>12005</v>
          </cell>
          <cell r="D78">
            <v>0.78871296235464161</v>
          </cell>
        </row>
        <row r="79">
          <cell r="A79" t="str">
            <v>76V336</v>
          </cell>
          <cell r="B79" t="str">
            <v xml:space="preserve">SLOGGI COMFORT MINI </v>
          </cell>
          <cell r="C79">
            <v>12260</v>
          </cell>
          <cell r="D79">
            <v>0.80546613231719333</v>
          </cell>
        </row>
        <row r="80">
          <cell r="A80" t="str">
            <v>76V337</v>
          </cell>
          <cell r="B80" t="str">
            <v xml:space="preserve">SLOGGI COMFPRT MIDI </v>
          </cell>
          <cell r="C80">
            <v>13532</v>
          </cell>
          <cell r="D80">
            <v>0.8890348860127455</v>
          </cell>
        </row>
        <row r="81">
          <cell r="A81" t="str">
            <v>76V338</v>
          </cell>
          <cell r="B81" t="str">
            <v>SLOGGI COMFORT HIKINI</v>
          </cell>
          <cell r="C81">
            <v>13276</v>
          </cell>
          <cell r="D81">
            <v>0.87221601734445831</v>
          </cell>
        </row>
        <row r="82">
          <cell r="A82" t="str">
            <v>76V339</v>
          </cell>
          <cell r="B82" t="str">
            <v xml:space="preserve">SLOGGI COMFORT MAXI </v>
          </cell>
          <cell r="C82">
            <v>18867</v>
          </cell>
          <cell r="D82">
            <v>1.2395374811116222</v>
          </cell>
        </row>
        <row r="83">
          <cell r="A83" t="str">
            <v>76V364</v>
          </cell>
          <cell r="B83" t="str">
            <v>SLOGGI STYLE JUST WAIST</v>
          </cell>
          <cell r="C83">
            <v>14001</v>
          </cell>
          <cell r="D83">
            <v>0.91984757900269365</v>
          </cell>
        </row>
        <row r="84">
          <cell r="A84" t="str">
            <v>76V366</v>
          </cell>
          <cell r="B84" t="str">
            <v>SLOGGI STYLE HIKINI</v>
          </cell>
          <cell r="C84">
            <v>12548</v>
          </cell>
          <cell r="D84">
            <v>0.82438735956901654</v>
          </cell>
        </row>
        <row r="85">
          <cell r="A85" t="str">
            <v>76V367</v>
          </cell>
          <cell r="B85" t="str">
            <v>SLOGGI STYLE MAXI</v>
          </cell>
          <cell r="C85">
            <v>15068</v>
          </cell>
          <cell r="D85">
            <v>0.98994809802246897</v>
          </cell>
        </row>
        <row r="86">
          <cell r="A86" t="str">
            <v>76V384</v>
          </cell>
          <cell r="B86" t="str">
            <v>LILIA 02 MIDI 2</v>
          </cell>
          <cell r="C86">
            <v>15825</v>
          </cell>
          <cell r="D86">
            <v>1.0396820182642401</v>
          </cell>
        </row>
        <row r="87">
          <cell r="A87" t="str">
            <v>76V400</v>
          </cell>
          <cell r="B87" t="str">
            <v xml:space="preserve">SLOGGI COMFORT TANGA </v>
          </cell>
          <cell r="C87">
            <v>12272</v>
          </cell>
          <cell r="D87">
            <v>0.80625451678601934</v>
          </cell>
        </row>
        <row r="88">
          <cell r="A88" t="str">
            <v>77V319</v>
          </cell>
          <cell r="B88" t="str">
            <v>COTTON COMFORT MINI</v>
          </cell>
          <cell r="C88">
            <v>5098</v>
          </cell>
          <cell r="D88">
            <v>0.33493200183956379</v>
          </cell>
        </row>
        <row r="89">
          <cell r="A89" t="str">
            <v>77V324</v>
          </cell>
          <cell r="B89" t="str">
            <v>COTTON COMFORT MIDI</v>
          </cell>
          <cell r="C89">
            <v>5968</v>
          </cell>
          <cell r="D89">
            <v>0.39208987582944616</v>
          </cell>
        </row>
        <row r="90">
          <cell r="A90" t="str">
            <v>77V575</v>
          </cell>
          <cell r="B90" t="str">
            <v>COTTON COMFORT MAXI</v>
          </cell>
          <cell r="C90">
            <v>6711</v>
          </cell>
          <cell r="D90">
            <v>0.44090401419092046</v>
          </cell>
        </row>
        <row r="91">
          <cell r="A91" t="str">
            <v>78V001</v>
          </cell>
          <cell r="B91" t="str">
            <v>MAXI PATTERN</v>
          </cell>
          <cell r="C91">
            <v>6996</v>
          </cell>
          <cell r="D91">
            <v>0.45962814532553709</v>
          </cell>
        </row>
        <row r="92">
          <cell r="A92" t="str">
            <v>78V002</v>
          </cell>
          <cell r="B92" t="str">
            <v>MINI PATTERN</v>
          </cell>
          <cell r="C92">
            <v>5622</v>
          </cell>
          <cell r="D92">
            <v>0.36935812364496418</v>
          </cell>
        </row>
        <row r="93">
          <cell r="A93" t="str">
            <v>78V003</v>
          </cell>
          <cell r="B93" t="str">
            <v>MIDI PATTERN</v>
          </cell>
          <cell r="C93">
            <v>6526</v>
          </cell>
          <cell r="D93">
            <v>0.42874975362985351</v>
          </cell>
        </row>
        <row r="94">
          <cell r="A94" t="str">
            <v>83V262</v>
          </cell>
          <cell r="B94" t="str">
            <v>T 397 VEST</v>
          </cell>
          <cell r="C94">
            <v>8696</v>
          </cell>
          <cell r="D94">
            <v>0.57131594507588201</v>
          </cell>
        </row>
        <row r="95">
          <cell r="A95" t="str">
            <v>83V271</v>
          </cell>
          <cell r="B95" t="str">
            <v>T 409 VEST</v>
          </cell>
          <cell r="C95">
            <v>10349</v>
          </cell>
          <cell r="D95">
            <v>0.6799159056566586</v>
          </cell>
        </row>
        <row r="96">
          <cell r="A96" t="str">
            <v>87V093</v>
          </cell>
          <cell r="B96" t="str">
            <v>SLOGGI ACTIVE BOY LEG</v>
          </cell>
          <cell r="C96">
            <v>17200</v>
          </cell>
          <cell r="D96">
            <v>1.1300177386505486</v>
          </cell>
        </row>
        <row r="97">
          <cell r="A97" t="str">
            <v>88V103</v>
          </cell>
          <cell r="B97" t="str">
            <v>SLOGGI ACIVE TOP</v>
          </cell>
          <cell r="C97">
            <v>22435</v>
          </cell>
          <cell r="D97">
            <v>1.4739504631758755</v>
          </cell>
        </row>
        <row r="98">
          <cell r="A98" t="str">
            <v>16V547</v>
          </cell>
          <cell r="B98" t="str">
            <v>FASHION 573 TV</v>
          </cell>
          <cell r="C98">
            <v>30856</v>
          </cell>
          <cell r="D98">
            <v>2.0395267367307821</v>
          </cell>
        </row>
        <row r="99">
          <cell r="A99" t="str">
            <v>16V549</v>
          </cell>
          <cell r="B99" t="str">
            <v>FASHION 573 FV</v>
          </cell>
          <cell r="C99">
            <v>36740</v>
          </cell>
          <cell r="D99">
            <v>2.42844867473065</v>
          </cell>
        </row>
        <row r="100">
          <cell r="A100" t="str">
            <v>16V550</v>
          </cell>
          <cell r="B100" t="str">
            <v>FASHION 574 TV</v>
          </cell>
          <cell r="C100">
            <v>29979</v>
          </cell>
          <cell r="D100">
            <v>1.9815585960737656</v>
          </cell>
        </row>
        <row r="101">
          <cell r="A101" t="str">
            <v>16V552</v>
          </cell>
          <cell r="B101" t="str">
            <v>FASHION 574 FV</v>
          </cell>
          <cell r="C101">
            <v>34774</v>
          </cell>
          <cell r="D101">
            <v>2.2984995703615572</v>
          </cell>
        </row>
        <row r="102">
          <cell r="A102" t="str">
            <v>16V556</v>
          </cell>
          <cell r="B102" t="str">
            <v>FASHION 576 TV</v>
          </cell>
          <cell r="C102">
            <v>29839</v>
          </cell>
          <cell r="D102">
            <v>1.9723048449996694</v>
          </cell>
        </row>
        <row r="103">
          <cell r="A103" t="str">
            <v>16V557</v>
          </cell>
          <cell r="B103" t="str">
            <v>FASHION 577 DS</v>
          </cell>
          <cell r="C103">
            <v>30270</v>
          </cell>
          <cell r="D103">
            <v>2.000793178663494</v>
          </cell>
        </row>
        <row r="104">
          <cell r="A104" t="str">
            <v>16V558</v>
          </cell>
          <cell r="B104" t="str">
            <v>FASHION 577 TV</v>
          </cell>
          <cell r="C104">
            <v>35252</v>
          </cell>
          <cell r="D104">
            <v>2.3300945204573997</v>
          </cell>
        </row>
        <row r="105">
          <cell r="A105" t="str">
            <v>16V559</v>
          </cell>
          <cell r="B105" t="str">
            <v>FASHION 578 DS</v>
          </cell>
          <cell r="C105">
            <v>26656</v>
          </cell>
          <cell r="D105">
            <v>1.7619142045078988</v>
          </cell>
        </row>
        <row r="106">
          <cell r="A106" t="str">
            <v>16V560</v>
          </cell>
          <cell r="B106" t="str">
            <v>FASHION 578 TV</v>
          </cell>
          <cell r="C106">
            <v>25675</v>
          </cell>
          <cell r="D106">
            <v>1.6970718487672682</v>
          </cell>
        </row>
        <row r="107">
          <cell r="A107" t="str">
            <v>16V555</v>
          </cell>
          <cell r="B107" t="str">
            <v>FASHION 576 FV</v>
          </cell>
          <cell r="C107">
            <v>32771</v>
          </cell>
          <cell r="D107">
            <v>2.1661048317800251</v>
          </cell>
        </row>
        <row r="108">
          <cell r="A108" t="str">
            <v>16V125</v>
          </cell>
          <cell r="B108" t="str">
            <v>MAXIMIZER 072 MDS 1</v>
          </cell>
          <cell r="C108">
            <v>43704</v>
          </cell>
          <cell r="D108">
            <v>2.8887566924449732</v>
          </cell>
        </row>
        <row r="109">
          <cell r="A109" t="str">
            <v>16V639</v>
          </cell>
          <cell r="B109" t="str">
            <v>MAXIMIZER 072 MVT 1</v>
          </cell>
          <cell r="C109">
            <v>43513</v>
          </cell>
          <cell r="D109">
            <v>2.8761319320510279</v>
          </cell>
        </row>
        <row r="110">
          <cell r="A110" t="str">
            <v>16V553</v>
          </cell>
          <cell r="B110" t="str">
            <v>MAXIMIZER 102 TV</v>
          </cell>
          <cell r="C110">
            <v>34889</v>
          </cell>
          <cell r="D110">
            <v>2.3061008658867075</v>
          </cell>
        </row>
        <row r="111">
          <cell r="A111" t="str">
            <v>16V551</v>
          </cell>
          <cell r="B111" t="str">
            <v>MAXIMIZER 101 DS</v>
          </cell>
          <cell r="C111">
            <v>41341</v>
          </cell>
          <cell r="D111">
            <v>2.7325665939586226</v>
          </cell>
        </row>
        <row r="112">
          <cell r="A112" t="str">
            <v>16V548</v>
          </cell>
          <cell r="B112" t="str">
            <v>MAXIMIZER 100 DS</v>
          </cell>
          <cell r="C112">
            <v>39075</v>
          </cell>
          <cell r="D112">
            <v>2.5827880230021814</v>
          </cell>
        </row>
        <row r="113">
          <cell r="A113" t="str">
            <v>16V562</v>
          </cell>
          <cell r="B113" t="str">
            <v>MAXIMIZER 103 FV</v>
          </cell>
          <cell r="C113">
            <v>39759</v>
          </cell>
          <cell r="D113">
            <v>2.6279992068213365</v>
          </cell>
        </row>
        <row r="114">
          <cell r="A114" t="str">
            <v>16V554</v>
          </cell>
          <cell r="B114" t="str">
            <v>MAXIMIZER 102 DS</v>
          </cell>
          <cell r="C114">
            <v>42653</v>
          </cell>
          <cell r="D114">
            <v>2.8192874611672947</v>
          </cell>
        </row>
        <row r="115">
          <cell r="A115" t="str">
            <v>16V561</v>
          </cell>
          <cell r="B115" t="str">
            <v>MAXIMIZER 103 DS</v>
          </cell>
          <cell r="C115">
            <v>47996</v>
          </cell>
          <cell r="D115">
            <v>3.1724502610879766</v>
          </cell>
        </row>
        <row r="116">
          <cell r="A116" t="str">
            <v>16V247</v>
          </cell>
          <cell r="B116" t="str">
            <v>MAXIMIZER 093 MVT</v>
          </cell>
          <cell r="C116">
            <v>49585</v>
          </cell>
          <cell r="D116">
            <v>3.2774803357789675</v>
          </cell>
        </row>
        <row r="117">
          <cell r="A117" t="str">
            <v>15641</v>
          </cell>
          <cell r="B117" t="str">
            <v>Swimwear</v>
          </cell>
          <cell r="C117">
            <v>32717.97</v>
          </cell>
        </row>
        <row r="118">
          <cell r="A118" t="str">
            <v>15816</v>
          </cell>
          <cell r="B118" t="str">
            <v>Swimwear</v>
          </cell>
          <cell r="C118">
            <v>87993.030999999988</v>
          </cell>
        </row>
        <row r="119">
          <cell r="A119" t="str">
            <v>15847</v>
          </cell>
          <cell r="B119" t="str">
            <v>Swimwear</v>
          </cell>
          <cell r="C119">
            <v>66661.182795698915</v>
          </cell>
        </row>
        <row r="120">
          <cell r="A120" t="str">
            <v>15862</v>
          </cell>
          <cell r="B120" t="str">
            <v>Swimwear</v>
          </cell>
          <cell r="C120">
            <v>67318.467272727285</v>
          </cell>
        </row>
        <row r="121">
          <cell r="A121" t="str">
            <v>15863</v>
          </cell>
          <cell r="B121" t="str">
            <v>Swimwear</v>
          </cell>
          <cell r="C121">
            <v>69398.838135593222</v>
          </cell>
        </row>
        <row r="122">
          <cell r="A122" t="str">
            <v>V16575</v>
          </cell>
          <cell r="B122" t="str">
            <v>Swimwear</v>
          </cell>
          <cell r="C122">
            <v>85198.325953729131</v>
          </cell>
        </row>
        <row r="123">
          <cell r="A123" t="str">
            <v>V12468</v>
          </cell>
          <cell r="B123" t="str">
            <v>Swimwear</v>
          </cell>
          <cell r="C123">
            <v>89628.14108958203</v>
          </cell>
        </row>
        <row r="124">
          <cell r="A124" t="str">
            <v>V12596</v>
          </cell>
          <cell r="B124" t="str">
            <v>Swimwear</v>
          </cell>
          <cell r="C124">
            <v>61323.4756681176</v>
          </cell>
        </row>
        <row r="125">
          <cell r="A125" t="str">
            <v>V12607</v>
          </cell>
          <cell r="B125" t="str">
            <v>Swimwear</v>
          </cell>
          <cell r="C125">
            <v>68696.335207280776</v>
          </cell>
        </row>
        <row r="126">
          <cell r="A126" t="str">
            <v>V16196</v>
          </cell>
          <cell r="B126" t="str">
            <v>Swimwear</v>
          </cell>
          <cell r="C126">
            <v>73138.631311475401</v>
          </cell>
        </row>
        <row r="127">
          <cell r="A127" t="str">
            <v>V16343</v>
          </cell>
          <cell r="B127" t="str">
            <v>Swimwear</v>
          </cell>
          <cell r="C127">
            <v>117646.34482034885</v>
          </cell>
        </row>
        <row r="128">
          <cell r="A128" t="str">
            <v>V16510</v>
          </cell>
          <cell r="B128" t="str">
            <v>Swimwear</v>
          </cell>
          <cell r="C128">
            <v>115683.82654903611</v>
          </cell>
        </row>
        <row r="129">
          <cell r="A129" t="str">
            <v>V16530</v>
          </cell>
          <cell r="B129" t="str">
            <v>Swimwear</v>
          </cell>
          <cell r="C129">
            <v>130456.99099992294</v>
          </cell>
        </row>
        <row r="130">
          <cell r="A130" t="str">
            <v>V16586</v>
          </cell>
          <cell r="B130" t="str">
            <v>Swimwear</v>
          </cell>
          <cell r="C130">
            <v>67661.398292961749</v>
          </cell>
        </row>
        <row r="131">
          <cell r="A131" t="str">
            <v>V16590</v>
          </cell>
          <cell r="B131" t="str">
            <v>Swimwear</v>
          </cell>
          <cell r="C131">
            <v>69329.189151946499</v>
          </cell>
        </row>
        <row r="132">
          <cell r="A132" t="str">
            <v>V17006</v>
          </cell>
          <cell r="B132" t="str">
            <v>Swimwear</v>
          </cell>
          <cell r="C132">
            <v>51331.838726853624</v>
          </cell>
        </row>
        <row r="133">
          <cell r="A133" t="str">
            <v>V18007</v>
          </cell>
          <cell r="B133" t="str">
            <v>Swimwear</v>
          </cell>
          <cell r="C133">
            <v>35588.961738983853</v>
          </cell>
        </row>
        <row r="134">
          <cell r="A134" t="str">
            <v>15884</v>
          </cell>
          <cell r="B134" t="str">
            <v>Swimwear</v>
          </cell>
          <cell r="C134">
            <v>87957.953124999985</v>
          </cell>
        </row>
        <row r="135">
          <cell r="A135" t="str">
            <v>74V1362</v>
          </cell>
          <cell r="B135" t="str">
            <v>FASHION 573 MINI</v>
          </cell>
          <cell r="C135">
            <v>14575</v>
          </cell>
          <cell r="D135">
            <v>0.96338158503536253</v>
          </cell>
        </row>
        <row r="136">
          <cell r="A136" t="str">
            <v>74V1363</v>
          </cell>
          <cell r="B136" t="str">
            <v>FASHION 574 MINI</v>
          </cell>
          <cell r="C136">
            <v>12449</v>
          </cell>
          <cell r="D136">
            <v>0.82285676515301742</v>
          </cell>
        </row>
        <row r="137">
          <cell r="A137" t="str">
            <v>74V1365</v>
          </cell>
          <cell r="B137" t="str">
            <v>FASHION 576 MINI</v>
          </cell>
          <cell r="C137">
            <v>20031</v>
          </cell>
          <cell r="D137">
            <v>1.3240134840372795</v>
          </cell>
        </row>
        <row r="138">
          <cell r="A138" t="str">
            <v>74V1366</v>
          </cell>
          <cell r="B138" t="str">
            <v>FASHION 577 MINI</v>
          </cell>
          <cell r="C138">
            <v>17168</v>
          </cell>
          <cell r="D138">
            <v>1.134774274572014</v>
          </cell>
        </row>
        <row r="139">
          <cell r="A139" t="str">
            <v>74V1367</v>
          </cell>
          <cell r="B139" t="str">
            <v>FASHION 578 MINI</v>
          </cell>
          <cell r="C139">
            <v>13506</v>
          </cell>
          <cell r="D139">
            <v>0.89272258576244301</v>
          </cell>
        </row>
        <row r="140">
          <cell r="A140" t="str">
            <v>74V1463</v>
          </cell>
          <cell r="B140" t="str">
            <v>FASHION 452 MINI</v>
          </cell>
          <cell r="C140">
            <v>7917</v>
          </cell>
          <cell r="D140">
            <v>0.52329962324013479</v>
          </cell>
        </row>
        <row r="141">
          <cell r="A141" t="str">
            <v>74V1464</v>
          </cell>
          <cell r="B141" t="str">
            <v>FASHION 452 T-BACK</v>
          </cell>
          <cell r="C141">
            <v>7180</v>
          </cell>
          <cell r="D141">
            <v>0.47458523365721461</v>
          </cell>
        </row>
        <row r="142">
          <cell r="A142" t="str">
            <v>74V1364</v>
          </cell>
          <cell r="B142" t="str">
            <v>FASHION 575 MINI</v>
          </cell>
          <cell r="C142">
            <v>10120</v>
          </cell>
          <cell r="D142">
            <v>0.66891400621323283</v>
          </cell>
        </row>
        <row r="143">
          <cell r="A143" t="str">
            <v>74V1368</v>
          </cell>
          <cell r="B143" t="str">
            <v>FASHION 579 MINI</v>
          </cell>
          <cell r="C143">
            <v>18348</v>
          </cell>
          <cell r="D143">
            <v>1.2127701764822527</v>
          </cell>
        </row>
        <row r="144">
          <cell r="A144" t="str">
            <v>74V1213</v>
          </cell>
          <cell r="B144" t="str">
            <v>FASHION 545 LOW WAIST T-BACK</v>
          </cell>
          <cell r="C144">
            <v>17686</v>
          </cell>
          <cell r="D144">
            <v>1.1690131535461696</v>
          </cell>
        </row>
        <row r="145">
          <cell r="A145" t="str">
            <v>74V1206</v>
          </cell>
          <cell r="B145" t="str">
            <v>FASHION 545 LOW WAIST T-BACK</v>
          </cell>
          <cell r="C145">
            <v>16273</v>
          </cell>
          <cell r="D145">
            <v>1.0756163659197568</v>
          </cell>
        </row>
        <row r="146">
          <cell r="A146" t="str">
            <v>74X234</v>
          </cell>
          <cell r="B146" t="str">
            <v>MINI LACE</v>
          </cell>
          <cell r="C146">
            <v>6819</v>
          </cell>
          <cell r="D146">
            <v>0.44799947441035409</v>
          </cell>
        </row>
        <row r="147">
          <cell r="A147" t="str">
            <v>74X234A</v>
          </cell>
          <cell r="B147" t="str">
            <v>MINI LACE</v>
          </cell>
          <cell r="C147">
            <v>6819</v>
          </cell>
          <cell r="D147">
            <v>0.44799947441035409</v>
          </cell>
        </row>
        <row r="148">
          <cell r="A148" t="str">
            <v>16V310</v>
          </cell>
          <cell r="B148" t="str">
            <v>MAXIMIZER 095 MVT</v>
          </cell>
          <cell r="C148">
            <v>48488</v>
          </cell>
          <cell r="D148">
            <v>3.2049705862912288</v>
          </cell>
        </row>
        <row r="149">
          <cell r="A149" t="str">
            <v>16V256</v>
          </cell>
          <cell r="B149" t="str">
            <v>MAXIMIZER 097 MDS</v>
          </cell>
          <cell r="C149">
            <v>42584</v>
          </cell>
          <cell r="D149">
            <v>2.8147266838522045</v>
          </cell>
        </row>
        <row r="150">
          <cell r="A150" t="str">
            <v>26V489</v>
          </cell>
          <cell r="B150" t="str">
            <v>FASHION 540 F</v>
          </cell>
          <cell r="C150">
            <v>72619.199999999997</v>
          </cell>
          <cell r="D150">
            <v>4.8</v>
          </cell>
        </row>
        <row r="151">
          <cell r="A151" t="str">
            <v>74V1203</v>
          </cell>
          <cell r="B151" t="str">
            <v>FASHION 581 TANGA</v>
          </cell>
          <cell r="C151">
            <v>7284</v>
          </cell>
          <cell r="D151">
            <v>0.48145944874082885</v>
          </cell>
        </row>
        <row r="152">
          <cell r="A152" t="str">
            <v>74V1162</v>
          </cell>
          <cell r="B152" t="str">
            <v>FASHION 581 T-BACK</v>
          </cell>
          <cell r="C152">
            <v>7538</v>
          </cell>
          <cell r="D152">
            <v>0.49824839711811753</v>
          </cell>
        </row>
        <row r="153">
          <cell r="A153" t="str">
            <v>74V1167</v>
          </cell>
          <cell r="B153" t="str">
            <v>FASHION 549 LOW WAIST MINI</v>
          </cell>
          <cell r="C153">
            <v>8973</v>
          </cell>
          <cell r="D153">
            <v>0.59309934562760258</v>
          </cell>
        </row>
        <row r="154">
          <cell r="A154" t="str">
            <v>74V1202</v>
          </cell>
          <cell r="B154" t="str">
            <v>FASHION 549 LOW WAIST T-BACK</v>
          </cell>
          <cell r="C154">
            <v>5608</v>
          </cell>
          <cell r="D154">
            <v>0.37067882873950692</v>
          </cell>
        </row>
        <row r="155">
          <cell r="A155" t="str">
            <v>74V1199</v>
          </cell>
          <cell r="B155" t="str">
            <v>FASHION 540 MINI</v>
          </cell>
          <cell r="C155">
            <v>37822.5</v>
          </cell>
          <cell r="D155">
            <v>2.5</v>
          </cell>
        </row>
        <row r="156">
          <cell r="A156" t="str">
            <v>16v099</v>
          </cell>
          <cell r="C156">
            <v>63927.922014388503</v>
          </cell>
          <cell r="D156">
            <v>4.1999817367051113</v>
          </cell>
        </row>
        <row r="157">
          <cell r="A157" t="str">
            <v>17V646</v>
          </cell>
          <cell r="C157">
            <v>36571.951612903227</v>
          </cell>
          <cell r="D157">
            <v>2.4027298871889644</v>
          </cell>
        </row>
        <row r="158">
          <cell r="A158" t="str">
            <v>17V647</v>
          </cell>
          <cell r="C158">
            <v>36209</v>
          </cell>
          <cell r="D158">
            <v>2.3788844359766115</v>
          </cell>
        </row>
        <row r="159">
          <cell r="A159" t="str">
            <v>19V971</v>
          </cell>
          <cell r="C159">
            <v>26752</v>
          </cell>
          <cell r="D159">
            <v>1.7575717758360161</v>
          </cell>
        </row>
        <row r="160">
          <cell r="A160" t="str">
            <v>24V144</v>
          </cell>
          <cell r="C160">
            <v>28763</v>
          </cell>
          <cell r="D160">
            <v>1.8896918730701004</v>
          </cell>
        </row>
        <row r="161">
          <cell r="A161" t="str">
            <v>74V991</v>
          </cell>
          <cell r="C161">
            <v>33283.800000000003</v>
          </cell>
          <cell r="D161">
            <v>2.1867025819591355</v>
          </cell>
        </row>
        <row r="162">
          <cell r="A162" t="str">
            <v>74V992</v>
          </cell>
          <cell r="C162">
            <v>27232.2</v>
          </cell>
          <cell r="D162">
            <v>1.7891202943302018</v>
          </cell>
        </row>
        <row r="163">
          <cell r="A163" t="str">
            <v>74V891</v>
          </cell>
          <cell r="C163">
            <v>9474.8516129032269</v>
          </cell>
          <cell r="D163">
            <v>0.62248548800362835</v>
          </cell>
        </row>
        <row r="164">
          <cell r="A164" t="str">
            <v>Old bargain bra</v>
          </cell>
          <cell r="C164">
            <v>35321.244190319798</v>
          </cell>
          <cell r="D164">
            <v>2.3205600282714536</v>
          </cell>
        </row>
        <row r="165">
          <cell r="A165" t="str">
            <v>new bargain bra</v>
          </cell>
          <cell r="C165">
            <v>40000</v>
          </cell>
          <cell r="D165">
            <v>2.6279482294198804</v>
          </cell>
        </row>
        <row r="166">
          <cell r="A166" t="str">
            <v>Old bargain brief</v>
          </cell>
          <cell r="C166">
            <v>8119.6543276305001</v>
          </cell>
          <cell r="D166">
            <v>0.53345078034495108</v>
          </cell>
        </row>
        <row r="167">
          <cell r="A167" t="str">
            <v>new bargain brief</v>
          </cell>
          <cell r="C167">
            <v>9000</v>
          </cell>
          <cell r="D167">
            <v>0.59128835161947313</v>
          </cell>
        </row>
        <row r="168">
          <cell r="A168" t="str">
            <v>Old bargain swimwear</v>
          </cell>
          <cell r="C168">
            <v>60000</v>
          </cell>
          <cell r="D168">
            <v>3.9419223441298206</v>
          </cell>
        </row>
        <row r="169">
          <cell r="A169" t="str">
            <v>new bargain swimwear</v>
          </cell>
          <cell r="C169">
            <v>50000</v>
          </cell>
          <cell r="D169">
            <v>3.2849352867748505</v>
          </cell>
        </row>
        <row r="170">
          <cell r="A170" t="str">
            <v>5 new styles</v>
          </cell>
          <cell r="C170">
            <v>13000</v>
          </cell>
          <cell r="D170">
            <v>0.8540831745614611</v>
          </cell>
        </row>
        <row r="171">
          <cell r="A171" t="str">
            <v>16V310</v>
          </cell>
          <cell r="B171" t="str">
            <v>MAXIMIZER 095 MVT</v>
          </cell>
          <cell r="C171">
            <v>48488</v>
          </cell>
          <cell r="D171">
            <v>3.1855988437027789</v>
          </cell>
        </row>
        <row r="172">
          <cell r="A172" t="str">
            <v>16V256</v>
          </cell>
          <cell r="B172" t="str">
            <v>MAXIMIZER 097 MDS</v>
          </cell>
          <cell r="C172">
            <v>42584</v>
          </cell>
          <cell r="D172">
            <v>2.7977136850404047</v>
          </cell>
        </row>
        <row r="173">
          <cell r="A173" t="str">
            <v>5 new styles (F/W concept)</v>
          </cell>
          <cell r="C173">
            <v>13000</v>
          </cell>
          <cell r="D173">
            <v>0.8540831745614611</v>
          </cell>
        </row>
        <row r="174">
          <cell r="A174" t="str">
            <v>4 new styles (Cometic alovera)</v>
          </cell>
          <cell r="C174">
            <v>15000</v>
          </cell>
          <cell r="D174">
            <v>0.98548058603245514</v>
          </cell>
        </row>
        <row r="175">
          <cell r="A175" t="str">
            <v>4 new styles (Cream pad)</v>
          </cell>
          <cell r="C175">
            <v>15000</v>
          </cell>
          <cell r="D175">
            <v>0.98548058603245514</v>
          </cell>
        </row>
        <row r="176">
          <cell r="A176" t="str">
            <v>4 new styles (Cometic seacell)</v>
          </cell>
          <cell r="C176">
            <v>15000</v>
          </cell>
          <cell r="D176">
            <v>0.98548058603245514</v>
          </cell>
        </row>
        <row r="177">
          <cell r="A177" t="str">
            <v>4 new styles Cosmatic (alovera)</v>
          </cell>
          <cell r="C177">
            <v>55000</v>
          </cell>
          <cell r="D177">
            <v>3.6134288154523357</v>
          </cell>
        </row>
        <row r="178">
          <cell r="A178" t="str">
            <v>4 new styles Cream pad</v>
          </cell>
          <cell r="C178">
            <v>55000</v>
          </cell>
          <cell r="D178">
            <v>3.6134288154523357</v>
          </cell>
        </row>
        <row r="179">
          <cell r="A179" t="str">
            <v>4 new styles Cosmatic (seacell)</v>
          </cell>
          <cell r="C179">
            <v>55000</v>
          </cell>
          <cell r="D179">
            <v>3.6134288154523357</v>
          </cell>
        </row>
        <row r="180">
          <cell r="A180" t="str">
            <v>5 new bra styles (F/W concept)</v>
          </cell>
          <cell r="C180">
            <v>37000</v>
          </cell>
          <cell r="D180">
            <v>2.4308521122133895</v>
          </cell>
        </row>
        <row r="181">
          <cell r="A181" t="str">
            <v>old swimwear</v>
          </cell>
          <cell r="D181">
            <v>5</v>
          </cell>
        </row>
        <row r="182">
          <cell r="A182" t="str">
            <v>new swimwear</v>
          </cell>
          <cell r="D182">
            <v>4</v>
          </cell>
        </row>
        <row r="183">
          <cell r="A183" t="str">
            <v>8 new styles (trendy)</v>
          </cell>
          <cell r="C183">
            <v>9437.02</v>
          </cell>
          <cell r="D183">
            <v>0.62</v>
          </cell>
        </row>
      </sheetData>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REQUEST- WPP"/>
      <sheetName val="PHIEU DE NGHI THANH TOAN"/>
      <sheetName val="DOCUMENT SENDING"/>
      <sheetName val="CONTRACTS 2004"/>
      <sheetName val="BRAND"/>
      <sheetName val="Rate-card-03"/>
      <sheetName val="Rate-Card-04"/>
      <sheetName val="Contract Form (3)"/>
      <sheetName val="Hop dong TTVH"/>
      <sheetName val="CASH REQUEST- CTT"/>
      <sheetName val="SUPPLIER"/>
      <sheetName val="TRANSLATE VND"/>
      <sheetName val="Rate_Card_04"/>
    </sheetNames>
    <sheetDataSet>
      <sheetData sheetId="0" refreshError="1"/>
      <sheetData sheetId="1" refreshError="1"/>
      <sheetData sheetId="2" refreshError="1"/>
      <sheetData sheetId="3" refreshError="1"/>
      <sheetData sheetId="4" refreshError="1">
        <row r="6">
          <cell r="B6" t="str">
            <v>Listerine</v>
          </cell>
          <cell r="C6" t="str">
            <v>CTT</v>
          </cell>
          <cell r="D6" t="str">
            <v>CTT</v>
          </cell>
          <cell r="E6" t="str">
            <v>Phan Minh Uyen</v>
          </cell>
          <cell r="F6" t="str">
            <v>Other</v>
          </cell>
        </row>
        <row r="7">
          <cell r="B7" t="str">
            <v>Ford Coporate</v>
          </cell>
          <cell r="C7" t="str">
            <v>FORD</v>
          </cell>
          <cell r="D7" t="str">
            <v>FORD</v>
          </cell>
          <cell r="E7" t="str">
            <v>Huynh Thanh Dao</v>
          </cell>
          <cell r="F7" t="str">
            <v>FORD</v>
          </cell>
        </row>
        <row r="8">
          <cell r="B8" t="str">
            <v>Ford Transit</v>
          </cell>
          <cell r="C8" t="str">
            <v>FORD</v>
          </cell>
          <cell r="D8" t="str">
            <v>FORD</v>
          </cell>
          <cell r="E8" t="str">
            <v>Huynh Thanh Dao</v>
          </cell>
          <cell r="F8" t="str">
            <v>FORD</v>
          </cell>
        </row>
        <row r="9">
          <cell r="B9" t="str">
            <v>BP Consumer</v>
          </cell>
          <cell r="C9" t="str">
            <v>WPP</v>
          </cell>
          <cell r="D9" t="str">
            <v>CTT</v>
          </cell>
          <cell r="E9" t="str">
            <v>Huynh Thanh Dao</v>
          </cell>
          <cell r="F9" t="str">
            <v>Other</v>
          </cell>
        </row>
        <row r="10">
          <cell r="B10" t="str">
            <v>BP Venalus</v>
          </cell>
          <cell r="C10" t="str">
            <v>WPP</v>
          </cell>
          <cell r="D10" t="str">
            <v>CTT</v>
          </cell>
          <cell r="E10" t="str">
            <v>Huynh Thanh Dao</v>
          </cell>
          <cell r="F10" t="str">
            <v>Other</v>
          </cell>
        </row>
        <row r="11">
          <cell r="B11" t="str">
            <v>BP Vistra</v>
          </cell>
          <cell r="C11" t="str">
            <v>WPP</v>
          </cell>
          <cell r="D11" t="str">
            <v>CTT</v>
          </cell>
          <cell r="E11" t="str">
            <v>Huynh Thanh Dao</v>
          </cell>
          <cell r="F11" t="str">
            <v>Other</v>
          </cell>
        </row>
        <row r="12">
          <cell r="B12" t="str">
            <v>Castrol</v>
          </cell>
          <cell r="C12" t="str">
            <v>WPP</v>
          </cell>
          <cell r="D12" t="str">
            <v>CTT</v>
          </cell>
          <cell r="E12" t="str">
            <v>Huynh Thanh Dao</v>
          </cell>
          <cell r="F12" t="str">
            <v>Other</v>
          </cell>
        </row>
        <row r="13">
          <cell r="B13" t="str">
            <v>DHL</v>
          </cell>
          <cell r="C13" t="str">
            <v>WPP</v>
          </cell>
          <cell r="D13" t="str">
            <v>CTT</v>
          </cell>
          <cell r="E13" t="str">
            <v>Phan Minh Uyen</v>
          </cell>
          <cell r="F13" t="str">
            <v>Other</v>
          </cell>
        </row>
        <row r="14">
          <cell r="B14" t="str">
            <v>DL 123</v>
          </cell>
          <cell r="C14" t="str">
            <v>WPP</v>
          </cell>
          <cell r="D14" t="str">
            <v>CTT</v>
          </cell>
          <cell r="E14" t="str">
            <v>Huynh Thanh Dao</v>
          </cell>
          <cell r="F14" t="str">
            <v>DL</v>
          </cell>
        </row>
        <row r="15">
          <cell r="B15" t="str">
            <v>DL Friso</v>
          </cell>
          <cell r="C15" t="str">
            <v>WPP</v>
          </cell>
          <cell r="D15" t="str">
            <v>CTT</v>
          </cell>
          <cell r="E15" t="str">
            <v>Huynh Thanh Dao</v>
          </cell>
          <cell r="F15" t="str">
            <v>DL</v>
          </cell>
        </row>
        <row r="16">
          <cell r="B16" t="str">
            <v>DL Mainstream</v>
          </cell>
          <cell r="C16" t="str">
            <v>WPP</v>
          </cell>
          <cell r="D16" t="str">
            <v>CTT</v>
          </cell>
          <cell r="E16" t="str">
            <v>Huynh Thanh Dao</v>
          </cell>
          <cell r="F16" t="str">
            <v>DL</v>
          </cell>
        </row>
        <row r="17">
          <cell r="B17" t="str">
            <v>DL Power</v>
          </cell>
          <cell r="C17" t="str">
            <v>WPP</v>
          </cell>
          <cell r="D17" t="str">
            <v>CTT</v>
          </cell>
          <cell r="E17" t="str">
            <v>Huynh Thanh Dao</v>
          </cell>
          <cell r="F17" t="str">
            <v>DL</v>
          </cell>
        </row>
        <row r="18">
          <cell r="B18" t="str">
            <v>DL SCM</v>
          </cell>
          <cell r="C18" t="str">
            <v>WPP</v>
          </cell>
          <cell r="D18" t="str">
            <v>CTT</v>
          </cell>
          <cell r="E18" t="str">
            <v>Huynh Thanh Dao</v>
          </cell>
          <cell r="F18" t="str">
            <v>DL</v>
          </cell>
        </row>
        <row r="19">
          <cell r="B19" t="str">
            <v>Huggies</v>
          </cell>
          <cell r="C19" t="str">
            <v>WPP</v>
          </cell>
          <cell r="D19" t="str">
            <v>CTT</v>
          </cell>
          <cell r="E19" t="str">
            <v>Huynh Thanh Dao</v>
          </cell>
          <cell r="F19" t="str">
            <v>KC</v>
          </cell>
        </row>
        <row r="20">
          <cell r="B20" t="str">
            <v>IBM</v>
          </cell>
          <cell r="C20" t="str">
            <v>WPP</v>
          </cell>
          <cell r="D20" t="str">
            <v>CTT</v>
          </cell>
          <cell r="E20" t="str">
            <v>Phan Minh Uyen</v>
          </cell>
          <cell r="F20" t="str">
            <v>Other</v>
          </cell>
        </row>
        <row r="21">
          <cell r="B21" t="str">
            <v>Kleenex</v>
          </cell>
          <cell r="C21" t="str">
            <v>WPP</v>
          </cell>
          <cell r="D21" t="str">
            <v>CTT</v>
          </cell>
          <cell r="E21" t="str">
            <v>Huynh Thanh Dao</v>
          </cell>
          <cell r="F21" t="str">
            <v>KC</v>
          </cell>
        </row>
        <row r="22">
          <cell r="B22" t="str">
            <v>Kodak</v>
          </cell>
          <cell r="C22" t="str">
            <v>WPP</v>
          </cell>
          <cell r="D22" t="str">
            <v>CTT</v>
          </cell>
          <cell r="E22" t="str">
            <v>Phan Minh Uyen</v>
          </cell>
          <cell r="F22" t="str">
            <v>Other</v>
          </cell>
        </row>
        <row r="23">
          <cell r="B23" t="str">
            <v>Kotex</v>
          </cell>
          <cell r="C23" t="str">
            <v>WPP</v>
          </cell>
          <cell r="D23" t="str">
            <v>CTT</v>
          </cell>
          <cell r="E23" t="str">
            <v>Huynh Thanh Dao</v>
          </cell>
          <cell r="F23" t="str">
            <v>KC</v>
          </cell>
        </row>
        <row r="24">
          <cell r="B24" t="str">
            <v>Lavie</v>
          </cell>
          <cell r="C24" t="str">
            <v>WPP</v>
          </cell>
          <cell r="D24" t="str">
            <v>CTT</v>
          </cell>
          <cell r="E24" t="str">
            <v>Phan Minh Uyen</v>
          </cell>
          <cell r="F24" t="str">
            <v>Other</v>
          </cell>
        </row>
        <row r="25">
          <cell r="B25" t="str">
            <v>Number 1</v>
          </cell>
          <cell r="C25" t="str">
            <v>WPP</v>
          </cell>
          <cell r="D25" t="str">
            <v>CTT</v>
          </cell>
          <cell r="E25" t="str">
            <v>Phan Minh Uyen</v>
          </cell>
          <cell r="F25" t="str">
            <v>Other</v>
          </cell>
        </row>
        <row r="26">
          <cell r="B26" t="str">
            <v>Oral B</v>
          </cell>
          <cell r="C26" t="str">
            <v>WPP</v>
          </cell>
          <cell r="D26" t="str">
            <v>CTT</v>
          </cell>
          <cell r="E26" t="str">
            <v>Phan Minh Uyen</v>
          </cell>
          <cell r="F26" t="str">
            <v>Other</v>
          </cell>
        </row>
        <row r="27">
          <cell r="B27" t="str">
            <v>Vedan</v>
          </cell>
          <cell r="C27" t="str">
            <v>WPP</v>
          </cell>
          <cell r="D27" t="str">
            <v>CTT</v>
          </cell>
          <cell r="E27" t="str">
            <v>Phan Minh Uyen</v>
          </cell>
          <cell r="F27" t="str">
            <v>Other</v>
          </cell>
        </row>
        <row r="28">
          <cell r="B28" t="str">
            <v>Yomost</v>
          </cell>
          <cell r="C28" t="str">
            <v>WPP</v>
          </cell>
          <cell r="D28" t="str">
            <v>CTT</v>
          </cell>
          <cell r="E28" t="str">
            <v>Phan Minh Uyen</v>
          </cell>
          <cell r="F28" t="str">
            <v>DL</v>
          </cell>
        </row>
        <row r="29">
          <cell r="B29" t="str">
            <v>All</v>
          </cell>
          <cell r="C29" t="str">
            <v>WPP</v>
          </cell>
          <cell r="D29" t="str">
            <v>CTT</v>
          </cell>
          <cell r="F29" t="str">
            <v>Other</v>
          </cell>
        </row>
        <row r="30">
          <cell r="B30" t="str">
            <v>DL Vitality</v>
          </cell>
          <cell r="C30" t="str">
            <v>WPP</v>
          </cell>
          <cell r="D30" t="str">
            <v>CTT</v>
          </cell>
          <cell r="E30" t="str">
            <v>Huynh Thanh Dao</v>
          </cell>
          <cell r="F30" t="str">
            <v>DL</v>
          </cell>
        </row>
        <row r="31">
          <cell r="B31" t="str">
            <v>Berocca</v>
          </cell>
          <cell r="C31" t="str">
            <v>WPP</v>
          </cell>
          <cell r="D31" t="str">
            <v>CTT</v>
          </cell>
          <cell r="E31" t="str">
            <v>Huynh Thanh Dao</v>
          </cell>
          <cell r="F31" t="str">
            <v>Other</v>
          </cell>
        </row>
        <row r="32">
          <cell r="B32" t="str">
            <v>DL Coporate</v>
          </cell>
          <cell r="C32" t="str">
            <v>WPP</v>
          </cell>
          <cell r="D32" t="str">
            <v>CTT</v>
          </cell>
          <cell r="E32" t="str">
            <v>Huynh Thanh Dao</v>
          </cell>
          <cell r="F32" t="str">
            <v>DL</v>
          </cell>
        </row>
        <row r="33">
          <cell r="B33" t="str">
            <v>Hi Potential</v>
          </cell>
          <cell r="C33" t="str">
            <v>WPP</v>
          </cell>
          <cell r="D33" t="str">
            <v>CTT</v>
          </cell>
          <cell r="E33" t="str">
            <v>Huynh Thanh Dao</v>
          </cell>
          <cell r="F33" t="str">
            <v>OtherNN (-HNM)</v>
          </cell>
        </row>
        <row r="34">
          <cell r="B34" t="str">
            <v>Bepanthen Ointment</v>
          </cell>
          <cell r="C34" t="str">
            <v>WPP</v>
          </cell>
          <cell r="D34" t="str">
            <v>CTT</v>
          </cell>
          <cell r="E34" t="str">
            <v>Phan Minh Uyen</v>
          </cell>
          <cell r="F34" t="str">
            <v>OtherNN</v>
          </cell>
        </row>
        <row r="35">
          <cell r="B35" t="str">
            <v>Bepanthen Biotine</v>
          </cell>
          <cell r="C35" t="str">
            <v>WPP</v>
          </cell>
          <cell r="D35" t="str">
            <v>CTT</v>
          </cell>
          <cell r="E35" t="str">
            <v>Phan Minh Uyen</v>
          </cell>
          <cell r="F35" t="str">
            <v>OtherNN</v>
          </cell>
        </row>
        <row r="36">
          <cell r="B36" t="str">
            <v>Motorola</v>
          </cell>
          <cell r="C36" t="str">
            <v>WPP</v>
          </cell>
          <cell r="D36" t="str">
            <v>CTT</v>
          </cell>
          <cell r="E36" t="str">
            <v>Phan Minh Uyen</v>
          </cell>
        </row>
        <row r="37">
          <cell r="B37" t="str">
            <v>Appeton Weight Gain</v>
          </cell>
          <cell r="C37" t="str">
            <v>WPP</v>
          </cell>
          <cell r="D37" t="str">
            <v>CTT</v>
          </cell>
          <cell r="E37" t="str">
            <v>Phan Minh Uyen</v>
          </cell>
        </row>
        <row r="38">
          <cell r="B38" t="str">
            <v>Appeton Taurine</v>
          </cell>
          <cell r="C38" t="str">
            <v>WPP</v>
          </cell>
          <cell r="D38" t="str">
            <v>CTT</v>
          </cell>
          <cell r="E38" t="str">
            <v>Phan Minh Uyen</v>
          </cell>
        </row>
        <row r="39">
          <cell r="B39" t="str">
            <v>DL 456</v>
          </cell>
          <cell r="C39" t="str">
            <v>WPP</v>
          </cell>
          <cell r="D39" t="str">
            <v>CTT</v>
          </cell>
          <cell r="E39" t="str">
            <v>Huynh Thanh Dao</v>
          </cell>
          <cell r="F39" t="str">
            <v>DL</v>
          </cell>
        </row>
        <row r="40">
          <cell r="B40" t="str">
            <v>Ford Roadshow</v>
          </cell>
          <cell r="C40" t="str">
            <v>FORD</v>
          </cell>
          <cell r="D40" t="str">
            <v>FORD</v>
          </cell>
          <cell r="E40" t="str">
            <v>Huynh Thanh Dao</v>
          </cell>
          <cell r="F40" t="str">
            <v>FORD</v>
          </cell>
        </row>
        <row r="41">
          <cell r="B41" t="str">
            <v>Bia Ben Thanh</v>
          </cell>
          <cell r="C41" t="str">
            <v>WPP</v>
          </cell>
          <cell r="D41" t="str">
            <v>CTT</v>
          </cell>
          <cell r="E41" t="str">
            <v>Phan Minh Uyen</v>
          </cell>
        </row>
        <row r="42">
          <cell r="B42" t="str">
            <v>Dumex</v>
          </cell>
          <cell r="C42" t="str">
            <v>WPP</v>
          </cell>
          <cell r="D42" t="str">
            <v>CTT</v>
          </cell>
          <cell r="E42" t="str">
            <v>Phan Minh Uyen</v>
          </cell>
        </row>
        <row r="43">
          <cell r="B43" t="str">
            <v>DL 123456</v>
          </cell>
          <cell r="C43" t="str">
            <v>WPP</v>
          </cell>
          <cell r="D43" t="str">
            <v>CTT</v>
          </cell>
          <cell r="E43" t="str">
            <v>Huynh Thanh Dao</v>
          </cell>
        </row>
        <row r="44">
          <cell r="B44" t="str">
            <v>OK</v>
          </cell>
          <cell r="C44" t="str">
            <v>WPP</v>
          </cell>
          <cell r="D44" t="str">
            <v>CTT</v>
          </cell>
          <cell r="E44" t="str">
            <v>Phan Minh Uyen</v>
          </cell>
        </row>
        <row r="45">
          <cell r="B45" t="str">
            <v>Cal D Vita</v>
          </cell>
          <cell r="C45" t="str">
            <v>WPP</v>
          </cell>
          <cell r="D45" t="str">
            <v>CTT</v>
          </cell>
          <cell r="E45" t="str">
            <v>Phan Minh Uyen</v>
          </cell>
        </row>
        <row r="46">
          <cell r="D46">
            <v>0</v>
          </cell>
        </row>
        <row r="47">
          <cell r="D47">
            <v>0</v>
          </cell>
        </row>
        <row r="48">
          <cell r="D48">
            <v>0</v>
          </cell>
        </row>
        <row r="49">
          <cell r="D49">
            <v>0</v>
          </cell>
        </row>
        <row r="50">
          <cell r="D50">
            <v>0</v>
          </cell>
        </row>
        <row r="51">
          <cell r="D51">
            <v>0</v>
          </cell>
        </row>
        <row r="52">
          <cell r="D52">
            <v>0</v>
          </cell>
        </row>
      </sheetData>
      <sheetData sheetId="5" refreshError="1"/>
      <sheetData sheetId="6" refreshError="1">
        <row r="5">
          <cell r="F5" t="str">
            <v>FPFCInside</v>
          </cell>
          <cell r="G5" t="str">
            <v>FPFCFirst</v>
          </cell>
          <cell r="H5" t="str">
            <v>FPFCCover 2</v>
          </cell>
          <cell r="I5" t="str">
            <v>FPFCCover 3</v>
          </cell>
          <cell r="J5" t="str">
            <v>FPFCCover 4</v>
          </cell>
          <cell r="K5" t="str">
            <v>FPFCLast</v>
          </cell>
          <cell r="L5" t="str">
            <v>JPFCFirst</v>
          </cell>
          <cell r="M5" t="str">
            <v>JPFCInside</v>
          </cell>
          <cell r="N5" t="str">
            <v>VPFCInside</v>
          </cell>
          <cell r="O5" t="str">
            <v>HPFCFirst</v>
          </cell>
          <cell r="P5" t="str">
            <v>HPFCInside</v>
          </cell>
          <cell r="Q5" t="str">
            <v>VQPFCInside</v>
          </cell>
          <cell r="R5" t="str">
            <v>HQPFCInside</v>
          </cell>
          <cell r="S5" t="str">
            <v>DPFCInside</v>
          </cell>
          <cell r="T5" t="str">
            <v>FPBWInside</v>
          </cell>
          <cell r="U5" t="str">
            <v>2/3PFCInside</v>
          </cell>
          <cell r="V5" t="str">
            <v>2/3PFCCon</v>
          </cell>
        </row>
        <row r="6">
          <cell r="B6">
            <v>1</v>
          </cell>
          <cell r="F6" t="str">
            <v>Nguyeân trang trong</v>
          </cell>
          <cell r="G6" t="str">
            <v>Trang bìa 1</v>
          </cell>
          <cell r="H6" t="str">
            <v>Trang bìa 2</v>
          </cell>
          <cell r="I6" t="str">
            <v>Trang bìa 3</v>
          </cell>
          <cell r="J6" t="str">
            <v>Trang bìa 4</v>
          </cell>
          <cell r="K6" t="str">
            <v>Trang cuoái</v>
          </cell>
          <cell r="N6" t="str">
            <v>1/2 trang ñöùng</v>
          </cell>
          <cell r="O6" t="str">
            <v>1/2 bìa 1 ngang</v>
          </cell>
          <cell r="P6" t="str">
            <v>1/2 trang ngang</v>
          </cell>
          <cell r="Q6" t="str">
            <v>1/4 trang ñöùng</v>
          </cell>
          <cell r="R6" t="str">
            <v>1/4 trang ngang</v>
          </cell>
          <cell r="S6" t="str">
            <v>Trang trong ñoâi</v>
          </cell>
          <cell r="T6" t="str">
            <v>Nguyeân trang trong</v>
          </cell>
          <cell r="U6" t="str">
            <v>2/3 trang trong</v>
          </cell>
          <cell r="V6" t="str">
            <v>2/3 trang trong</v>
          </cell>
          <cell r="W6" t="str">
            <v>2/3 trang trong</v>
          </cell>
          <cell r="X6" t="str">
            <v>DL</v>
          </cell>
          <cell r="Z6" t="str">
            <v>KC</v>
          </cell>
          <cell r="AB6" t="str">
            <v>Berocca</v>
          </cell>
          <cell r="AD6" t="str">
            <v>Ford</v>
          </cell>
          <cell r="AF6" t="str">
            <v>Other</v>
          </cell>
          <cell r="AH6" t="str">
            <v>LTC</v>
          </cell>
          <cell r="AJ6" t="str">
            <v>Tel</v>
          </cell>
          <cell r="AK6" t="str">
            <v>Fax</v>
          </cell>
          <cell r="AL6" t="str">
            <v>Add</v>
          </cell>
          <cell r="AM6" t="str">
            <v>Name</v>
          </cell>
          <cell r="AN6" t="str">
            <v>Mobile</v>
          </cell>
          <cell r="AO6" t="str">
            <v>Type</v>
          </cell>
          <cell r="AP6" t="str">
            <v>Tax Code</v>
          </cell>
        </row>
        <row r="7">
          <cell r="A7">
            <v>1</v>
          </cell>
          <cell r="B7">
            <v>2</v>
          </cell>
          <cell r="C7">
            <v>3</v>
          </cell>
          <cell r="D7">
            <v>4</v>
          </cell>
          <cell r="E7">
            <v>5</v>
          </cell>
          <cell r="F7">
            <v>6</v>
          </cell>
          <cell r="G7">
            <v>7</v>
          </cell>
          <cell r="H7">
            <v>8</v>
          </cell>
          <cell r="I7">
            <v>9</v>
          </cell>
          <cell r="J7">
            <v>10</v>
          </cell>
          <cell r="K7">
            <v>11</v>
          </cell>
          <cell r="L7">
            <v>12</v>
          </cell>
          <cell r="M7">
            <v>13</v>
          </cell>
          <cell r="N7">
            <v>14</v>
          </cell>
          <cell r="O7">
            <v>15</v>
          </cell>
          <cell r="P7">
            <v>16</v>
          </cell>
          <cell r="Q7">
            <v>17</v>
          </cell>
          <cell r="R7">
            <v>18</v>
          </cell>
          <cell r="S7">
            <v>19</v>
          </cell>
          <cell r="T7">
            <v>20</v>
          </cell>
          <cell r="U7">
            <v>21</v>
          </cell>
          <cell r="V7">
            <v>22</v>
          </cell>
          <cell r="W7">
            <v>23</v>
          </cell>
          <cell r="X7">
            <v>24</v>
          </cell>
          <cell r="Y7">
            <v>25</v>
          </cell>
          <cell r="Z7">
            <v>26</v>
          </cell>
          <cell r="AA7">
            <v>27</v>
          </cell>
          <cell r="AB7">
            <v>28</v>
          </cell>
          <cell r="AC7">
            <v>29</v>
          </cell>
          <cell r="AD7">
            <v>30</v>
          </cell>
          <cell r="AE7">
            <v>31</v>
          </cell>
          <cell r="AF7">
            <v>32</v>
          </cell>
          <cell r="AG7">
            <v>33</v>
          </cell>
          <cell r="AH7">
            <v>34</v>
          </cell>
          <cell r="AI7">
            <v>35</v>
          </cell>
          <cell r="AJ7">
            <v>36</v>
          </cell>
          <cell r="AK7">
            <v>37</v>
          </cell>
          <cell r="AL7">
            <v>38</v>
          </cell>
          <cell r="AM7">
            <v>39</v>
          </cell>
          <cell r="AN7">
            <v>40</v>
          </cell>
          <cell r="AO7">
            <v>41</v>
          </cell>
          <cell r="AP7">
            <v>42</v>
          </cell>
        </row>
        <row r="8">
          <cell r="A8" t="str">
            <v>THTC</v>
          </cell>
          <cell r="B8">
            <v>3</v>
          </cell>
          <cell r="C8" t="str">
            <v>Taïp chí Tin Hoïc Taøi Chính</v>
          </cell>
          <cell r="D8" t="str">
            <v>Ban QLÖD Tin Hoïc- Boä Taøi Chính</v>
          </cell>
          <cell r="E8" t="str">
            <v>TIN HOC TAI CHINH</v>
          </cell>
          <cell r="F8">
            <v>1100</v>
          </cell>
          <cell r="H8">
            <v>13200.000000000002</v>
          </cell>
          <cell r="I8">
            <v>13200.000000000002</v>
          </cell>
          <cell r="J8">
            <v>16500</v>
          </cell>
          <cell r="T8">
            <v>8800</v>
          </cell>
          <cell r="AO8" t="str">
            <v>MO</v>
          </cell>
        </row>
        <row r="9">
          <cell r="A9" t="str">
            <v>KQD</v>
          </cell>
          <cell r="B9">
            <v>4</v>
          </cell>
          <cell r="C9" t="str">
            <v>Baùo Khaên Quaøng Ñoû</v>
          </cell>
          <cell r="D9" t="str">
            <v>Baùo Khaên Quaøng Ñoû</v>
          </cell>
          <cell r="E9" t="str">
            <v>KHAN QUANG DO</v>
          </cell>
          <cell r="F9">
            <v>7150.0000000000009</v>
          </cell>
          <cell r="X9">
            <v>0.05</v>
          </cell>
          <cell r="Z9">
            <v>0.05</v>
          </cell>
          <cell r="AB9">
            <v>0.05</v>
          </cell>
          <cell r="AD9">
            <v>0.05</v>
          </cell>
          <cell r="AF9">
            <v>0.05</v>
          </cell>
          <cell r="AJ9" t="str">
            <v>822 7369</v>
          </cell>
          <cell r="AK9" t="str">
            <v>822 5437</v>
          </cell>
          <cell r="AL9" t="str">
            <v>12 Pham Ngoc Thach, Q.3, Tp.HCM</v>
          </cell>
          <cell r="AM9" t="str">
            <v>anh Duy</v>
          </cell>
          <cell r="AN9" t="str">
            <v>0903 980879</v>
          </cell>
          <cell r="AO9" t="str">
            <v>MO</v>
          </cell>
          <cell r="AP9" t="str">
            <v>030 146 5150- 1</v>
          </cell>
        </row>
        <row r="10">
          <cell r="A10" t="str">
            <v>MT</v>
          </cell>
          <cell r="B10">
            <v>5</v>
          </cell>
          <cell r="C10" t="str">
            <v>Baùo Möïc Tím</v>
          </cell>
          <cell r="D10" t="str">
            <v>Baùo Khaên Quaøng Ñoû</v>
          </cell>
          <cell r="E10" t="str">
            <v>KQD- MUC TIM</v>
          </cell>
          <cell r="F10">
            <v>11550.000000000002</v>
          </cell>
          <cell r="I10">
            <v>12650.000000000002</v>
          </cell>
          <cell r="J10">
            <v>15950.000000000002</v>
          </cell>
          <cell r="P10">
            <v>6352.5000000000009</v>
          </cell>
          <cell r="T10">
            <v>4950</v>
          </cell>
          <cell r="X10">
            <v>0.05</v>
          </cell>
          <cell r="Z10">
            <v>0.05</v>
          </cell>
          <cell r="AB10">
            <v>0.05</v>
          </cell>
          <cell r="AD10">
            <v>0.05</v>
          </cell>
          <cell r="AF10">
            <v>0.05</v>
          </cell>
          <cell r="AJ10" t="str">
            <v>822 7369</v>
          </cell>
          <cell r="AK10" t="str">
            <v>822 5437</v>
          </cell>
          <cell r="AL10" t="str">
            <v>12 Pham Ngoc Thach, Q.3, Tp.HCM</v>
          </cell>
          <cell r="AM10" t="str">
            <v>anh Duy</v>
          </cell>
          <cell r="AN10" t="str">
            <v>0903 980879</v>
          </cell>
          <cell r="AO10" t="str">
            <v>MO</v>
          </cell>
          <cell r="AP10" t="str">
            <v>030 146 5150- 1</v>
          </cell>
        </row>
        <row r="11">
          <cell r="A11" t="str">
            <v>NDG</v>
          </cell>
          <cell r="B11">
            <v>6</v>
          </cell>
          <cell r="C11" t="str">
            <v>Baùo Nhi Ñoàng</v>
          </cell>
          <cell r="D11" t="str">
            <v>Baùo Khaên Quaøng Ñoû</v>
          </cell>
          <cell r="E11" t="str">
            <v>KQD- NHI DONG</v>
          </cell>
          <cell r="X11">
            <v>0.05</v>
          </cell>
          <cell r="Z11">
            <v>0.05</v>
          </cell>
          <cell r="AB11">
            <v>0.05</v>
          </cell>
          <cell r="AD11">
            <v>0.05</v>
          </cell>
          <cell r="AF11">
            <v>0.05</v>
          </cell>
          <cell r="AJ11" t="str">
            <v>822 7369</v>
          </cell>
          <cell r="AK11" t="str">
            <v>822 5437</v>
          </cell>
          <cell r="AL11" t="str">
            <v>12 Pham Ngoc Thach, Q.3, Tp.HCM</v>
          </cell>
          <cell r="AM11" t="str">
            <v>anh Duy</v>
          </cell>
          <cell r="AN11" t="str">
            <v>0903 980879</v>
          </cell>
          <cell r="AO11" t="str">
            <v>MO</v>
          </cell>
          <cell r="AP11" t="str">
            <v>030 146 5150- 1</v>
          </cell>
        </row>
        <row r="12">
          <cell r="A12" t="str">
            <v>PNTPNN</v>
          </cell>
          <cell r="B12">
            <v>7</v>
          </cell>
          <cell r="C12" t="str">
            <v>Baùo Phuï Nöõ Tp. HCM</v>
          </cell>
          <cell r="D12" t="str">
            <v>Baùo Phuï Nöõ Tp. HCM</v>
          </cell>
          <cell r="E12" t="str">
            <v>PHU NU TP</v>
          </cell>
          <cell r="F12">
            <v>17600</v>
          </cell>
          <cell r="G12">
            <v>21120</v>
          </cell>
          <cell r="J12">
            <v>18700</v>
          </cell>
          <cell r="M12">
            <v>10560</v>
          </cell>
          <cell r="P12">
            <v>8800</v>
          </cell>
          <cell r="R12">
            <v>5060</v>
          </cell>
          <cell r="T12">
            <v>12100</v>
          </cell>
          <cell r="X12">
            <v>0.15</v>
          </cell>
          <cell r="Z12">
            <v>0.15</v>
          </cell>
          <cell r="AB12">
            <v>0.15</v>
          </cell>
          <cell r="AD12">
            <v>0.15</v>
          </cell>
          <cell r="AF12">
            <v>0.15</v>
          </cell>
          <cell r="AJ12" t="str">
            <v>846 8715</v>
          </cell>
          <cell r="AK12" t="str">
            <v>921 6723</v>
          </cell>
          <cell r="AL12" t="str">
            <v>188 Ly Chinh Thang, q3, HCM</v>
          </cell>
          <cell r="AM12" t="str">
            <v>chò Ngoïc Lan</v>
          </cell>
          <cell r="AN12" t="str">
            <v>0903 773206</v>
          </cell>
          <cell r="AO12" t="str">
            <v>MO</v>
          </cell>
          <cell r="AP12" t="str">
            <v>030 146 3890- 1</v>
          </cell>
        </row>
        <row r="13">
          <cell r="A13" t="str">
            <v>PNTP</v>
          </cell>
          <cell r="B13">
            <v>8</v>
          </cell>
          <cell r="C13" t="str">
            <v>Baùo Phuï Nöõ Tp. HCM</v>
          </cell>
          <cell r="D13" t="str">
            <v>Baùo Phuï Nöõ Tp. HCM</v>
          </cell>
          <cell r="E13" t="str">
            <v>PHU NU TP</v>
          </cell>
          <cell r="F13">
            <v>14300</v>
          </cell>
          <cell r="J13">
            <v>15400</v>
          </cell>
          <cell r="M13">
            <v>8580</v>
          </cell>
          <cell r="P13">
            <v>7150</v>
          </cell>
          <cell r="R13">
            <v>3960</v>
          </cell>
          <cell r="T13">
            <v>9900</v>
          </cell>
          <cell r="X13">
            <v>0.15</v>
          </cell>
          <cell r="Z13">
            <v>0.15</v>
          </cell>
          <cell r="AB13">
            <v>0.15</v>
          </cell>
          <cell r="AD13">
            <v>0.15</v>
          </cell>
          <cell r="AF13">
            <v>0.15</v>
          </cell>
          <cell r="AJ13" t="str">
            <v>846 8715</v>
          </cell>
          <cell r="AK13" t="str">
            <v>921 6723</v>
          </cell>
          <cell r="AL13" t="str">
            <v>188 Ly Chinh Thang, q3, HCM</v>
          </cell>
          <cell r="AM13" t="str">
            <v>chò Ngoïc Lan</v>
          </cell>
          <cell r="AN13" t="str">
            <v>0903 773206</v>
          </cell>
          <cell r="AO13" t="str">
            <v>MO</v>
          </cell>
          <cell r="AP13" t="str">
            <v>030 146 3890- 1</v>
          </cell>
        </row>
        <row r="14">
          <cell r="A14" t="str">
            <v>PNTPW</v>
          </cell>
          <cell r="B14">
            <v>9</v>
          </cell>
          <cell r="C14" t="str">
            <v>Baùo Phuï Nöõ Chuû Nhaät</v>
          </cell>
          <cell r="D14" t="str">
            <v>Baùo Phuï Nöõ Tp. HCM</v>
          </cell>
          <cell r="E14" t="str">
            <v>PHU NU TP</v>
          </cell>
          <cell r="F14">
            <v>9900</v>
          </cell>
          <cell r="H14">
            <v>12100</v>
          </cell>
          <cell r="I14">
            <v>12100</v>
          </cell>
          <cell r="J14">
            <v>13750</v>
          </cell>
          <cell r="P14">
            <v>4950</v>
          </cell>
          <cell r="X14">
            <v>0.15</v>
          </cell>
          <cell r="Z14">
            <v>0.15</v>
          </cell>
          <cell r="AB14">
            <v>0.15</v>
          </cell>
          <cell r="AD14">
            <v>0.15</v>
          </cell>
          <cell r="AF14">
            <v>0.15</v>
          </cell>
          <cell r="AJ14" t="str">
            <v>846 8715</v>
          </cell>
          <cell r="AK14" t="str">
            <v>921 6723</v>
          </cell>
          <cell r="AL14" t="str">
            <v>188 Ly Chinh Thang, q3, HCM</v>
          </cell>
          <cell r="AM14" t="str">
            <v>chò Ngoïc Lan</v>
          </cell>
          <cell r="AN14" t="str">
            <v>0903 773206</v>
          </cell>
          <cell r="AO14" t="str">
            <v>MO</v>
          </cell>
          <cell r="AP14" t="str">
            <v>030 146 3890- 1</v>
          </cell>
        </row>
        <row r="15">
          <cell r="A15" t="str">
            <v>HPGD</v>
          </cell>
          <cell r="B15">
            <v>10</v>
          </cell>
          <cell r="C15" t="str">
            <v>Haïnh Phuùc Gia Ñình</v>
          </cell>
          <cell r="D15" t="str">
            <v>Baùo Phuï Nöõ VN</v>
          </cell>
          <cell r="E15" t="str">
            <v>PHU NU VN- HANH PHUC GIA DINH</v>
          </cell>
          <cell r="F15">
            <v>8000</v>
          </cell>
          <cell r="H15">
            <v>7500</v>
          </cell>
          <cell r="I15">
            <v>7500</v>
          </cell>
          <cell r="J15">
            <v>10000</v>
          </cell>
          <cell r="K15">
            <v>8000</v>
          </cell>
          <cell r="X15">
            <v>0.2</v>
          </cell>
          <cell r="Z15">
            <v>0.2</v>
          </cell>
          <cell r="AB15">
            <v>0.2</v>
          </cell>
          <cell r="AD15">
            <v>0.2</v>
          </cell>
          <cell r="AF15">
            <v>0.2</v>
          </cell>
          <cell r="AH15">
            <v>0.2</v>
          </cell>
          <cell r="AM15" t="str">
            <v>chò Hoàng Anh</v>
          </cell>
          <cell r="AO15" t="str">
            <v>MO</v>
          </cell>
        </row>
        <row r="16">
          <cell r="A16" t="str">
            <v>PNVN</v>
          </cell>
          <cell r="B16">
            <v>11</v>
          </cell>
          <cell r="C16" t="str">
            <v>Baùo Phuï Nöõ VN</v>
          </cell>
          <cell r="D16" t="str">
            <v>Baùo Phuï Nöõ VN</v>
          </cell>
          <cell r="E16" t="str">
            <v>PHU NU VN</v>
          </cell>
          <cell r="F16">
            <v>14000</v>
          </cell>
          <cell r="J16">
            <v>16000</v>
          </cell>
          <cell r="S16">
            <v>20000</v>
          </cell>
          <cell r="X16">
            <v>0.2</v>
          </cell>
          <cell r="Z16">
            <v>0.2</v>
          </cell>
          <cell r="AB16">
            <v>0.2</v>
          </cell>
          <cell r="AD16">
            <v>0.2</v>
          </cell>
          <cell r="AF16">
            <v>0.2</v>
          </cell>
          <cell r="AH16">
            <v>0.2</v>
          </cell>
          <cell r="AJ16" t="str">
            <v>04 9717479</v>
          </cell>
          <cell r="AK16" t="str">
            <v>04 8213202</v>
          </cell>
          <cell r="AL16" t="str">
            <v>47 Hang Chuoi, H Noi</v>
          </cell>
          <cell r="AM16" t="str">
            <v>chò Hoàng Anh</v>
          </cell>
          <cell r="AN16" t="str">
            <v>0903 468222</v>
          </cell>
          <cell r="AO16" t="str">
            <v>MO</v>
          </cell>
        </row>
        <row r="17">
          <cell r="A17" t="str">
            <v>PNVNW</v>
          </cell>
          <cell r="B17">
            <v>12</v>
          </cell>
          <cell r="C17" t="str">
            <v>Baùo Phuï Nöõ VN cuoái tuaàn</v>
          </cell>
          <cell r="D17" t="str">
            <v>Baùo Phuï Nöõ VN</v>
          </cell>
          <cell r="E17" t="str">
            <v>PHU NU VN</v>
          </cell>
          <cell r="F17">
            <v>10000</v>
          </cell>
          <cell r="H17">
            <v>11000</v>
          </cell>
          <cell r="I17">
            <v>11000</v>
          </cell>
          <cell r="J17">
            <v>12000</v>
          </cell>
          <cell r="S17">
            <v>20000</v>
          </cell>
          <cell r="X17">
            <v>0.2</v>
          </cell>
          <cell r="Z17">
            <v>0.2</v>
          </cell>
          <cell r="AB17">
            <v>0.2</v>
          </cell>
          <cell r="AD17">
            <v>0.2</v>
          </cell>
          <cell r="AF17">
            <v>0.2</v>
          </cell>
          <cell r="AH17">
            <v>0.2</v>
          </cell>
          <cell r="AJ17" t="str">
            <v>04 9717479</v>
          </cell>
          <cell r="AK17" t="str">
            <v>04 8213202</v>
          </cell>
          <cell r="AL17" t="str">
            <v>47 Hang Chuoi, H Noi</v>
          </cell>
          <cell r="AM17" t="str">
            <v>chò Hoàng Anh</v>
          </cell>
          <cell r="AN17" t="str">
            <v>0903 468222</v>
          </cell>
          <cell r="AO17" t="str">
            <v>MO</v>
          </cell>
        </row>
        <row r="18">
          <cell r="A18" t="str">
            <v>TGPN</v>
          </cell>
          <cell r="B18">
            <v>13</v>
          </cell>
          <cell r="C18" t="str">
            <v>Taïp chí Theá Giôùi Phuï Nöõ</v>
          </cell>
          <cell r="D18" t="str">
            <v>Baùo Phuï Nöõ VN</v>
          </cell>
          <cell r="E18" t="str">
            <v>PHU NU VN- THE GIOI PHU NU</v>
          </cell>
          <cell r="F18">
            <v>42900</v>
          </cell>
          <cell r="H18">
            <v>60500.000000000007</v>
          </cell>
          <cell r="I18">
            <v>51700.000000000007</v>
          </cell>
          <cell r="J18">
            <v>69300</v>
          </cell>
          <cell r="L18">
            <v>29040</v>
          </cell>
          <cell r="M18">
            <v>27500.000000000004</v>
          </cell>
          <cell r="N18">
            <v>27500</v>
          </cell>
          <cell r="P18">
            <v>27500</v>
          </cell>
          <cell r="R18">
            <v>15400.000000000002</v>
          </cell>
          <cell r="S18">
            <v>82500</v>
          </cell>
          <cell r="U18">
            <v>11900</v>
          </cell>
          <cell r="V18">
            <v>31900</v>
          </cell>
          <cell r="X18">
            <v>0.3</v>
          </cell>
          <cell r="Y18">
            <v>0.15</v>
          </cell>
          <cell r="Z18">
            <v>0.3</v>
          </cell>
          <cell r="AA18">
            <v>0.15</v>
          </cell>
          <cell r="AB18">
            <v>0.2</v>
          </cell>
          <cell r="AC18">
            <v>0.15</v>
          </cell>
          <cell r="AD18">
            <v>0.2</v>
          </cell>
          <cell r="AE18">
            <v>0.15</v>
          </cell>
          <cell r="AF18">
            <v>0.2</v>
          </cell>
          <cell r="AG18">
            <v>0.15</v>
          </cell>
          <cell r="AH18">
            <v>0.3</v>
          </cell>
          <cell r="AI18">
            <v>0.15</v>
          </cell>
          <cell r="AJ18" t="str">
            <v>930 2117</v>
          </cell>
          <cell r="AK18" t="str">
            <v>930 2116</v>
          </cell>
          <cell r="AL18" t="str">
            <v>38 Vo Van Tan, Q.3, Tp.HCM</v>
          </cell>
          <cell r="AM18" t="str">
            <v>chò Hoàng Anh</v>
          </cell>
          <cell r="AN18" t="str">
            <v>0903 605152</v>
          </cell>
          <cell r="AO18" t="str">
            <v>MO</v>
          </cell>
        </row>
        <row r="19">
          <cell r="A19" t="str">
            <v>HHT1</v>
          </cell>
          <cell r="B19">
            <v>14</v>
          </cell>
          <cell r="C19" t="str">
            <v>Hoa Hoïc Troø 1</v>
          </cell>
          <cell r="D19" t="str">
            <v>Baùo Sinh Vieân VN</v>
          </cell>
          <cell r="E19" t="str">
            <v>HOA HOC TRO 1</v>
          </cell>
          <cell r="F19">
            <v>15400</v>
          </cell>
          <cell r="H19">
            <v>16500</v>
          </cell>
          <cell r="I19">
            <v>16500</v>
          </cell>
          <cell r="P19">
            <v>7700.0000000000009</v>
          </cell>
          <cell r="R19">
            <v>4400</v>
          </cell>
          <cell r="X19">
            <v>0.1</v>
          </cell>
          <cell r="Z19">
            <v>0.1</v>
          </cell>
          <cell r="AB19">
            <v>0.1</v>
          </cell>
          <cell r="AD19">
            <v>0.1</v>
          </cell>
          <cell r="AF19">
            <v>0.1</v>
          </cell>
          <cell r="AJ19" t="str">
            <v>04 976 1148</v>
          </cell>
          <cell r="AK19" t="str">
            <v>04 978 1477</v>
          </cell>
          <cell r="AL19" t="str">
            <v>5 Hoa Ma- HN</v>
          </cell>
          <cell r="AM19" t="str">
            <v>chò Hoàng Ñaêng</v>
          </cell>
          <cell r="AN19" t="str">
            <v>0913 224279</v>
          </cell>
          <cell r="AO19" t="str">
            <v>MO</v>
          </cell>
          <cell r="AP19" t="str">
            <v>0100799643-1</v>
          </cell>
        </row>
        <row r="20">
          <cell r="A20" t="str">
            <v>HHT2</v>
          </cell>
          <cell r="B20">
            <v>15</v>
          </cell>
          <cell r="C20" t="str">
            <v>Hoa Hoïc Troø 2</v>
          </cell>
          <cell r="D20" t="str">
            <v>Baùo Sinh Vieân VN</v>
          </cell>
          <cell r="E20" t="str">
            <v>HOA HOC TRO 2</v>
          </cell>
          <cell r="F20">
            <v>19800</v>
          </cell>
          <cell r="H20">
            <v>24200.000000000004</v>
          </cell>
          <cell r="I20">
            <v>24200.000000000004</v>
          </cell>
          <cell r="J20">
            <v>30800.000000000004</v>
          </cell>
          <cell r="P20">
            <v>11000</v>
          </cell>
          <cell r="R20">
            <v>5500</v>
          </cell>
          <cell r="X20">
            <v>0.1</v>
          </cell>
          <cell r="Z20">
            <v>0.1</v>
          </cell>
          <cell r="AB20">
            <v>0.1</v>
          </cell>
          <cell r="AD20">
            <v>0.1</v>
          </cell>
          <cell r="AF20">
            <v>0.1</v>
          </cell>
          <cell r="AJ20" t="str">
            <v>04 976 1148</v>
          </cell>
          <cell r="AK20" t="str">
            <v>04 978 1477</v>
          </cell>
          <cell r="AL20" t="str">
            <v>5 Hoa Ma- HN</v>
          </cell>
          <cell r="AM20" t="str">
            <v>chò Hoàng Ñaêng</v>
          </cell>
          <cell r="AN20" t="str">
            <v>0913 224279</v>
          </cell>
          <cell r="AO20" t="str">
            <v>MO</v>
          </cell>
          <cell r="AP20" t="str">
            <v>0100799643-1</v>
          </cell>
        </row>
        <row r="21">
          <cell r="A21" t="str">
            <v>SV</v>
          </cell>
          <cell r="B21">
            <v>16</v>
          </cell>
          <cell r="C21" t="str">
            <v>Baùo Sinh Vieân VN</v>
          </cell>
          <cell r="D21" t="str">
            <v>Baùo Sinh Vieân VN</v>
          </cell>
          <cell r="E21" t="str">
            <v>SINH VIEN VN</v>
          </cell>
          <cell r="F21">
            <v>5500</v>
          </cell>
          <cell r="H21">
            <v>6600.0000000000009</v>
          </cell>
          <cell r="I21">
            <v>6600.0000000000009</v>
          </cell>
          <cell r="J21">
            <v>7700.0000000000009</v>
          </cell>
          <cell r="AJ21" t="str">
            <v>04 976 1148</v>
          </cell>
          <cell r="AK21" t="str">
            <v>04 978 1477</v>
          </cell>
          <cell r="AL21" t="str">
            <v>5 Hoa Ma- HN</v>
          </cell>
          <cell r="AM21" t="str">
            <v>chò Hoàng Ñaêng</v>
          </cell>
          <cell r="AN21" t="str">
            <v>0913 224279</v>
          </cell>
          <cell r="AO21" t="str">
            <v>MO</v>
          </cell>
          <cell r="AP21" t="str">
            <v>0100799643-1</v>
          </cell>
        </row>
        <row r="22">
          <cell r="A22" t="str">
            <v>TT-S</v>
          </cell>
          <cell r="B22">
            <v>17</v>
          </cell>
          <cell r="C22" t="str">
            <v>Baùo Tuoåi Treû</v>
          </cell>
          <cell r="D22" t="str">
            <v>Cty Quaûng caùo Saøi Goøn</v>
          </cell>
          <cell r="E22" t="str">
            <v>QCSG- TUOI TRE</v>
          </cell>
          <cell r="F22">
            <v>40000</v>
          </cell>
          <cell r="G22">
            <v>44000</v>
          </cell>
          <cell r="J22">
            <v>42000</v>
          </cell>
          <cell r="P22">
            <v>21000</v>
          </cell>
          <cell r="R22">
            <v>11000</v>
          </cell>
          <cell r="S22">
            <v>56000</v>
          </cell>
          <cell r="T22">
            <v>28000</v>
          </cell>
          <cell r="X22">
            <v>0.05</v>
          </cell>
          <cell r="Z22">
            <v>0.05</v>
          </cell>
          <cell r="AB22">
            <v>0.05</v>
          </cell>
          <cell r="AD22">
            <v>0.05</v>
          </cell>
          <cell r="AF22">
            <v>0.05</v>
          </cell>
          <cell r="AH22">
            <v>0.05</v>
          </cell>
          <cell r="AJ22" t="str">
            <v>837 0750</v>
          </cell>
          <cell r="AK22" t="str">
            <v>837 0752</v>
          </cell>
          <cell r="AL22" t="str">
            <v>385 Traàn Höng Ñaïo, Q.1, Tp.HCM</v>
          </cell>
          <cell r="AM22" t="str">
            <v>chò Hieàn</v>
          </cell>
          <cell r="AO22" t="str">
            <v>S</v>
          </cell>
        </row>
        <row r="23">
          <cell r="A23" t="str">
            <v>TTW-S</v>
          </cell>
          <cell r="B23">
            <v>18</v>
          </cell>
          <cell r="C23" t="str">
            <v>Baùo Tuoåi Treû CN</v>
          </cell>
          <cell r="D23" t="str">
            <v>Cty Quaûng caùo Saøi Goøn</v>
          </cell>
          <cell r="E23" t="str">
            <v>QCSG- TUOI TRE CN</v>
          </cell>
          <cell r="F23">
            <v>12000</v>
          </cell>
          <cell r="G23">
            <v>44000</v>
          </cell>
          <cell r="J23">
            <v>42000</v>
          </cell>
          <cell r="P23">
            <v>21000</v>
          </cell>
          <cell r="R23">
            <v>11000</v>
          </cell>
          <cell r="S23">
            <v>56000</v>
          </cell>
          <cell r="T23">
            <v>28000</v>
          </cell>
          <cell r="X23">
            <v>0.1</v>
          </cell>
          <cell r="Z23">
            <v>0.1</v>
          </cell>
          <cell r="AB23">
            <v>0.1</v>
          </cell>
          <cell r="AD23">
            <v>0.1</v>
          </cell>
          <cell r="AF23">
            <v>0.1</v>
          </cell>
          <cell r="AH23">
            <v>0.1</v>
          </cell>
          <cell r="AJ23" t="str">
            <v>837 0750</v>
          </cell>
          <cell r="AK23" t="str">
            <v>837 0752</v>
          </cell>
          <cell r="AL23" t="str">
            <v>385 Traàn Höng Ñaïo, Q.1, Tp.HCM</v>
          </cell>
          <cell r="AM23" t="str">
            <v>chò Hieàn</v>
          </cell>
          <cell r="AO23" t="str">
            <v>S</v>
          </cell>
        </row>
        <row r="24">
          <cell r="A24" t="str">
            <v>TT</v>
          </cell>
          <cell r="B24">
            <v>19</v>
          </cell>
          <cell r="C24" t="str">
            <v>Baùo Tuoåi Treû</v>
          </cell>
          <cell r="D24" t="str">
            <v>Baùo Tuoåi Treû</v>
          </cell>
          <cell r="E24" t="str">
            <v>TUOI TRE</v>
          </cell>
          <cell r="F24">
            <v>40000</v>
          </cell>
          <cell r="P24">
            <v>21000</v>
          </cell>
          <cell r="Q24">
            <v>11000</v>
          </cell>
          <cell r="R24">
            <v>11000</v>
          </cell>
          <cell r="T24">
            <v>28000</v>
          </cell>
          <cell r="X24">
            <v>5.5E-2</v>
          </cell>
          <cell r="Z24">
            <v>5.5E-2</v>
          </cell>
          <cell r="AB24">
            <v>5.5E-2</v>
          </cell>
          <cell r="AD24">
            <v>5.5E-2</v>
          </cell>
          <cell r="AF24">
            <v>5.5E-2</v>
          </cell>
          <cell r="AH24">
            <v>5.5E-2</v>
          </cell>
          <cell r="AJ24" t="str">
            <v>846 9731</v>
          </cell>
          <cell r="AK24" t="str">
            <v>846 6400</v>
          </cell>
          <cell r="AL24" t="str">
            <v>161 Ly Chinh Thang, Q.3, HCM</v>
          </cell>
          <cell r="AM24" t="str">
            <v>anh Ñöùc</v>
          </cell>
          <cell r="AN24" t="str">
            <v>0903 988300</v>
          </cell>
          <cell r="AO24" t="str">
            <v>MO</v>
          </cell>
        </row>
        <row r="25">
          <cell r="A25" t="str">
            <v>TTW</v>
          </cell>
          <cell r="B25">
            <v>20</v>
          </cell>
          <cell r="C25" t="str">
            <v>Baùo Tuoåi Treû CN</v>
          </cell>
          <cell r="D25" t="str">
            <v>Baùo Tuoåi Treû</v>
          </cell>
          <cell r="E25" t="str">
            <v>TUOI TRE CN</v>
          </cell>
          <cell r="F25">
            <v>12000</v>
          </cell>
          <cell r="H25">
            <v>15000</v>
          </cell>
          <cell r="I25">
            <v>15000</v>
          </cell>
          <cell r="J25">
            <v>18000</v>
          </cell>
          <cell r="N25">
            <v>6500</v>
          </cell>
          <cell r="P25">
            <v>6500</v>
          </cell>
          <cell r="R25">
            <v>3500</v>
          </cell>
          <cell r="T25">
            <v>8500</v>
          </cell>
          <cell r="X25">
            <v>7.0000000000000007E-2</v>
          </cell>
          <cell r="Z25">
            <v>7.0000000000000007E-2</v>
          </cell>
          <cell r="AB25">
            <v>7.0000000000000007E-2</v>
          </cell>
          <cell r="AD25">
            <v>7.0000000000000007E-2</v>
          </cell>
          <cell r="AF25">
            <v>7.0000000000000007E-2</v>
          </cell>
          <cell r="AH25">
            <v>7.0000000000000007E-2</v>
          </cell>
          <cell r="AJ25" t="str">
            <v>846 9731</v>
          </cell>
          <cell r="AK25" t="str">
            <v>846 6400</v>
          </cell>
          <cell r="AL25" t="str">
            <v>161 Ly Chinh Thang, Q.3, HCM</v>
          </cell>
          <cell r="AM25" t="str">
            <v>anh Ñöùc</v>
          </cell>
          <cell r="AN25" t="str">
            <v>0903 988300</v>
          </cell>
          <cell r="AO25" t="str">
            <v>MO</v>
          </cell>
        </row>
        <row r="26">
          <cell r="A26" t="str">
            <v>CNMS</v>
          </cell>
          <cell r="B26">
            <v>21</v>
          </cell>
          <cell r="C26" t="str">
            <v>taïp chí Caåm Nang Mua Saém</v>
          </cell>
          <cell r="D26" t="str">
            <v>Chi nhaùnh Cty TNHH Tö Vaán vaø Ñaàu Tö P.H.I</v>
          </cell>
          <cell r="E26" t="str">
            <v>PHI- CAM NANG MUA SAM</v>
          </cell>
          <cell r="F26">
            <v>11000</v>
          </cell>
          <cell r="H26">
            <v>43400</v>
          </cell>
          <cell r="I26">
            <v>43400</v>
          </cell>
          <cell r="J26">
            <v>54400</v>
          </cell>
          <cell r="P26">
            <v>6600</v>
          </cell>
          <cell r="R26">
            <v>3300</v>
          </cell>
          <cell r="S26">
            <v>19500</v>
          </cell>
          <cell r="AJ26" t="str">
            <v>9318150/51/55/57</v>
          </cell>
          <cell r="AK26">
            <v>9318449</v>
          </cell>
          <cell r="AL26" t="str">
            <v>418 Dien Bien Phu- HCM</v>
          </cell>
          <cell r="AM26" t="str">
            <v>chò Höông</v>
          </cell>
          <cell r="AN26" t="str">
            <v>0908 474047</v>
          </cell>
          <cell r="AO26" t="str">
            <v>MO</v>
          </cell>
          <cell r="AP26" t="str">
            <v>010 1166 516- 001</v>
          </cell>
        </row>
        <row r="27">
          <cell r="A27" t="str">
            <v>TTTD</v>
          </cell>
          <cell r="B27">
            <v>22</v>
          </cell>
          <cell r="C27" t="str">
            <v>Taïp chí Thò Tröôøng &amp; Tieâu Duøng</v>
          </cell>
          <cell r="D27" t="str">
            <v>Cty coå phaàn quaûng caùo Thôøi Ñaïi</v>
          </cell>
          <cell r="E27" t="str">
            <v>THOI DAI- THI TRUONG TIEU DUNG</v>
          </cell>
          <cell r="F27">
            <v>15400.000000000002</v>
          </cell>
          <cell r="H27">
            <v>33000</v>
          </cell>
          <cell r="I27">
            <v>27500.000000000004</v>
          </cell>
          <cell r="J27">
            <v>38500</v>
          </cell>
          <cell r="M27">
            <v>8250</v>
          </cell>
          <cell r="P27">
            <v>7920.0000000000009</v>
          </cell>
          <cell r="R27">
            <v>3960.0000000000005</v>
          </cell>
          <cell r="S27">
            <v>25300.000000000004</v>
          </cell>
          <cell r="X27">
            <v>0.3</v>
          </cell>
          <cell r="Z27">
            <v>0.3</v>
          </cell>
          <cell r="AB27">
            <v>0.3</v>
          </cell>
          <cell r="AD27">
            <v>0.3</v>
          </cell>
          <cell r="AF27">
            <v>0.3</v>
          </cell>
          <cell r="AJ27" t="str">
            <v>04 9332686</v>
          </cell>
          <cell r="AK27" t="str">
            <v>04 942 2063</v>
          </cell>
          <cell r="AL27" t="str">
            <v>73 Traàn Quoác Toaûn- HaøNoäi</v>
          </cell>
          <cell r="AM27" t="str">
            <v>Chò Thu Giang</v>
          </cell>
          <cell r="AN27" t="str">
            <v>0903 461009</v>
          </cell>
          <cell r="AO27" t="str">
            <v>MO</v>
          </cell>
          <cell r="AP27" t="str">
            <v>114-227</v>
          </cell>
        </row>
        <row r="28">
          <cell r="A28" t="str">
            <v>PL</v>
          </cell>
          <cell r="B28">
            <v>23</v>
          </cell>
          <cell r="C28" t="str">
            <v>Baùo Phaùp Luaät</v>
          </cell>
          <cell r="D28" t="str">
            <v>Cty coå phaàn Truyeàn Thoâng</v>
          </cell>
          <cell r="E28" t="str">
            <v>TRUYEN THONG- PHAP LUAT</v>
          </cell>
          <cell r="F28">
            <v>18700</v>
          </cell>
          <cell r="M28">
            <v>11880</v>
          </cell>
          <cell r="P28">
            <v>9900</v>
          </cell>
          <cell r="R28">
            <v>5500</v>
          </cell>
          <cell r="X28">
            <v>0.15</v>
          </cell>
          <cell r="Z28">
            <v>0.15</v>
          </cell>
          <cell r="AB28">
            <v>0.15</v>
          </cell>
          <cell r="AD28">
            <v>0.15</v>
          </cell>
          <cell r="AF28">
            <v>0.15</v>
          </cell>
          <cell r="AJ28" t="str">
            <v>827 2783</v>
          </cell>
          <cell r="AL28" t="str">
            <v>71-73-75 HBT, Q.1, 3rd floor</v>
          </cell>
          <cell r="AM28" t="str">
            <v>chò Thuyû</v>
          </cell>
          <cell r="AO28" t="str">
            <v>MO</v>
          </cell>
        </row>
        <row r="29">
          <cell r="A29" t="str">
            <v>MASK</v>
          </cell>
          <cell r="B29">
            <v>24</v>
          </cell>
          <cell r="C29" t="str">
            <v>taïp chí Maøn Aûnh Saân Khaáu</v>
          </cell>
          <cell r="D29" t="str">
            <v>Cty quaûng caùo K&amp;T</v>
          </cell>
          <cell r="E29" t="str">
            <v>K&amp;T- MASK</v>
          </cell>
          <cell r="F29">
            <v>6600.0000000000009</v>
          </cell>
          <cell r="H29">
            <v>8800</v>
          </cell>
          <cell r="I29">
            <v>8800</v>
          </cell>
          <cell r="J29">
            <v>15400.000000000002</v>
          </cell>
          <cell r="M29">
            <v>3850.0000000000005</v>
          </cell>
          <cell r="P29">
            <v>3850.0000000000005</v>
          </cell>
          <cell r="R29">
            <v>2200</v>
          </cell>
          <cell r="S29">
            <v>11880.000000000002</v>
          </cell>
          <cell r="AJ29" t="str">
            <v>923 0557</v>
          </cell>
          <cell r="AL29" t="str">
            <v>7 Le Thi Hong Gam, q.1, Tp. HCM</v>
          </cell>
          <cell r="AM29" t="str">
            <v>anh Vinh</v>
          </cell>
          <cell r="AN29" t="str">
            <v>0913 715420</v>
          </cell>
          <cell r="AO29" t="str">
            <v>MO</v>
          </cell>
          <cell r="AP29" t="str">
            <v>030 242 2329</v>
          </cell>
        </row>
        <row r="30">
          <cell r="A30" t="str">
            <v>TGNS</v>
          </cell>
          <cell r="B30">
            <v>25</v>
          </cell>
          <cell r="C30" t="str">
            <v>Taïp chí Theá Giôùi Ngheä Syõ</v>
          </cell>
          <cell r="D30" t="str">
            <v>Cty quaûng caùo K&amp;T</v>
          </cell>
          <cell r="E30" t="str">
            <v>K&amp;T- THE GIOI NGHE SY</v>
          </cell>
          <cell r="F30">
            <v>8800</v>
          </cell>
          <cell r="H30">
            <v>15400.000000000002</v>
          </cell>
          <cell r="I30">
            <v>15400.000000000002</v>
          </cell>
          <cell r="J30">
            <v>22000</v>
          </cell>
          <cell r="M30">
            <v>6050.0000000000009</v>
          </cell>
          <cell r="P30">
            <v>5500</v>
          </cell>
          <cell r="R30">
            <v>2750</v>
          </cell>
          <cell r="S30">
            <v>15840.000000000002</v>
          </cell>
          <cell r="X30">
            <v>0.2</v>
          </cell>
          <cell r="Z30">
            <v>0.2</v>
          </cell>
          <cell r="AB30">
            <v>0.2</v>
          </cell>
          <cell r="AD30">
            <v>0.2</v>
          </cell>
          <cell r="AF30">
            <v>0.2</v>
          </cell>
          <cell r="AJ30" t="str">
            <v>923 0557</v>
          </cell>
          <cell r="AL30" t="str">
            <v>7 Le Thi Hong Gam, q.1, Tp. HCM</v>
          </cell>
          <cell r="AM30" t="str">
            <v>anh Vinh</v>
          </cell>
          <cell r="AN30" t="str">
            <v>0913 715420</v>
          </cell>
          <cell r="AO30" t="str">
            <v>MO</v>
          </cell>
        </row>
        <row r="31">
          <cell r="A31" t="str">
            <v>MP</v>
          </cell>
          <cell r="B31">
            <v>26</v>
          </cell>
          <cell r="C31" t="str">
            <v>Taïp chí Myõ Phaåm</v>
          </cell>
          <cell r="D31" t="str">
            <v>Cty Tieàn Phong</v>
          </cell>
          <cell r="E31" t="str">
            <v>TIEN PHONG- MY PHAM</v>
          </cell>
          <cell r="F31">
            <v>8000</v>
          </cell>
          <cell r="H31">
            <v>10000</v>
          </cell>
          <cell r="I31">
            <v>10000</v>
          </cell>
          <cell r="J31">
            <v>12000</v>
          </cell>
          <cell r="M31">
            <v>4000</v>
          </cell>
          <cell r="R31">
            <v>2000</v>
          </cell>
          <cell r="S31">
            <v>15000</v>
          </cell>
          <cell r="AH31">
            <v>0.2</v>
          </cell>
          <cell r="AJ31" t="str">
            <v>848 1068</v>
          </cell>
          <cell r="AK31" t="str">
            <v>846 9495</v>
          </cell>
          <cell r="AL31" t="str">
            <v>384/54 NKKN, Q.3, Tp. HCM</v>
          </cell>
          <cell r="AM31" t="str">
            <v>Chò Xim</v>
          </cell>
          <cell r="AO31" t="str">
            <v>MO</v>
          </cell>
        </row>
        <row r="32">
          <cell r="A32" t="str">
            <v>NDVN</v>
          </cell>
          <cell r="B32">
            <v>27</v>
          </cell>
          <cell r="C32" t="str">
            <v>Taïp chí Ngöôøi Ñeïp VN</v>
          </cell>
          <cell r="D32" t="str">
            <v>Cty Tieàn Phong</v>
          </cell>
          <cell r="E32" t="str">
            <v>TIEN PHONG- NGUOI DEP VN</v>
          </cell>
          <cell r="F32">
            <v>12000</v>
          </cell>
          <cell r="G32">
            <v>13000</v>
          </cell>
          <cell r="H32">
            <v>14000</v>
          </cell>
          <cell r="I32">
            <v>14000</v>
          </cell>
          <cell r="J32">
            <v>16000</v>
          </cell>
          <cell r="M32">
            <v>6600</v>
          </cell>
          <cell r="N32">
            <v>6600</v>
          </cell>
          <cell r="P32">
            <v>6000</v>
          </cell>
          <cell r="R32">
            <v>3000</v>
          </cell>
          <cell r="S32">
            <v>24000</v>
          </cell>
          <cell r="T32">
            <v>12000</v>
          </cell>
          <cell r="U32">
            <v>8800</v>
          </cell>
          <cell r="V32">
            <v>8800</v>
          </cell>
          <cell r="AH32">
            <v>0.2</v>
          </cell>
          <cell r="AJ32" t="str">
            <v>848 1068</v>
          </cell>
          <cell r="AK32" t="str">
            <v>846 9495</v>
          </cell>
          <cell r="AL32" t="str">
            <v>384/54 NKKN, Q.3, Tp. HCM</v>
          </cell>
          <cell r="AM32" t="str">
            <v>Chò Xim</v>
          </cell>
          <cell r="AO32" t="str">
            <v>MO</v>
          </cell>
        </row>
        <row r="33">
          <cell r="A33" t="str">
            <v>TP</v>
          </cell>
          <cell r="B33">
            <v>28</v>
          </cell>
          <cell r="C33" t="str">
            <v>Baùo Tieàn Phong ngaøy</v>
          </cell>
          <cell r="D33" t="str">
            <v>Cty Tieàn Phong</v>
          </cell>
          <cell r="E33" t="str">
            <v>TIEN PHONG NGAY</v>
          </cell>
          <cell r="F33">
            <v>20000</v>
          </cell>
          <cell r="G33">
            <v>20000</v>
          </cell>
          <cell r="I33">
            <v>20000</v>
          </cell>
          <cell r="P33">
            <v>10000</v>
          </cell>
          <cell r="R33">
            <v>5000</v>
          </cell>
          <cell r="T33">
            <v>12000</v>
          </cell>
          <cell r="AH33">
            <v>0.2</v>
          </cell>
          <cell r="AJ33" t="str">
            <v>848 1068</v>
          </cell>
          <cell r="AK33" t="str">
            <v>846 9495</v>
          </cell>
          <cell r="AL33" t="str">
            <v>384/54 NKKN, Q.3, Tp. HCM</v>
          </cell>
          <cell r="AM33" t="str">
            <v>Chò Xim</v>
          </cell>
          <cell r="AO33" t="str">
            <v>MO</v>
          </cell>
        </row>
        <row r="34">
          <cell r="A34" t="str">
            <v>TPM</v>
          </cell>
          <cell r="B34">
            <v>29</v>
          </cell>
          <cell r="C34" t="str">
            <v>Taïp chí Tieàn Phong thaùng</v>
          </cell>
          <cell r="D34" t="str">
            <v>Cty Tieàn Phong</v>
          </cell>
          <cell r="E34" t="str">
            <v>TIEN PHONG CUOI THANG</v>
          </cell>
          <cell r="F34">
            <v>4500</v>
          </cell>
          <cell r="H34">
            <v>6000</v>
          </cell>
          <cell r="I34">
            <v>6000</v>
          </cell>
          <cell r="J34">
            <v>7000</v>
          </cell>
          <cell r="P34">
            <v>2300</v>
          </cell>
          <cell r="R34">
            <v>1100</v>
          </cell>
          <cell r="T34">
            <v>2000</v>
          </cell>
          <cell r="AH34">
            <v>0.2</v>
          </cell>
          <cell r="AJ34" t="str">
            <v>848 1068</v>
          </cell>
          <cell r="AK34" t="str">
            <v>846 9495</v>
          </cell>
          <cell r="AL34" t="str">
            <v>384/54 NKKN, Q.3, Tp. HCM</v>
          </cell>
          <cell r="AM34" t="str">
            <v>Chò Xim</v>
          </cell>
          <cell r="AO34" t="str">
            <v>MO</v>
          </cell>
        </row>
        <row r="35">
          <cell r="A35" t="str">
            <v>ND</v>
          </cell>
          <cell r="B35">
            <v>30</v>
          </cell>
          <cell r="C35" t="str">
            <v>Taïp chí Kieán Truùc Nhaø Ñeïp</v>
          </cell>
          <cell r="D35" t="str">
            <v>Cty TNHH DV Quaûng Caùo Nguyeãn Vaên Vinh</v>
          </cell>
          <cell r="E35" t="str">
            <v>NNV- NHA DEP</v>
          </cell>
          <cell r="F35">
            <v>16500</v>
          </cell>
          <cell r="H35">
            <v>22000</v>
          </cell>
          <cell r="I35">
            <v>19800</v>
          </cell>
          <cell r="J35">
            <v>24200.000000000004</v>
          </cell>
          <cell r="M35">
            <v>9900</v>
          </cell>
          <cell r="P35">
            <v>9900</v>
          </cell>
          <cell r="R35">
            <v>4125</v>
          </cell>
          <cell r="S35">
            <v>33000</v>
          </cell>
          <cell r="X35">
            <v>0.15</v>
          </cell>
          <cell r="Z35">
            <v>0.15</v>
          </cell>
          <cell r="AB35">
            <v>0.15</v>
          </cell>
          <cell r="AD35">
            <v>0.15</v>
          </cell>
          <cell r="AF35">
            <v>0.15</v>
          </cell>
          <cell r="AJ35" t="str">
            <v>823 8198</v>
          </cell>
          <cell r="AM35" t="str">
            <v>chò Hien (Ext: 105)</v>
          </cell>
          <cell r="AO35" t="str">
            <v>MO</v>
          </cell>
        </row>
        <row r="36">
          <cell r="A36" t="str">
            <v>TCGD</v>
          </cell>
          <cell r="B36">
            <v>31</v>
          </cell>
          <cell r="C36" t="str">
            <v>Taïp chí Gia Ñình</v>
          </cell>
          <cell r="D36" t="str">
            <v>Cty TNHH Huy Trung</v>
          </cell>
          <cell r="E36" t="str">
            <v>HUY TRUNG- TAP CHI GIA DINH</v>
          </cell>
          <cell r="F36">
            <v>9900</v>
          </cell>
          <cell r="H36">
            <v>17600</v>
          </cell>
          <cell r="I36">
            <v>15400.000000000002</v>
          </cell>
          <cell r="J36">
            <v>22000</v>
          </cell>
          <cell r="M36">
            <v>5500</v>
          </cell>
          <cell r="P36">
            <v>5500</v>
          </cell>
          <cell r="R36">
            <v>3300.0000000000005</v>
          </cell>
          <cell r="X36">
            <v>0.4</v>
          </cell>
          <cell r="Z36">
            <v>0.4</v>
          </cell>
          <cell r="AB36">
            <v>0.4</v>
          </cell>
          <cell r="AD36">
            <v>0.4</v>
          </cell>
          <cell r="AF36">
            <v>0.4</v>
          </cell>
          <cell r="AJ36" t="str">
            <v>989 2353</v>
          </cell>
          <cell r="AL36" t="str">
            <v>105/753 Nguyeãn Kieäm, P.3, Goø Vaáp, Tp. HCM</v>
          </cell>
          <cell r="AM36" t="str">
            <v>anh Huy</v>
          </cell>
          <cell r="AN36" t="str">
            <v>0908 339370</v>
          </cell>
          <cell r="AO36" t="str">
            <v>MO</v>
          </cell>
          <cell r="AP36" t="str">
            <v>030 288 1442</v>
          </cell>
        </row>
        <row r="37">
          <cell r="A37" t="str">
            <v>SD</v>
          </cell>
          <cell r="B37">
            <v>32</v>
          </cell>
          <cell r="C37" t="str">
            <v>taïp chí Saønh Ñieäu</v>
          </cell>
          <cell r="D37" t="str">
            <v>Cty TNHH Quaûng caùo ADPUB</v>
          </cell>
          <cell r="E37" t="str">
            <v>ADPUB- SANH DIEU</v>
          </cell>
          <cell r="F37">
            <v>24200.000000000004</v>
          </cell>
          <cell r="H37">
            <v>38500</v>
          </cell>
          <cell r="I37">
            <v>33000</v>
          </cell>
          <cell r="J37">
            <v>44000</v>
          </cell>
          <cell r="P37">
            <v>17600</v>
          </cell>
          <cell r="R37">
            <v>11000</v>
          </cell>
          <cell r="S37">
            <v>49500.000000000007</v>
          </cell>
          <cell r="X37">
            <v>0.5</v>
          </cell>
          <cell r="Z37">
            <v>0.5</v>
          </cell>
          <cell r="AB37">
            <v>0.5</v>
          </cell>
          <cell r="AD37">
            <v>0.5</v>
          </cell>
          <cell r="AF37">
            <v>0.5</v>
          </cell>
          <cell r="AO37" t="str">
            <v>MO</v>
          </cell>
        </row>
        <row r="38">
          <cell r="A38" t="str">
            <v>MTH</v>
          </cell>
          <cell r="B38">
            <v>33</v>
          </cell>
          <cell r="C38" t="str">
            <v>Taïp chí Myõ Thuaät</v>
          </cell>
          <cell r="D38" t="str">
            <v>Cty TNHH SX-TM-DV Kyû Nguyeân</v>
          </cell>
          <cell r="E38" t="str">
            <v>KY NGUYEN- MY THUAT</v>
          </cell>
          <cell r="F38">
            <v>2750</v>
          </cell>
          <cell r="H38">
            <v>4400</v>
          </cell>
          <cell r="I38">
            <v>3960.0000000000005</v>
          </cell>
          <cell r="J38">
            <v>4950</v>
          </cell>
          <cell r="P38">
            <v>1650.0000000000002</v>
          </cell>
          <cell r="R38">
            <v>1100</v>
          </cell>
          <cell r="X38">
            <v>0.15</v>
          </cell>
          <cell r="Y38">
            <v>0.15</v>
          </cell>
          <cell r="Z38">
            <v>0.15</v>
          </cell>
          <cell r="AA38">
            <v>0.15</v>
          </cell>
          <cell r="AB38">
            <v>0.15</v>
          </cell>
          <cell r="AC38">
            <v>0.15</v>
          </cell>
          <cell r="AD38">
            <v>0.15</v>
          </cell>
          <cell r="AE38">
            <v>0.15</v>
          </cell>
          <cell r="AF38">
            <v>0.15</v>
          </cell>
          <cell r="AG38">
            <v>0.15</v>
          </cell>
          <cell r="AJ38" t="str">
            <v>821 1181</v>
          </cell>
          <cell r="AK38" t="str">
            <v>821 1175</v>
          </cell>
          <cell r="AL38" t="str">
            <v>124/8A  Cong Hoa, P.4, Q.Tan Binh</v>
          </cell>
          <cell r="AM38" t="str">
            <v>chò Duyeân</v>
          </cell>
          <cell r="AO38" t="str">
            <v>MO</v>
          </cell>
        </row>
        <row r="39">
          <cell r="A39" t="str">
            <v>DEP</v>
          </cell>
          <cell r="B39">
            <v>34</v>
          </cell>
          <cell r="C39" t="str">
            <v>taïp chí Ñeïp</v>
          </cell>
          <cell r="D39" t="str">
            <v>Cty coå phaàn Truyeàn Thoâng Leâ</v>
          </cell>
          <cell r="E39" t="str">
            <v>LE- DEP</v>
          </cell>
          <cell r="F39">
            <v>25300.000000000004</v>
          </cell>
          <cell r="H39">
            <v>36300</v>
          </cell>
          <cell r="I39">
            <v>34100</v>
          </cell>
          <cell r="J39">
            <v>42900</v>
          </cell>
          <cell r="M39">
            <v>15400.000000000002</v>
          </cell>
          <cell r="P39">
            <v>15400.000000000002</v>
          </cell>
          <cell r="R39">
            <v>7920.0000000000009</v>
          </cell>
          <cell r="S39">
            <v>42900</v>
          </cell>
          <cell r="X39">
            <v>0.1</v>
          </cell>
          <cell r="Y39">
            <v>0.35</v>
          </cell>
          <cell r="Z39">
            <v>0.1</v>
          </cell>
          <cell r="AA39">
            <v>0.35</v>
          </cell>
          <cell r="AB39">
            <v>0.1</v>
          </cell>
          <cell r="AC39">
            <v>0.35</v>
          </cell>
          <cell r="AD39">
            <v>0.1</v>
          </cell>
          <cell r="AE39">
            <v>0.35</v>
          </cell>
          <cell r="AF39">
            <v>0.1</v>
          </cell>
          <cell r="AG39">
            <v>0.35</v>
          </cell>
          <cell r="AJ39" t="str">
            <v>820 7761</v>
          </cell>
          <cell r="AK39" t="str">
            <v>820 7762</v>
          </cell>
          <cell r="AL39" t="str">
            <v>Laàu 4, Toaø nhaø Green Star, 70 Phaïm Ngoïc Thaïch, Q.3, Tp.HCM</v>
          </cell>
          <cell r="AM39" t="str">
            <v>chò Phöôïng</v>
          </cell>
          <cell r="AO39" t="str">
            <v>MO</v>
          </cell>
        </row>
        <row r="40">
          <cell r="A40" t="str">
            <v>BSGD</v>
          </cell>
          <cell r="B40">
            <v>35</v>
          </cell>
          <cell r="C40" t="str">
            <v>taïp chí Baùc Syõ Gia Ñình</v>
          </cell>
          <cell r="D40" t="str">
            <v>Cty TNHH Thieâát Keá Hoaøn Haûo</v>
          </cell>
          <cell r="E40" t="str">
            <v>HOAN HAO- BAC SI GIA DINH</v>
          </cell>
          <cell r="F40">
            <v>825.00000000000011</v>
          </cell>
          <cell r="H40">
            <v>1199</v>
          </cell>
          <cell r="I40">
            <v>1199</v>
          </cell>
          <cell r="J40">
            <v>1375</v>
          </cell>
          <cell r="P40">
            <v>495.00000000000006</v>
          </cell>
          <cell r="R40">
            <v>275</v>
          </cell>
          <cell r="T40">
            <v>440.00000000000006</v>
          </cell>
          <cell r="AJ40" t="str">
            <v>833 4826</v>
          </cell>
          <cell r="AK40" t="str">
            <v>925 4752</v>
          </cell>
          <cell r="AL40" t="str">
            <v>131A/2 Nguyeãn Thò Minh Khai, Q.1, Tp.HCM</v>
          </cell>
          <cell r="AM40" t="str">
            <v>chò Tam</v>
          </cell>
          <cell r="AN40" t="str">
            <v>0908 171837</v>
          </cell>
          <cell r="AO40" t="str">
            <v>MO</v>
          </cell>
        </row>
        <row r="41">
          <cell r="A41" t="str">
            <v>TTGD</v>
          </cell>
          <cell r="B41">
            <v>36</v>
          </cell>
          <cell r="C41" t="str">
            <v>taïp chí Tieáp Thò &amp; Gia Ñình</v>
          </cell>
          <cell r="D41" t="str">
            <v>Cty TNHH Hoa Maët Trôøi</v>
          </cell>
          <cell r="E41" t="str">
            <v>HOA MAT TROI- TIEP THI GIA DINH</v>
          </cell>
          <cell r="F41">
            <v>47300.000000000007</v>
          </cell>
          <cell r="G41">
            <v>56760</v>
          </cell>
          <cell r="H41">
            <v>59125.000000000007</v>
          </cell>
          <cell r="I41">
            <v>51975.000000000007</v>
          </cell>
          <cell r="J41">
            <v>70950</v>
          </cell>
          <cell r="M41">
            <v>26125.000000000004</v>
          </cell>
          <cell r="P41">
            <v>26125.000000000004</v>
          </cell>
          <cell r="R41">
            <v>14300.000000000002</v>
          </cell>
          <cell r="S41">
            <v>85250</v>
          </cell>
          <cell r="U41">
            <v>14142</v>
          </cell>
          <cell r="V41">
            <v>33000</v>
          </cell>
          <cell r="W41">
            <v>33000</v>
          </cell>
          <cell r="X41">
            <v>0.45</v>
          </cell>
          <cell r="Y41">
            <v>0.15</v>
          </cell>
          <cell r="Z41">
            <v>0.45</v>
          </cell>
          <cell r="AA41">
            <v>0.15</v>
          </cell>
          <cell r="AB41">
            <v>0.35</v>
          </cell>
          <cell r="AC41">
            <v>0.15</v>
          </cell>
          <cell r="AD41">
            <v>0.35</v>
          </cell>
          <cell r="AE41">
            <v>0.15</v>
          </cell>
          <cell r="AF41">
            <v>0.35</v>
          </cell>
          <cell r="AG41">
            <v>0.15</v>
          </cell>
          <cell r="AH41">
            <v>0.46</v>
          </cell>
          <cell r="AI41">
            <v>0.15</v>
          </cell>
          <cell r="AJ41" t="str">
            <v>823 2420</v>
          </cell>
          <cell r="AK41" t="str">
            <v>822 3053</v>
          </cell>
          <cell r="AL41" t="str">
            <v>259 Hai Ba Trung, Q.3, Tp.HCM</v>
          </cell>
          <cell r="AM41" t="str">
            <v>anh Baèng (KT)</v>
          </cell>
          <cell r="AN41">
            <v>8232420</v>
          </cell>
          <cell r="AO41" t="str">
            <v>MO</v>
          </cell>
          <cell r="AP41" t="str">
            <v>030 188 0358</v>
          </cell>
        </row>
        <row r="42">
          <cell r="A42" t="str">
            <v>TTNN</v>
          </cell>
          <cell r="B42">
            <v>37</v>
          </cell>
          <cell r="C42" t="str">
            <v>Baùo Theå Thao Ngaøy Nay</v>
          </cell>
          <cell r="D42" t="str">
            <v>Cty TNHH Hoa Maët Trôøi</v>
          </cell>
          <cell r="E42" t="str">
            <v>HOA MAT TROI- THE THAO NGAY NAY</v>
          </cell>
          <cell r="F42">
            <v>17050</v>
          </cell>
          <cell r="M42">
            <v>11550.000000000002</v>
          </cell>
          <cell r="P42">
            <v>9900</v>
          </cell>
          <cell r="R42">
            <v>5500</v>
          </cell>
          <cell r="X42">
            <v>0.15</v>
          </cell>
          <cell r="Y42">
            <v>0.15</v>
          </cell>
          <cell r="Z42">
            <v>0.15</v>
          </cell>
          <cell r="AA42">
            <v>0.15</v>
          </cell>
          <cell r="AB42">
            <v>0.15</v>
          </cell>
          <cell r="AC42">
            <v>0.15</v>
          </cell>
          <cell r="AD42">
            <v>0.15</v>
          </cell>
          <cell r="AE42">
            <v>0.15</v>
          </cell>
          <cell r="AF42">
            <v>0.15</v>
          </cell>
          <cell r="AG42">
            <v>0.15</v>
          </cell>
          <cell r="AJ42" t="str">
            <v>823 2420</v>
          </cell>
          <cell r="AK42" t="str">
            <v>822 3053</v>
          </cell>
          <cell r="AL42" t="str">
            <v>259 Hai Ba Trung, Q.3, Tp.HCM</v>
          </cell>
          <cell r="AM42" t="str">
            <v>anh Truùc</v>
          </cell>
          <cell r="AN42">
            <v>8232420</v>
          </cell>
          <cell r="AO42" t="str">
            <v>MO</v>
          </cell>
          <cell r="AP42" t="str">
            <v>030 188 0358</v>
          </cell>
        </row>
        <row r="43">
          <cell r="A43" t="str">
            <v>AB</v>
          </cell>
          <cell r="B43">
            <v>38</v>
          </cell>
          <cell r="C43" t="str">
            <v>Baùo Phuï Nöõ Aáp Baéc</v>
          </cell>
          <cell r="D43" t="str">
            <v>Cty TNHH Thöông Maïi &amp; Dòch Vuï Quaûng Caùo Soâng Höông</v>
          </cell>
          <cell r="E43" t="str">
            <v>SONG HUONG- AP BAC</v>
          </cell>
          <cell r="F43">
            <v>7700.0000000000009</v>
          </cell>
          <cell r="P43">
            <v>4070.0000000000005</v>
          </cell>
          <cell r="AJ43">
            <v>8223040</v>
          </cell>
          <cell r="AK43" t="str">
            <v>823 2296</v>
          </cell>
          <cell r="AL43" t="str">
            <v>94 Nguyeãn Thò Minh Khai, P.6, Q.3, Tp.HCM</v>
          </cell>
          <cell r="AM43" t="str">
            <v>chuù Ñöùc</v>
          </cell>
          <cell r="AN43" t="str">
            <v>0903 724442</v>
          </cell>
          <cell r="AO43" t="str">
            <v>MO</v>
          </cell>
          <cell r="AP43" t="str">
            <v>030 232 5639</v>
          </cell>
        </row>
        <row r="44">
          <cell r="A44" t="str">
            <v>NQT</v>
          </cell>
          <cell r="B44">
            <v>39</v>
          </cell>
          <cell r="C44" t="str">
            <v>Taïp chí Nhaø Quaûn Trò</v>
          </cell>
          <cell r="D44" t="str">
            <v>Cty Toaøn Vieät Truyeàn Thoâng</v>
          </cell>
          <cell r="E44" t="str">
            <v>TOAN VIET TRUYEN THONG- NHA QUAN TRI</v>
          </cell>
          <cell r="F44">
            <v>24750</v>
          </cell>
          <cell r="H44">
            <v>24750</v>
          </cell>
          <cell r="I44">
            <v>24750</v>
          </cell>
          <cell r="J44">
            <v>24750</v>
          </cell>
          <cell r="M44">
            <v>13750</v>
          </cell>
          <cell r="P44">
            <v>12375</v>
          </cell>
          <cell r="R44">
            <v>7000</v>
          </cell>
          <cell r="T44">
            <v>13750</v>
          </cell>
          <cell r="X44">
            <v>0.4</v>
          </cell>
          <cell r="Y44">
            <v>0.15</v>
          </cell>
          <cell r="Z44">
            <v>0.4</v>
          </cell>
          <cell r="AA44">
            <v>0.15</v>
          </cell>
          <cell r="AB44">
            <v>0.4</v>
          </cell>
          <cell r="AC44">
            <v>0.15</v>
          </cell>
          <cell r="AD44">
            <v>0.4</v>
          </cell>
          <cell r="AE44">
            <v>0.15</v>
          </cell>
          <cell r="AF44">
            <v>0.4</v>
          </cell>
          <cell r="AG44">
            <v>0.15</v>
          </cell>
          <cell r="AJ44" t="str">
            <v>04 9718963</v>
          </cell>
          <cell r="AK44" t="str">
            <v>04 971 8964</v>
          </cell>
          <cell r="AL44" t="str">
            <v>7 Nguyeãn Huy Töï, Hoaøn Kieám, HN</v>
          </cell>
          <cell r="AM44" t="str">
            <v>chò Hueä</v>
          </cell>
          <cell r="AO44" t="str">
            <v>MO</v>
          </cell>
        </row>
        <row r="45">
          <cell r="A45" t="str">
            <v>PCA</v>
          </cell>
          <cell r="B45">
            <v>40</v>
          </cell>
          <cell r="C45" t="str">
            <v>Taïp chí Theá Giôùi Vi Tính A</v>
          </cell>
          <cell r="D45" t="str">
            <v>Taïp chí Theá Giôùi Vi Tính- PC World VN</v>
          </cell>
          <cell r="E45" t="str">
            <v>THE GIOI VI TINH A</v>
          </cell>
          <cell r="F45">
            <v>21560</v>
          </cell>
          <cell r="H45">
            <v>30690.000000000004</v>
          </cell>
          <cell r="I45">
            <v>25190.000000000004</v>
          </cell>
          <cell r="J45">
            <v>39600</v>
          </cell>
          <cell r="P45">
            <v>11880.000000000002</v>
          </cell>
          <cell r="T45">
            <v>10780</v>
          </cell>
          <cell r="X45">
            <v>0.1</v>
          </cell>
          <cell r="Y45">
            <v>0.15</v>
          </cell>
          <cell r="Z45">
            <v>0.1</v>
          </cell>
          <cell r="AA45">
            <v>0.15</v>
          </cell>
          <cell r="AB45">
            <v>0.1</v>
          </cell>
          <cell r="AC45">
            <v>0.15</v>
          </cell>
          <cell r="AD45">
            <v>0.1</v>
          </cell>
          <cell r="AE45">
            <v>0.15</v>
          </cell>
          <cell r="AF45">
            <v>0.1</v>
          </cell>
          <cell r="AG45">
            <v>0.15</v>
          </cell>
          <cell r="AJ45" t="str">
            <v>829 4352</v>
          </cell>
          <cell r="AK45" t="str">
            <v>822 0742</v>
          </cell>
          <cell r="AL45" t="str">
            <v>79 Truong Dinh, Q.1, HCM</v>
          </cell>
          <cell r="AM45" t="str">
            <v>chò Dieãm Trang</v>
          </cell>
          <cell r="AO45" t="str">
            <v>MO</v>
          </cell>
        </row>
        <row r="46">
          <cell r="A46" t="str">
            <v>PCB</v>
          </cell>
          <cell r="B46">
            <v>41</v>
          </cell>
          <cell r="C46" t="str">
            <v>Taïp chí Theá Giôùi Vi Tính B</v>
          </cell>
          <cell r="D46" t="str">
            <v>Taïp chí Theá Giôùi Vi Tính- PC World VN</v>
          </cell>
          <cell r="E46" t="str">
            <v>THE GIOI VI TINH B</v>
          </cell>
          <cell r="F46">
            <v>7040.0000000000009</v>
          </cell>
          <cell r="H46">
            <v>9900</v>
          </cell>
          <cell r="I46">
            <v>8250</v>
          </cell>
          <cell r="J46">
            <v>13200.000000000002</v>
          </cell>
          <cell r="P46">
            <v>3960.0000000000005</v>
          </cell>
          <cell r="X46">
            <v>0.1</v>
          </cell>
          <cell r="Y46">
            <v>0.15</v>
          </cell>
          <cell r="Z46">
            <v>0.1</v>
          </cell>
          <cell r="AA46">
            <v>0.15</v>
          </cell>
          <cell r="AB46">
            <v>0.1</v>
          </cell>
          <cell r="AC46">
            <v>0.15</v>
          </cell>
          <cell r="AD46">
            <v>0.1</v>
          </cell>
          <cell r="AE46">
            <v>0.15</v>
          </cell>
          <cell r="AF46">
            <v>0.1</v>
          </cell>
          <cell r="AG46">
            <v>0.15</v>
          </cell>
          <cell r="AJ46" t="str">
            <v>829 4352</v>
          </cell>
          <cell r="AK46" t="str">
            <v>822 0742</v>
          </cell>
          <cell r="AL46" t="str">
            <v>79 Truong Dinh, Q.1, HCM</v>
          </cell>
          <cell r="AM46" t="str">
            <v>chò Dieãm Trang</v>
          </cell>
          <cell r="AO46" t="str">
            <v>MO</v>
          </cell>
        </row>
        <row r="47">
          <cell r="A47" t="str">
            <v>CNTD</v>
          </cell>
          <cell r="B47">
            <v>42</v>
          </cell>
          <cell r="C47" t="str">
            <v>taïp chí Caåm Nang Tieâu Duøng</v>
          </cell>
          <cell r="D47" t="str">
            <v>Thôøi baùo Kinh teá Saigon</v>
          </cell>
          <cell r="E47" t="str">
            <v>CAM NANG TIEU DUNG</v>
          </cell>
          <cell r="F47">
            <v>8000</v>
          </cell>
          <cell r="H47">
            <v>14000</v>
          </cell>
          <cell r="I47">
            <v>12000</v>
          </cell>
          <cell r="J47">
            <v>16000</v>
          </cell>
          <cell r="M47">
            <v>4800</v>
          </cell>
          <cell r="P47">
            <v>4000</v>
          </cell>
          <cell r="R47">
            <v>2000</v>
          </cell>
          <cell r="X47">
            <v>0.15</v>
          </cell>
          <cell r="Z47">
            <v>0.15</v>
          </cell>
          <cell r="AB47">
            <v>0.15</v>
          </cell>
          <cell r="AD47">
            <v>0.15</v>
          </cell>
          <cell r="AF47">
            <v>0.15</v>
          </cell>
          <cell r="AJ47" t="str">
            <v>8245336- 8245337</v>
          </cell>
          <cell r="AK47" t="str">
            <v>824 5339</v>
          </cell>
          <cell r="AL47" t="str">
            <v>10 Truong Dinh, Q.3, HCM</v>
          </cell>
          <cell r="AM47" t="str">
            <v>chò Hoøa</v>
          </cell>
          <cell r="AO47" t="str">
            <v>MO</v>
          </cell>
        </row>
        <row r="48">
          <cell r="A48" t="str">
            <v>TBKTSGNN</v>
          </cell>
          <cell r="B48">
            <v>43</v>
          </cell>
          <cell r="C48" t="str">
            <v>TBKTSG</v>
          </cell>
          <cell r="D48" t="str">
            <v>Thôøi baùo Kinh teá Saigon</v>
          </cell>
          <cell r="E48" t="str">
            <v>TBKTSG</v>
          </cell>
          <cell r="F48">
            <v>18600</v>
          </cell>
          <cell r="H48">
            <v>1600</v>
          </cell>
          <cell r="I48">
            <v>1400</v>
          </cell>
          <cell r="J48">
            <v>1800</v>
          </cell>
          <cell r="P48">
            <v>700</v>
          </cell>
          <cell r="R48">
            <v>450</v>
          </cell>
          <cell r="X48">
            <v>0.15</v>
          </cell>
          <cell r="Z48">
            <v>0.15</v>
          </cell>
          <cell r="AB48">
            <v>0.15</v>
          </cell>
          <cell r="AD48">
            <v>0.15</v>
          </cell>
          <cell r="AF48">
            <v>0.15</v>
          </cell>
          <cell r="AJ48" t="str">
            <v>829 5936</v>
          </cell>
          <cell r="AK48" t="str">
            <v>829 5742</v>
          </cell>
          <cell r="AL48" t="str">
            <v>35 NKKN, Q.3, HCM</v>
          </cell>
          <cell r="AM48" t="str">
            <v>chò Trang, Höông(K.Toaùn)</v>
          </cell>
          <cell r="AO48" t="str">
            <v>MO</v>
          </cell>
          <cell r="AP48" t="str">
            <v>030 145 6357</v>
          </cell>
        </row>
        <row r="49">
          <cell r="A49" t="str">
            <v>TBKTSG</v>
          </cell>
          <cell r="B49">
            <v>44</v>
          </cell>
          <cell r="C49" t="str">
            <v>TBKTSG</v>
          </cell>
          <cell r="D49" t="str">
            <v>Thôøi baùo Kinh teá Saigon</v>
          </cell>
          <cell r="E49" t="str">
            <v>TBKTSG</v>
          </cell>
          <cell r="F49">
            <v>12000</v>
          </cell>
          <cell r="H49">
            <v>1600</v>
          </cell>
          <cell r="I49">
            <v>1400</v>
          </cell>
          <cell r="J49">
            <v>1800</v>
          </cell>
          <cell r="P49">
            <v>700</v>
          </cell>
          <cell r="R49">
            <v>450</v>
          </cell>
          <cell r="X49">
            <v>0.15</v>
          </cell>
          <cell r="Z49">
            <v>0.15</v>
          </cell>
          <cell r="AB49">
            <v>0.15</v>
          </cell>
          <cell r="AD49">
            <v>0.15</v>
          </cell>
          <cell r="AF49">
            <v>0.15</v>
          </cell>
          <cell r="AJ49" t="str">
            <v>829 5936</v>
          </cell>
          <cell r="AK49" t="str">
            <v>829 5742</v>
          </cell>
          <cell r="AL49" t="str">
            <v>35 NKKN, Q.3, HCM</v>
          </cell>
          <cell r="AM49" t="str">
            <v>chò Trang, Höông(K.Toaùn)</v>
          </cell>
          <cell r="AO49" t="str">
            <v>MO</v>
          </cell>
          <cell r="AP49" t="str">
            <v>030 145 6357</v>
          </cell>
        </row>
        <row r="50">
          <cell r="A50" t="str">
            <v>SGT</v>
          </cell>
          <cell r="B50">
            <v>45</v>
          </cell>
          <cell r="C50" t="str">
            <v>Sai Gon Times Daily</v>
          </cell>
          <cell r="D50" t="str">
            <v>Thôøi baùo Kinh teá Saigon</v>
          </cell>
          <cell r="E50" t="str">
            <v>SAIGON TIMES</v>
          </cell>
          <cell r="F50">
            <v>2200</v>
          </cell>
          <cell r="P50">
            <v>1100</v>
          </cell>
          <cell r="R50">
            <v>600</v>
          </cell>
          <cell r="T50">
            <v>1200</v>
          </cell>
          <cell r="X50">
            <v>0.15</v>
          </cell>
          <cell r="Z50">
            <v>0.15</v>
          </cell>
          <cell r="AB50">
            <v>0.15</v>
          </cell>
          <cell r="AD50">
            <v>0.15</v>
          </cell>
          <cell r="AF50">
            <v>0.15</v>
          </cell>
          <cell r="AJ50" t="str">
            <v>829 5936</v>
          </cell>
          <cell r="AK50" t="str">
            <v>829 5742</v>
          </cell>
          <cell r="AL50" t="str">
            <v>35 NKKN, Q.3, HCM</v>
          </cell>
          <cell r="AM50" t="str">
            <v>chò Trang, Höông(K.Toaùn)</v>
          </cell>
          <cell r="AO50" t="str">
            <v>MO</v>
          </cell>
        </row>
        <row r="51">
          <cell r="A51" t="str">
            <v>SGTT</v>
          </cell>
          <cell r="B51">
            <v>46</v>
          </cell>
          <cell r="C51" t="str">
            <v>Baùo Saøi Goøn Tieáp Thò</v>
          </cell>
          <cell r="D51" t="str">
            <v>Thôøi baùo Kinh teá Saigon</v>
          </cell>
          <cell r="E51" t="str">
            <v>SAI GON TIEP THI</v>
          </cell>
          <cell r="F51">
            <v>23000</v>
          </cell>
          <cell r="J51">
            <v>26000</v>
          </cell>
          <cell r="M51">
            <v>18000</v>
          </cell>
          <cell r="P51">
            <v>12000</v>
          </cell>
          <cell r="R51">
            <v>7000</v>
          </cell>
          <cell r="T51">
            <v>16000</v>
          </cell>
          <cell r="X51">
            <v>0.15</v>
          </cell>
          <cell r="Z51">
            <v>0.15</v>
          </cell>
          <cell r="AB51">
            <v>0.15</v>
          </cell>
          <cell r="AD51">
            <v>0.15</v>
          </cell>
          <cell r="AF51">
            <v>0.15</v>
          </cell>
          <cell r="AJ51" t="str">
            <v>8245336- 8245337</v>
          </cell>
          <cell r="AK51" t="str">
            <v>824 5339</v>
          </cell>
          <cell r="AL51" t="str">
            <v>10 Truong Dinh, Q.3, HCM</v>
          </cell>
          <cell r="AM51" t="str">
            <v>chò Hoøa</v>
          </cell>
          <cell r="AO51" t="str">
            <v>MO</v>
          </cell>
        </row>
        <row r="52">
          <cell r="A52" t="str">
            <v>SGTW</v>
          </cell>
          <cell r="B52">
            <v>47</v>
          </cell>
          <cell r="C52" t="str">
            <v>Sai Gon Times Weekly</v>
          </cell>
          <cell r="D52" t="str">
            <v>Thôøi baùo Kinh teá Saigon</v>
          </cell>
          <cell r="E52" t="str">
            <v>SAIGON TIMES</v>
          </cell>
          <cell r="F52">
            <v>1000</v>
          </cell>
          <cell r="H52">
            <v>1300</v>
          </cell>
          <cell r="I52">
            <v>1200</v>
          </cell>
          <cell r="J52">
            <v>1500</v>
          </cell>
          <cell r="P52">
            <v>600</v>
          </cell>
          <cell r="T52">
            <v>800</v>
          </cell>
          <cell r="AJ52" t="str">
            <v>829 5936</v>
          </cell>
          <cell r="AK52" t="str">
            <v>829 5742</v>
          </cell>
          <cell r="AL52" t="str">
            <v>35 NKKN, Q.3, HCM</v>
          </cell>
          <cell r="AM52" t="str">
            <v>chò Trang, Höông(K.Toaùn)</v>
          </cell>
          <cell r="AO52" t="str">
            <v>MO</v>
          </cell>
        </row>
        <row r="53">
          <cell r="A53" t="str">
            <v>TBKTVN</v>
          </cell>
          <cell r="B53">
            <v>48</v>
          </cell>
          <cell r="C53" t="str">
            <v>TBKTVN</v>
          </cell>
          <cell r="D53" t="str">
            <v>Thôøi baùo Kinh Teá VN</v>
          </cell>
          <cell r="E53" t="str">
            <v>TBKTVN</v>
          </cell>
          <cell r="F53">
            <v>50490</v>
          </cell>
          <cell r="J53">
            <v>58905</v>
          </cell>
          <cell r="M53">
            <v>35343</v>
          </cell>
          <cell r="P53">
            <v>30294</v>
          </cell>
          <cell r="R53">
            <v>18176.400000000001</v>
          </cell>
          <cell r="T53">
            <v>38709</v>
          </cell>
          <cell r="X53">
            <v>0.4</v>
          </cell>
          <cell r="Y53">
            <v>0.15</v>
          </cell>
          <cell r="Z53">
            <v>0.4</v>
          </cell>
          <cell r="AA53">
            <v>0.15</v>
          </cell>
          <cell r="AB53">
            <v>0.5</v>
          </cell>
          <cell r="AC53">
            <v>0.15</v>
          </cell>
          <cell r="AD53">
            <v>0.5</v>
          </cell>
          <cell r="AE53">
            <v>0.15</v>
          </cell>
          <cell r="AF53">
            <v>0.4</v>
          </cell>
          <cell r="AG53">
            <v>0.15</v>
          </cell>
          <cell r="AJ53" t="str">
            <v>04 7552060</v>
          </cell>
          <cell r="AK53" t="str">
            <v>04 7552046</v>
          </cell>
          <cell r="AL53" t="str">
            <v>96 Hoaøng Quoác Vieät- Caàu Giaáy- HN</v>
          </cell>
          <cell r="AM53" t="str">
            <v>chò Höông (Ext 131)</v>
          </cell>
          <cell r="AN53" t="str">
            <v>0903 225653</v>
          </cell>
          <cell r="AO53" t="str">
            <v>MO</v>
          </cell>
        </row>
        <row r="54">
          <cell r="A54" t="str">
            <v>TVTD</v>
          </cell>
          <cell r="B54">
            <v>49</v>
          </cell>
          <cell r="C54" t="str">
            <v>taïp chí Tö Vaán Tieâu Duøng</v>
          </cell>
          <cell r="D54" t="str">
            <v>Thôøi baùo Kinh Teá VN</v>
          </cell>
          <cell r="E54" t="str">
            <v>TBKTVN- TU VAN TIEU DUNG</v>
          </cell>
          <cell r="F54">
            <v>1760.0000000000002</v>
          </cell>
          <cell r="H54">
            <v>2200</v>
          </cell>
          <cell r="I54">
            <v>1980.0000000000002</v>
          </cell>
          <cell r="J54">
            <v>2420</v>
          </cell>
          <cell r="P54">
            <v>990.00000000000011</v>
          </cell>
          <cell r="R54">
            <v>660</v>
          </cell>
          <cell r="T54">
            <v>1100</v>
          </cell>
          <cell r="AJ54" t="str">
            <v>04 7552060</v>
          </cell>
          <cell r="AK54" t="str">
            <v>04 7552046</v>
          </cell>
          <cell r="AL54" t="str">
            <v>96 Hoaøng Quoác Vieät- Caàu Giaáy- HN</v>
          </cell>
          <cell r="AM54" t="str">
            <v>chò Höông (Ext 131)</v>
          </cell>
          <cell r="AN54" t="str">
            <v>0903 225653</v>
          </cell>
          <cell r="AO54" t="str">
            <v>MO</v>
          </cell>
        </row>
        <row r="55">
          <cell r="A55" t="str">
            <v>TTVH</v>
          </cell>
          <cell r="B55">
            <v>50</v>
          </cell>
          <cell r="C55" t="str">
            <v>Baùo Theå Thao Vaên Hoaù</v>
          </cell>
          <cell r="D55" t="str">
            <v>Vaên phoøng ñaïi dieän thoâng taán xaõ VN taïi TP.HCM</v>
          </cell>
          <cell r="E55" t="str">
            <v>THE THAO VH</v>
          </cell>
          <cell r="F55">
            <v>10000</v>
          </cell>
          <cell r="J55">
            <v>12000</v>
          </cell>
          <cell r="P55">
            <v>5000</v>
          </cell>
          <cell r="R55">
            <v>2500</v>
          </cell>
          <cell r="T55">
            <v>6000</v>
          </cell>
          <cell r="X55">
            <v>0.2</v>
          </cell>
          <cell r="Z55">
            <v>0.2</v>
          </cell>
          <cell r="AB55">
            <v>0.2</v>
          </cell>
          <cell r="AD55">
            <v>0.2</v>
          </cell>
          <cell r="AF55">
            <v>0.2</v>
          </cell>
          <cell r="AJ55" t="str">
            <v>930 5922</v>
          </cell>
          <cell r="AK55" t="str">
            <v>930 3332</v>
          </cell>
          <cell r="AL55" t="str">
            <v>120 Nguyeãn Thò Minh Khai, Q.3, HCM</v>
          </cell>
          <cell r="AM55" t="str">
            <v>chuù Tò</v>
          </cell>
          <cell r="AN55" t="str">
            <v>0913 601129</v>
          </cell>
          <cell r="AO55" t="str">
            <v>MO</v>
          </cell>
          <cell r="AP55" t="str">
            <v>030 148 3671</v>
          </cell>
        </row>
        <row r="56">
          <cell r="A56" t="str">
            <v>SKDS</v>
          </cell>
          <cell r="B56">
            <v>51</v>
          </cell>
          <cell r="C56" t="str">
            <v>taïp chí Söùc khoeû vaø Ñôøi soáng</v>
          </cell>
          <cell r="D56" t="str">
            <v>Vaên phoøng ñaïi dieän tuaàn baùo Söùc khoûe vaø Ñôøi soáng</v>
          </cell>
          <cell r="E56" t="str">
            <v>SUC KHOE &amp; DOI SONG</v>
          </cell>
          <cell r="F56">
            <v>8500</v>
          </cell>
          <cell r="H56">
            <v>9000</v>
          </cell>
          <cell r="I56">
            <v>8500</v>
          </cell>
          <cell r="J56">
            <v>14000</v>
          </cell>
          <cell r="P56">
            <v>4500</v>
          </cell>
          <cell r="X56">
            <v>0.15</v>
          </cell>
          <cell r="Z56">
            <v>0.15</v>
          </cell>
          <cell r="AB56">
            <v>0.15</v>
          </cell>
          <cell r="AD56">
            <v>0.15</v>
          </cell>
          <cell r="AF56">
            <v>0.15</v>
          </cell>
          <cell r="AJ56" t="str">
            <v>822 9942</v>
          </cell>
          <cell r="AM56" t="str">
            <v>chò Nhaät Thanh</v>
          </cell>
          <cell r="AN56" t="str">
            <v>0903 312245</v>
          </cell>
          <cell r="AO56" t="str">
            <v>MO</v>
          </cell>
        </row>
        <row r="57">
          <cell r="A57" t="str">
            <v>ANTD</v>
          </cell>
          <cell r="B57">
            <v>52</v>
          </cell>
          <cell r="C57" t="str">
            <v>Baùo An Ninh Thuû Ñoâ</v>
          </cell>
          <cell r="D57" t="str">
            <v>Baùo An Ninh Thuû Ñoâ</v>
          </cell>
          <cell r="E57" t="str">
            <v>AN NINH THU DO</v>
          </cell>
          <cell r="F57">
            <v>15300</v>
          </cell>
          <cell r="M57">
            <v>8500</v>
          </cell>
          <cell r="P57">
            <v>7500</v>
          </cell>
          <cell r="R57">
            <v>4000</v>
          </cell>
          <cell r="T57">
            <v>10300</v>
          </cell>
          <cell r="X57">
            <v>0.25</v>
          </cell>
          <cell r="Z57">
            <v>0.25</v>
          </cell>
          <cell r="AB57">
            <v>0.25</v>
          </cell>
          <cell r="AD57">
            <v>0.25</v>
          </cell>
          <cell r="AF57">
            <v>0.25</v>
          </cell>
          <cell r="AJ57" t="str">
            <v>04 9426355</v>
          </cell>
          <cell r="AK57" t="str">
            <v>04 9426354</v>
          </cell>
          <cell r="AL57" t="str">
            <v>82 Lyù Thöôøng Kieät, Hoaøn Kieám, HN</v>
          </cell>
          <cell r="AM57" t="str">
            <v>anh Huøng</v>
          </cell>
          <cell r="AN57" t="str">
            <v>0913 228733</v>
          </cell>
          <cell r="AO57" t="str">
            <v>MO</v>
          </cell>
          <cell r="AP57" t="str">
            <v>01-001-09748</v>
          </cell>
        </row>
        <row r="58">
          <cell r="A58" t="str">
            <v>ANTG</v>
          </cell>
          <cell r="B58">
            <v>53</v>
          </cell>
          <cell r="C58" t="str">
            <v>Baùo An Ninh Theá Giôùi</v>
          </cell>
          <cell r="D58" t="str">
            <v>Baùo Coâng An Nhaân Daân</v>
          </cell>
          <cell r="E58" t="str">
            <v>AN NINH THE GIOI</v>
          </cell>
          <cell r="F58">
            <v>19500</v>
          </cell>
          <cell r="R58">
            <v>4875</v>
          </cell>
          <cell r="T58">
            <v>12500</v>
          </cell>
          <cell r="X58">
            <v>0.1</v>
          </cell>
          <cell r="Z58">
            <v>0.1</v>
          </cell>
          <cell r="AB58">
            <v>0.1</v>
          </cell>
          <cell r="AD58">
            <v>0.1</v>
          </cell>
          <cell r="AF58">
            <v>0.1</v>
          </cell>
          <cell r="AJ58" t="str">
            <v>8 373 602/ 04 8220035</v>
          </cell>
          <cell r="AK58" t="str">
            <v>8 373 603/ 06 943641</v>
          </cell>
          <cell r="AL58" t="str">
            <v>373D Nguyeãn Traõi- Q.1- Tp.HCM/ 100 Yeát Kieâu- Haø Noäi</v>
          </cell>
          <cell r="AM58" t="str">
            <v>anh Cöông</v>
          </cell>
          <cell r="AN58" t="str">
            <v>0903 703126</v>
          </cell>
          <cell r="AO58" t="str">
            <v>MO</v>
          </cell>
          <cell r="AP58" t="str">
            <v>01 0011 09691</v>
          </cell>
        </row>
        <row r="59">
          <cell r="A59" t="str">
            <v>CADN</v>
          </cell>
          <cell r="B59">
            <v>54</v>
          </cell>
          <cell r="C59" t="str">
            <v>Baùo Coâng an Tp. Ñaø Naüng</v>
          </cell>
          <cell r="D59" t="str">
            <v>Baùo Coâng an Tp. Ñaø Naüng</v>
          </cell>
          <cell r="E59" t="str">
            <v>CONG AN TPDN</v>
          </cell>
          <cell r="F59">
            <v>15000</v>
          </cell>
          <cell r="M59">
            <v>8000</v>
          </cell>
          <cell r="P59">
            <v>8000</v>
          </cell>
          <cell r="R59">
            <v>4500</v>
          </cell>
          <cell r="T59">
            <v>6000</v>
          </cell>
          <cell r="AJ59" t="str">
            <v>0511 822626</v>
          </cell>
          <cell r="AK59" t="str">
            <v>0511 822795</v>
          </cell>
          <cell r="AL59" t="str">
            <v>62 Phan Chaâu Trinh- Daø Naüng</v>
          </cell>
          <cell r="AM59" t="str">
            <v>anh Phuùc</v>
          </cell>
          <cell r="AN59" t="str">
            <v>0903 924405</v>
          </cell>
          <cell r="AO59" t="str">
            <v>MO</v>
          </cell>
        </row>
        <row r="60">
          <cell r="A60" t="str">
            <v>CADN-M</v>
          </cell>
          <cell r="B60">
            <v>55</v>
          </cell>
          <cell r="C60" t="str">
            <v>Baùo Coâng an Tp. Ñaø Naüng (Nguyeät san)</v>
          </cell>
          <cell r="D60" t="str">
            <v>Baùo Coâng an Tp. Ñaø Naüng</v>
          </cell>
          <cell r="E60" t="str">
            <v>CONG AN TPDN</v>
          </cell>
          <cell r="F60">
            <v>5000</v>
          </cell>
          <cell r="M60">
            <v>3000</v>
          </cell>
          <cell r="P60">
            <v>3000</v>
          </cell>
          <cell r="T60">
            <v>3500</v>
          </cell>
          <cell r="AJ60" t="str">
            <v>0511 822626</v>
          </cell>
          <cell r="AK60" t="str">
            <v>0511 822795</v>
          </cell>
          <cell r="AL60" t="str">
            <v>62 Phan Chaâu Trinh- Daø Naüng</v>
          </cell>
          <cell r="AM60" t="str">
            <v>anh Phuùc</v>
          </cell>
          <cell r="AN60" t="str">
            <v>0903 924405</v>
          </cell>
          <cell r="AO60" t="str">
            <v>MO</v>
          </cell>
        </row>
        <row r="61">
          <cell r="A61" t="str">
            <v>CNGD</v>
          </cell>
          <cell r="B61">
            <v>56</v>
          </cell>
          <cell r="C61" t="str">
            <v>Caåm Nang Gia Ñình</v>
          </cell>
          <cell r="E61" t="str">
            <v>CAM NANG GIA DINH</v>
          </cell>
          <cell r="F61">
            <v>5500</v>
          </cell>
          <cell r="H61">
            <v>7700.0000000000009</v>
          </cell>
          <cell r="I61">
            <v>6600.0000000000009</v>
          </cell>
          <cell r="J61">
            <v>13200.000000000002</v>
          </cell>
          <cell r="P61">
            <v>2970.0000000000005</v>
          </cell>
          <cell r="R61">
            <v>2200</v>
          </cell>
          <cell r="AJ61" t="str">
            <v>8393 249</v>
          </cell>
          <cell r="AK61" t="str">
            <v>8393 249</v>
          </cell>
          <cell r="AL61" t="str">
            <v>412 Vo Van Tan- HCM</v>
          </cell>
          <cell r="AM61" t="str">
            <v>anh Minh</v>
          </cell>
          <cell r="AN61" t="str">
            <v>0903 743025</v>
          </cell>
          <cell r="AO61" t="str">
            <v>MO</v>
          </cell>
        </row>
        <row r="62">
          <cell r="A62" t="str">
            <v>CT</v>
          </cell>
          <cell r="B62">
            <v>57</v>
          </cell>
          <cell r="C62" t="str">
            <v>Baùo Caàn Thô</v>
          </cell>
          <cell r="D62" t="str">
            <v>Baùo Caàn Thô</v>
          </cell>
          <cell r="E62" t="str">
            <v>CAN THO</v>
          </cell>
          <cell r="F62">
            <v>27500</v>
          </cell>
          <cell r="M62">
            <v>17160</v>
          </cell>
          <cell r="P62">
            <v>14300</v>
          </cell>
          <cell r="R62">
            <v>7150</v>
          </cell>
          <cell r="T62">
            <v>20900</v>
          </cell>
          <cell r="AJ62" t="str">
            <v>071 830 098</v>
          </cell>
          <cell r="AK62" t="str">
            <v>071 830 561</v>
          </cell>
          <cell r="AL62" t="str">
            <v>62 Lyù Töï Troïng- Tp. Caàn Thô</v>
          </cell>
          <cell r="AM62" t="str">
            <v>chò Ñaøo</v>
          </cell>
          <cell r="AO62" t="str">
            <v>MO</v>
          </cell>
        </row>
        <row r="63">
          <cell r="A63" t="str">
            <v>DAKT</v>
          </cell>
          <cell r="B63">
            <v>58</v>
          </cell>
          <cell r="C63" t="str">
            <v>Taïp chí Ñieän Aûnh Kòch Tröôøng</v>
          </cell>
          <cell r="E63" t="str">
            <v>DIEN ANH KICH TRUONG</v>
          </cell>
          <cell r="F63">
            <v>8000</v>
          </cell>
          <cell r="H63">
            <v>10000</v>
          </cell>
          <cell r="I63">
            <v>10000</v>
          </cell>
          <cell r="J63">
            <v>12000</v>
          </cell>
          <cell r="P63">
            <v>4300</v>
          </cell>
          <cell r="R63">
            <v>2600</v>
          </cell>
          <cell r="X63">
            <v>0.4</v>
          </cell>
          <cell r="Z63">
            <v>0.4</v>
          </cell>
          <cell r="AB63">
            <v>0.4</v>
          </cell>
          <cell r="AD63">
            <v>0.4</v>
          </cell>
          <cell r="AF63">
            <v>0.4</v>
          </cell>
          <cell r="AJ63" t="str">
            <v>995 0713</v>
          </cell>
          <cell r="AK63" t="str">
            <v>825 0750</v>
          </cell>
          <cell r="AL63" t="str">
            <v>59F Tran Quoc Toan, q3, HCM</v>
          </cell>
          <cell r="AM63" t="str">
            <v>Chò Nhaïn</v>
          </cell>
          <cell r="AN63" t="str">
            <v>0903 668496</v>
          </cell>
          <cell r="AO63" t="str">
            <v>MO</v>
          </cell>
        </row>
        <row r="64">
          <cell r="A64" t="str">
            <v>DAKTVN</v>
          </cell>
          <cell r="B64">
            <v>59</v>
          </cell>
          <cell r="C64" t="str">
            <v>Taïp chí Ñieän Aûnh Kòch Tröôøng VN</v>
          </cell>
          <cell r="E64" t="str">
            <v>DIEN ANH KICH TRUONG VN</v>
          </cell>
          <cell r="F64">
            <v>15000</v>
          </cell>
          <cell r="H64">
            <v>20000</v>
          </cell>
          <cell r="I64">
            <v>18000</v>
          </cell>
          <cell r="J64">
            <v>25000</v>
          </cell>
          <cell r="M64">
            <v>8000</v>
          </cell>
          <cell r="P64">
            <v>8000</v>
          </cell>
          <cell r="R64">
            <v>4000</v>
          </cell>
          <cell r="S64">
            <v>30000</v>
          </cell>
          <cell r="X64">
            <v>0.15</v>
          </cell>
          <cell r="Z64">
            <v>0.15</v>
          </cell>
          <cell r="AB64">
            <v>0.15</v>
          </cell>
          <cell r="AD64">
            <v>0.15</v>
          </cell>
          <cell r="AF64">
            <v>0.15</v>
          </cell>
          <cell r="AO64" t="str">
            <v>MO</v>
          </cell>
        </row>
        <row r="65">
          <cell r="A65" t="str">
            <v>DATP</v>
          </cell>
          <cell r="B65">
            <v>60</v>
          </cell>
          <cell r="C65" t="str">
            <v>Taïp chí Ñieän Aûnh Tp. HCM</v>
          </cell>
          <cell r="E65" t="str">
            <v>DIEN ANH TP</v>
          </cell>
          <cell r="F65">
            <v>15000</v>
          </cell>
          <cell r="H65">
            <v>20000</v>
          </cell>
          <cell r="I65">
            <v>20000</v>
          </cell>
          <cell r="J65">
            <v>29000</v>
          </cell>
          <cell r="P65">
            <v>8000</v>
          </cell>
          <cell r="X65">
            <v>0.3</v>
          </cell>
          <cell r="Z65">
            <v>0.3</v>
          </cell>
          <cell r="AB65">
            <v>0.3</v>
          </cell>
          <cell r="AD65">
            <v>0.3</v>
          </cell>
          <cell r="AF65">
            <v>0.3</v>
          </cell>
          <cell r="AJ65" t="str">
            <v>932 1259</v>
          </cell>
          <cell r="AK65" t="str">
            <v>932 1249</v>
          </cell>
          <cell r="AM65" t="str">
            <v>anh Cöù</v>
          </cell>
          <cell r="AN65" t="str">
            <v>0903 616321</v>
          </cell>
          <cell r="AO65" t="str">
            <v>MO</v>
          </cell>
        </row>
        <row r="66">
          <cell r="A66" t="str">
            <v>DDSK</v>
          </cell>
          <cell r="B66">
            <v>61</v>
          </cell>
          <cell r="C66" t="str">
            <v>Dinh Döôõng &amp; Söùc Khoeû</v>
          </cell>
          <cell r="D66" t="str">
            <v>Cty TNHH Saùch Vieät</v>
          </cell>
          <cell r="E66" t="str">
            <v>SACH VIET- DINH DUONG &amp; SUC KHOE</v>
          </cell>
          <cell r="F66">
            <v>6600.0000000000009</v>
          </cell>
          <cell r="H66">
            <v>13200.000000000002</v>
          </cell>
          <cell r="I66">
            <v>13200.000000000002</v>
          </cell>
          <cell r="J66">
            <v>16500</v>
          </cell>
          <cell r="M66">
            <v>4400</v>
          </cell>
          <cell r="P66">
            <v>4400</v>
          </cell>
          <cell r="R66">
            <v>2750</v>
          </cell>
          <cell r="S66">
            <v>12100.000000000002</v>
          </cell>
          <cell r="AM66" t="str">
            <v>anh Phuù</v>
          </cell>
          <cell r="AN66" t="str">
            <v>0903 713836</v>
          </cell>
          <cell r="AO66" t="str">
            <v>MO</v>
          </cell>
        </row>
        <row r="67">
          <cell r="A67" t="str">
            <v>TSK-S</v>
          </cell>
          <cell r="B67">
            <v>62</v>
          </cell>
          <cell r="C67" t="str">
            <v>Tia Saùng Khoeû</v>
          </cell>
          <cell r="D67" t="str">
            <v>Cty TNHH Saùch Vieät</v>
          </cell>
          <cell r="E67" t="str">
            <v>SACH VIET- TIA SANG KHOE</v>
          </cell>
          <cell r="F67">
            <v>6600.0000000000009</v>
          </cell>
          <cell r="G67">
            <v>10000</v>
          </cell>
          <cell r="H67">
            <v>13200.000000000002</v>
          </cell>
          <cell r="I67">
            <v>6000</v>
          </cell>
          <cell r="J67">
            <v>16500</v>
          </cell>
          <cell r="M67">
            <v>4400</v>
          </cell>
          <cell r="P67">
            <v>4400</v>
          </cell>
          <cell r="R67">
            <v>2750</v>
          </cell>
          <cell r="S67">
            <v>12100.000000000002</v>
          </cell>
          <cell r="X67">
            <v>0.15</v>
          </cell>
          <cell r="Z67">
            <v>0.15</v>
          </cell>
          <cell r="AB67">
            <v>0.15</v>
          </cell>
          <cell r="AD67">
            <v>0.15</v>
          </cell>
          <cell r="AF67">
            <v>0.15</v>
          </cell>
          <cell r="AH67">
            <v>0.15</v>
          </cell>
          <cell r="AJ67" t="str">
            <v>845 0598</v>
          </cell>
          <cell r="AL67" t="str">
            <v>185 Nguyeãn Ñình Chính, Phuù Nhuaän</v>
          </cell>
          <cell r="AM67" t="str">
            <v>anh Phuù</v>
          </cell>
          <cell r="AN67" t="str">
            <v>0903 713836</v>
          </cell>
          <cell r="AO67" t="str">
            <v>MO</v>
          </cell>
          <cell r="AP67" t="str">
            <v>030 239 7312</v>
          </cell>
        </row>
        <row r="68">
          <cell r="A68" t="str">
            <v>DDDN</v>
          </cell>
          <cell r="B68">
            <v>63</v>
          </cell>
          <cell r="C68" t="str">
            <v>Dieãn Ñaøn Doanh Nghieäp</v>
          </cell>
          <cell r="E68" t="str">
            <v>DIEN DAN DOANH NGHIEP</v>
          </cell>
          <cell r="F68">
            <v>10000</v>
          </cell>
          <cell r="J68">
            <v>12000</v>
          </cell>
          <cell r="M68">
            <v>6000</v>
          </cell>
          <cell r="N68">
            <v>6000</v>
          </cell>
          <cell r="P68">
            <v>5000</v>
          </cell>
          <cell r="R68">
            <v>3000</v>
          </cell>
          <cell r="T68">
            <v>6000</v>
          </cell>
          <cell r="AJ68">
            <v>9321702</v>
          </cell>
          <cell r="AK68">
            <v>9321704</v>
          </cell>
          <cell r="AL68" t="str">
            <v>171 Voõ Thò Saùu, P.7, Q.3, Tp. HCM</v>
          </cell>
          <cell r="AM68" t="str">
            <v>chò Phan</v>
          </cell>
          <cell r="AN68" t="str">
            <v>0903 973146</v>
          </cell>
          <cell r="AO68" t="str">
            <v>MO</v>
          </cell>
          <cell r="AP68" t="str">
            <v>01 001 483911</v>
          </cell>
        </row>
        <row r="69">
          <cell r="A69" t="str">
            <v>DM</v>
          </cell>
          <cell r="B69">
            <v>64</v>
          </cell>
          <cell r="C69" t="str">
            <v>Baùo aûnh Ñaát Muõi</v>
          </cell>
          <cell r="D69" t="str">
            <v>Baùo aûnh Ñaát Muõi</v>
          </cell>
          <cell r="E69" t="str">
            <v>DAT MUI</v>
          </cell>
          <cell r="F69">
            <v>17500</v>
          </cell>
          <cell r="H69">
            <v>22000</v>
          </cell>
          <cell r="I69">
            <v>22000</v>
          </cell>
          <cell r="J69">
            <v>26000</v>
          </cell>
          <cell r="M69">
            <v>10000</v>
          </cell>
          <cell r="P69">
            <v>10000</v>
          </cell>
          <cell r="X69">
            <v>0.2</v>
          </cell>
          <cell r="Z69">
            <v>0.2</v>
          </cell>
          <cell r="AB69">
            <v>0.2</v>
          </cell>
          <cell r="AD69">
            <v>0.2</v>
          </cell>
          <cell r="AF69">
            <v>0.2</v>
          </cell>
          <cell r="AJ69" t="str">
            <v>857 8163</v>
          </cell>
          <cell r="AK69" t="str">
            <v>853 8500</v>
          </cell>
          <cell r="AL69" t="str">
            <v>161 Nguyeãn Tri Phöông, p.8, q.5, HCM</v>
          </cell>
          <cell r="AM69" t="str">
            <v>chò Anh Thö</v>
          </cell>
          <cell r="AN69" t="str">
            <v>0903 713688</v>
          </cell>
          <cell r="AO69" t="str">
            <v>MO</v>
          </cell>
        </row>
        <row r="70">
          <cell r="A70" t="str">
            <v>DT</v>
          </cell>
          <cell r="B70">
            <v>65</v>
          </cell>
          <cell r="C70" t="str">
            <v>Baùo Ñaàu Tö</v>
          </cell>
          <cell r="D70" t="str">
            <v>Baùo Ñaàu Tö</v>
          </cell>
          <cell r="E70" t="str">
            <v>DAU TU</v>
          </cell>
          <cell r="F70">
            <v>19800</v>
          </cell>
          <cell r="M70">
            <v>11550.000000000002</v>
          </cell>
          <cell r="P70">
            <v>11550.000000000002</v>
          </cell>
          <cell r="R70">
            <v>6050.0000000000009</v>
          </cell>
          <cell r="T70">
            <v>15400.000000000002</v>
          </cell>
          <cell r="AJ70" t="str">
            <v>823 8325</v>
          </cell>
          <cell r="AK70" t="str">
            <v>823 8323</v>
          </cell>
          <cell r="AL70" t="str">
            <v>2A-7A Ton Duc Thang, lau 12, Q.1</v>
          </cell>
          <cell r="AM70" t="str">
            <v>chò Huyeàn</v>
          </cell>
          <cell r="AO70" t="str">
            <v>MO</v>
          </cell>
        </row>
        <row r="71">
          <cell r="A71" t="str">
            <v>GDTE</v>
          </cell>
          <cell r="B71">
            <v>66</v>
          </cell>
          <cell r="C71" t="str">
            <v>Gia Ñình &amp; Treû Em</v>
          </cell>
          <cell r="D71" t="str">
            <v>Taïp chí Gia Ñình &amp; Treû Em</v>
          </cell>
          <cell r="E71" t="str">
            <v>GIA DINH &amp; TRE EM</v>
          </cell>
          <cell r="X71">
            <v>0.15</v>
          </cell>
          <cell r="Z71">
            <v>0.15</v>
          </cell>
          <cell r="AB71">
            <v>0.15</v>
          </cell>
          <cell r="AD71">
            <v>0.15</v>
          </cell>
          <cell r="AF71">
            <v>0.15</v>
          </cell>
          <cell r="AJ71" t="str">
            <v>04 8463263</v>
          </cell>
          <cell r="AL71" t="str">
            <v>12 Ngoâ Taát Toá, Ñoáng Ña, HN</v>
          </cell>
          <cell r="AM71" t="str">
            <v>chò Sao Chi</v>
          </cell>
          <cell r="AO71" t="str">
            <v>MO</v>
          </cell>
        </row>
        <row r="72">
          <cell r="A72" t="str">
            <v>HER</v>
          </cell>
          <cell r="B72">
            <v>67</v>
          </cell>
          <cell r="C72" t="str">
            <v>Heritage</v>
          </cell>
          <cell r="E72" t="str">
            <v>HERITAGE</v>
          </cell>
          <cell r="F72">
            <v>5060</v>
          </cell>
          <cell r="H72">
            <v>7700.0000000000009</v>
          </cell>
          <cell r="I72">
            <v>7700.0000000000009</v>
          </cell>
          <cell r="J72">
            <v>9460</v>
          </cell>
          <cell r="P72">
            <v>3036.0000000000005</v>
          </cell>
          <cell r="R72">
            <v>1694.0000000000002</v>
          </cell>
          <cell r="X72">
            <v>0.15</v>
          </cell>
          <cell r="Z72">
            <v>0.15</v>
          </cell>
          <cell r="AB72">
            <v>0.15</v>
          </cell>
          <cell r="AD72">
            <v>0.15</v>
          </cell>
          <cell r="AF72">
            <v>0.15</v>
          </cell>
          <cell r="AJ72" t="str">
            <v>811 8706 (Ext: 309)</v>
          </cell>
          <cell r="AK72" t="str">
            <v>811 7408</v>
          </cell>
          <cell r="AL72" t="str">
            <v>1/1 Hoang Viet- HCM</v>
          </cell>
          <cell r="AM72" t="str">
            <v>chò Mai Phöông</v>
          </cell>
          <cell r="AN72" t="str">
            <v>0903 813040</v>
          </cell>
          <cell r="AO72" t="str">
            <v>MO</v>
          </cell>
        </row>
        <row r="73">
          <cell r="A73" t="str">
            <v>HERF</v>
          </cell>
          <cell r="B73">
            <v>68</v>
          </cell>
          <cell r="C73" t="str">
            <v>Heritage Fashion</v>
          </cell>
          <cell r="E73" t="str">
            <v>HERITAGE FASHION</v>
          </cell>
          <cell r="F73">
            <v>4953.3</v>
          </cell>
          <cell r="H73">
            <v>8192.8000000000011</v>
          </cell>
          <cell r="I73">
            <v>7538.3</v>
          </cell>
          <cell r="J73">
            <v>9308.2000000000007</v>
          </cell>
          <cell r="P73">
            <v>2972.2000000000003</v>
          </cell>
          <cell r="R73">
            <v>1658.8000000000002</v>
          </cell>
          <cell r="S73">
            <v>8615.2000000000007</v>
          </cell>
          <cell r="X73">
            <v>0.1</v>
          </cell>
          <cell r="Y73">
            <v>0.05</v>
          </cell>
          <cell r="Z73">
            <v>0.1</v>
          </cell>
          <cell r="AA73">
            <v>0.05</v>
          </cell>
          <cell r="AB73">
            <v>0.1</v>
          </cell>
          <cell r="AC73">
            <v>0.05</v>
          </cell>
          <cell r="AD73">
            <v>0.1</v>
          </cell>
          <cell r="AE73">
            <v>0.05</v>
          </cell>
          <cell r="AF73">
            <v>0.1</v>
          </cell>
          <cell r="AG73">
            <v>0.05</v>
          </cell>
          <cell r="AL73" t="str">
            <v>146AB Pasteur, Q.1, Tp. HCM (2nd floor)</v>
          </cell>
          <cell r="AM73" t="str">
            <v>chò Minh Trang</v>
          </cell>
          <cell r="AO73" t="str">
            <v>MO</v>
          </cell>
        </row>
        <row r="74">
          <cell r="A74" t="str">
            <v>HNMNN</v>
          </cell>
          <cell r="B74">
            <v>69</v>
          </cell>
          <cell r="C74" t="str">
            <v>Hanoi Môùi</v>
          </cell>
          <cell r="D74" t="str">
            <v>Baùo Haø Noäi Môùi</v>
          </cell>
          <cell r="E74" t="str">
            <v>HANOI MOI</v>
          </cell>
          <cell r="M74">
            <v>24000</v>
          </cell>
          <cell r="P74">
            <v>13000</v>
          </cell>
          <cell r="Q74">
            <v>6500</v>
          </cell>
          <cell r="R74">
            <v>8000</v>
          </cell>
          <cell r="T74">
            <v>20000</v>
          </cell>
          <cell r="X74">
            <v>0.03</v>
          </cell>
          <cell r="Z74">
            <v>0.03</v>
          </cell>
          <cell r="AB74">
            <v>0.03</v>
          </cell>
          <cell r="AD74">
            <v>0.03</v>
          </cell>
          <cell r="AF74">
            <v>0.03</v>
          </cell>
          <cell r="AJ74" t="str">
            <v>04 828 7335</v>
          </cell>
          <cell r="AK74" t="str">
            <v>04 828 7327</v>
          </cell>
          <cell r="AL74" t="str">
            <v>44 Leâ Thaùi Toå- HN</v>
          </cell>
          <cell r="AM74" t="str">
            <v>chò Lan Höông</v>
          </cell>
          <cell r="AO74" t="str">
            <v>MO</v>
          </cell>
          <cell r="AP74" t="str">
            <v>010 011 0486- 1</v>
          </cell>
        </row>
        <row r="75">
          <cell r="A75" t="str">
            <v>HNM</v>
          </cell>
          <cell r="B75">
            <v>70</v>
          </cell>
          <cell r="C75" t="str">
            <v>Hanoi Môùi</v>
          </cell>
          <cell r="D75" t="str">
            <v>Baùo Haø Noäi Môùi</v>
          </cell>
          <cell r="E75" t="str">
            <v>HANOI MOI</v>
          </cell>
          <cell r="F75">
            <v>24000</v>
          </cell>
          <cell r="M75">
            <v>16000</v>
          </cell>
          <cell r="P75">
            <v>13000</v>
          </cell>
          <cell r="Q75">
            <v>6500</v>
          </cell>
          <cell r="R75">
            <v>8000</v>
          </cell>
          <cell r="T75">
            <v>20000</v>
          </cell>
          <cell r="X75">
            <v>0.03</v>
          </cell>
          <cell r="Z75">
            <v>0.03</v>
          </cell>
          <cell r="AB75">
            <v>0.03</v>
          </cell>
          <cell r="AD75">
            <v>0.03</v>
          </cell>
          <cell r="AF75">
            <v>0.03</v>
          </cell>
          <cell r="AJ75" t="str">
            <v>04 828 7335 (ext: 121)</v>
          </cell>
          <cell r="AK75" t="str">
            <v>04 828 7327</v>
          </cell>
          <cell r="AL75" t="str">
            <v>44 Leâ Thaùi Toå- HN</v>
          </cell>
          <cell r="AM75" t="str">
            <v>chò Lan Höông</v>
          </cell>
          <cell r="AO75" t="str">
            <v>MO</v>
          </cell>
          <cell r="AP75" t="str">
            <v>010 011 0486- 1</v>
          </cell>
        </row>
        <row r="76">
          <cell r="A76" t="str">
            <v>HTV</v>
          </cell>
          <cell r="B76">
            <v>71</v>
          </cell>
          <cell r="C76" t="str">
            <v>Baûn Tin HTV</v>
          </cell>
          <cell r="E76" t="str">
            <v>BAN TIN HTV</v>
          </cell>
          <cell r="F76">
            <v>8800</v>
          </cell>
          <cell r="H76">
            <v>11000</v>
          </cell>
          <cell r="I76">
            <v>11000</v>
          </cell>
          <cell r="J76">
            <v>13200.000000000002</v>
          </cell>
          <cell r="P76">
            <v>5500</v>
          </cell>
          <cell r="R76">
            <v>3300.0000000000005</v>
          </cell>
          <cell r="AO76" t="str">
            <v>MO</v>
          </cell>
        </row>
        <row r="77">
          <cell r="A77" t="str">
            <v>KTGD</v>
          </cell>
          <cell r="B77">
            <v>72</v>
          </cell>
          <cell r="C77" t="str">
            <v>KT Gia Ñình</v>
          </cell>
          <cell r="E77" t="str">
            <v>KT GIA DINH</v>
          </cell>
          <cell r="F77">
            <v>13200.000000000002</v>
          </cell>
          <cell r="H77">
            <v>16500</v>
          </cell>
          <cell r="I77">
            <v>16500</v>
          </cell>
          <cell r="J77">
            <v>19800</v>
          </cell>
          <cell r="M77">
            <v>7700.0000000000009</v>
          </cell>
          <cell r="P77">
            <v>6600.0000000000009</v>
          </cell>
          <cell r="R77">
            <v>3850.0000000000005</v>
          </cell>
          <cell r="S77">
            <v>25850.000000000004</v>
          </cell>
          <cell r="AO77" t="str">
            <v>MO</v>
          </cell>
        </row>
        <row r="78">
          <cell r="A78" t="str">
            <v>KTNN</v>
          </cell>
          <cell r="B78">
            <v>73</v>
          </cell>
          <cell r="C78" t="str">
            <v>Taïp chí Kieán Thöùc Ngaøy Nay</v>
          </cell>
          <cell r="D78" t="str">
            <v>Taïp chí Kieán Thöùc Ngaøy Nay</v>
          </cell>
          <cell r="E78" t="str">
            <v>KIEN THUC NGAY NAY</v>
          </cell>
          <cell r="F78">
            <v>8000</v>
          </cell>
          <cell r="H78">
            <v>12000</v>
          </cell>
          <cell r="I78">
            <v>10000</v>
          </cell>
          <cell r="X78">
            <v>0.15</v>
          </cell>
          <cell r="Z78">
            <v>0.15</v>
          </cell>
          <cell r="AB78">
            <v>0.15</v>
          </cell>
          <cell r="AD78">
            <v>0.15</v>
          </cell>
          <cell r="AF78">
            <v>0.15</v>
          </cell>
          <cell r="AJ78" t="str">
            <v>836 8361</v>
          </cell>
          <cell r="AK78" t="str">
            <v>836 8005</v>
          </cell>
          <cell r="AL78" t="str">
            <v>68 Tran Hung Dao, Q.1, Tp.HCM</v>
          </cell>
          <cell r="AM78" t="str">
            <v>anh Khanh</v>
          </cell>
          <cell r="AO78" t="str">
            <v>MO</v>
          </cell>
        </row>
        <row r="79">
          <cell r="A79" t="str">
            <v>LD</v>
          </cell>
          <cell r="B79">
            <v>74</v>
          </cell>
          <cell r="C79" t="str">
            <v>Baùo Lao Ñoäng</v>
          </cell>
          <cell r="D79" t="str">
            <v>Baùo Lao Ñoäng</v>
          </cell>
          <cell r="E79" t="str">
            <v>LAO DONG</v>
          </cell>
          <cell r="F79">
            <v>23100</v>
          </cell>
          <cell r="J79">
            <v>26400</v>
          </cell>
          <cell r="M79">
            <v>13860</v>
          </cell>
          <cell r="P79">
            <v>11550</v>
          </cell>
          <cell r="R79">
            <v>5775</v>
          </cell>
          <cell r="T79">
            <v>17600</v>
          </cell>
          <cell r="X79">
            <v>0.1</v>
          </cell>
          <cell r="Z79">
            <v>0.1</v>
          </cell>
          <cell r="AB79">
            <v>0.1</v>
          </cell>
          <cell r="AD79">
            <v>0.1</v>
          </cell>
          <cell r="AF79">
            <v>0.1</v>
          </cell>
          <cell r="AJ79" t="str">
            <v>04 8252 442</v>
          </cell>
          <cell r="AK79" t="str">
            <v>04 8 288 658</v>
          </cell>
          <cell r="AL79" t="str">
            <v>51 Hang Bo, HN</v>
          </cell>
          <cell r="AM79" t="str">
            <v>chò Quyønh Mai</v>
          </cell>
          <cell r="AN79" t="str">
            <v>0903 445060</v>
          </cell>
          <cell r="AO79" t="str">
            <v>MO</v>
          </cell>
        </row>
        <row r="80">
          <cell r="A80" t="str">
            <v>LDRP</v>
          </cell>
          <cell r="B80">
            <v>75</v>
          </cell>
          <cell r="C80" t="str">
            <v>Baùo Lao Ñoäng</v>
          </cell>
          <cell r="D80" t="str">
            <v>Baùo Lao Ñoäng</v>
          </cell>
          <cell r="E80" t="str">
            <v>LAO DONG</v>
          </cell>
          <cell r="F80">
            <v>27720</v>
          </cell>
          <cell r="J80">
            <v>31680</v>
          </cell>
          <cell r="M80">
            <v>16632</v>
          </cell>
          <cell r="P80">
            <v>13860</v>
          </cell>
          <cell r="R80">
            <v>6930</v>
          </cell>
          <cell r="T80">
            <v>21120</v>
          </cell>
          <cell r="X80">
            <v>0.1</v>
          </cell>
          <cell r="Z80">
            <v>0.1</v>
          </cell>
          <cell r="AB80">
            <v>0.1</v>
          </cell>
          <cell r="AD80">
            <v>0.1</v>
          </cell>
          <cell r="AF80">
            <v>0.1</v>
          </cell>
          <cell r="AJ80" t="str">
            <v>04 8252 442</v>
          </cell>
          <cell r="AK80" t="str">
            <v>04 8 288 658</v>
          </cell>
          <cell r="AL80" t="str">
            <v>51 Hang Bo, HN</v>
          </cell>
          <cell r="AM80" t="str">
            <v>chò Quyønh Mai</v>
          </cell>
          <cell r="AN80" t="str">
            <v>0903 445060</v>
          </cell>
          <cell r="AO80" t="str">
            <v>MO</v>
          </cell>
        </row>
        <row r="81">
          <cell r="A81" t="str">
            <v>MODE</v>
          </cell>
          <cell r="B81">
            <v>76</v>
          </cell>
          <cell r="C81" t="str">
            <v>Mot VN</v>
          </cell>
          <cell r="E81" t="str">
            <v>MOT VN</v>
          </cell>
          <cell r="F81">
            <v>8000</v>
          </cell>
          <cell r="H81">
            <v>10000</v>
          </cell>
          <cell r="I81">
            <v>9000</v>
          </cell>
          <cell r="J81">
            <v>12000</v>
          </cell>
          <cell r="P81">
            <v>4000</v>
          </cell>
          <cell r="X81">
            <v>0.15</v>
          </cell>
          <cell r="Z81">
            <v>0.15</v>
          </cell>
          <cell r="AB81">
            <v>0.15</v>
          </cell>
          <cell r="AD81">
            <v>0.15</v>
          </cell>
          <cell r="AF81">
            <v>0.15</v>
          </cell>
          <cell r="AO81" t="str">
            <v>MO</v>
          </cell>
        </row>
        <row r="82">
          <cell r="A82" t="str">
            <v>NC</v>
          </cell>
          <cell r="B82">
            <v>77</v>
          </cell>
          <cell r="C82" t="str">
            <v>Nhòp Caàu</v>
          </cell>
          <cell r="E82" t="str">
            <v>NHIP CAU</v>
          </cell>
          <cell r="F82">
            <v>17600</v>
          </cell>
          <cell r="H82">
            <v>19800</v>
          </cell>
          <cell r="I82">
            <v>19800</v>
          </cell>
          <cell r="J82">
            <v>30800.000000000004</v>
          </cell>
          <cell r="P82">
            <v>8800</v>
          </cell>
          <cell r="R82">
            <v>4400</v>
          </cell>
          <cell r="AO82" t="str">
            <v>MO</v>
          </cell>
        </row>
        <row r="83">
          <cell r="A83" t="str">
            <v>NHN</v>
          </cell>
          <cell r="B83">
            <v>78</v>
          </cell>
          <cell r="C83" t="str">
            <v>Ngöôøi HN cuoái tuaàn</v>
          </cell>
          <cell r="E83" t="str">
            <v>NGUOI HA NOI</v>
          </cell>
          <cell r="F83">
            <v>11000</v>
          </cell>
          <cell r="P83">
            <v>6600.0000000000009</v>
          </cell>
          <cell r="R83">
            <v>3300.0000000000005</v>
          </cell>
          <cell r="S83">
            <v>17600</v>
          </cell>
          <cell r="AO83" t="str">
            <v>MO</v>
          </cell>
        </row>
        <row r="84">
          <cell r="A84" t="str">
            <v>NLD</v>
          </cell>
          <cell r="B84">
            <v>79</v>
          </cell>
          <cell r="C84" t="str">
            <v>Baùo Ngöôøi Lao Ñoäng</v>
          </cell>
          <cell r="D84" t="str">
            <v>Baùo Ngöôøi Lao Ñoäng</v>
          </cell>
          <cell r="E84" t="str">
            <v>NGUOI LAO DONG</v>
          </cell>
          <cell r="F84">
            <v>14000</v>
          </cell>
          <cell r="M84">
            <v>8400</v>
          </cell>
          <cell r="P84">
            <v>7000</v>
          </cell>
          <cell r="R84">
            <v>3500</v>
          </cell>
          <cell r="T84">
            <v>9000</v>
          </cell>
          <cell r="X84">
            <v>0.15</v>
          </cell>
          <cell r="Z84">
            <v>0.15</v>
          </cell>
          <cell r="AB84">
            <v>0.15</v>
          </cell>
          <cell r="AD84">
            <v>0.15</v>
          </cell>
          <cell r="AF84">
            <v>0.15</v>
          </cell>
          <cell r="AJ84" t="str">
            <v>9306706- 9303574</v>
          </cell>
          <cell r="AK84" t="str">
            <v>830 4707</v>
          </cell>
          <cell r="AL84" t="str">
            <v>123-127 Vo Van Tan, Q.3, HCM</v>
          </cell>
          <cell r="AM84" t="str">
            <v>chò Dung</v>
          </cell>
          <cell r="AN84" t="str">
            <v>0903 777734</v>
          </cell>
          <cell r="AO84" t="str">
            <v>MO</v>
          </cell>
        </row>
        <row r="85">
          <cell r="A85" t="str">
            <v>PCV</v>
          </cell>
          <cell r="B85">
            <v>80</v>
          </cell>
          <cell r="C85" t="str">
            <v>Phong Cach Viet</v>
          </cell>
          <cell r="F85">
            <v>26400.000000000004</v>
          </cell>
          <cell r="H85">
            <v>38500</v>
          </cell>
          <cell r="I85">
            <v>38500</v>
          </cell>
          <cell r="J85">
            <v>38500</v>
          </cell>
          <cell r="AO85" t="str">
            <v>MO</v>
          </cell>
        </row>
        <row r="86">
          <cell r="A86" t="str">
            <v>PNTD</v>
          </cell>
          <cell r="B86">
            <v>81</v>
          </cell>
          <cell r="C86" t="str">
            <v>Baùo Phuï Nöõ Thuû Ñoâ</v>
          </cell>
          <cell r="E86" t="str">
            <v>PHU NU THU DO</v>
          </cell>
          <cell r="F86">
            <v>8800</v>
          </cell>
          <cell r="G86">
            <v>8800</v>
          </cell>
          <cell r="J86">
            <v>11000</v>
          </cell>
          <cell r="M86">
            <v>5500</v>
          </cell>
          <cell r="P86">
            <v>4400</v>
          </cell>
          <cell r="X86">
            <v>0.35</v>
          </cell>
          <cell r="Z86">
            <v>0.35</v>
          </cell>
          <cell r="AB86">
            <v>0.35</v>
          </cell>
          <cell r="AD86">
            <v>0.35</v>
          </cell>
          <cell r="AF86">
            <v>0.35</v>
          </cell>
          <cell r="AJ86" t="str">
            <v>04 9421865</v>
          </cell>
          <cell r="AK86" t="str">
            <v>04 8223898</v>
          </cell>
          <cell r="AL86" t="str">
            <v>72 Quan Su, Hnoi</v>
          </cell>
          <cell r="AM86" t="str">
            <v>chò Vaân Anh</v>
          </cell>
          <cell r="AN86" t="str">
            <v>0913 389177</v>
          </cell>
          <cell r="AO86" t="str">
            <v>MO</v>
          </cell>
          <cell r="AP86" t="str">
            <v>010 078 272- 1</v>
          </cell>
        </row>
        <row r="87">
          <cell r="A87" t="str">
            <v>SGDN</v>
          </cell>
          <cell r="B87">
            <v>82</v>
          </cell>
          <cell r="C87" t="str">
            <v>Sai Gon Doanh Nhan Cuoi Tuan</v>
          </cell>
          <cell r="E87" t="str">
            <v>SG DOANH NHAN CUOI TUAN</v>
          </cell>
          <cell r="F87">
            <v>18000</v>
          </cell>
          <cell r="H87">
            <v>20000</v>
          </cell>
          <cell r="I87">
            <v>20000</v>
          </cell>
          <cell r="J87">
            <v>22000</v>
          </cell>
          <cell r="M87">
            <v>12000</v>
          </cell>
          <cell r="P87">
            <v>10000</v>
          </cell>
          <cell r="R87">
            <v>5500</v>
          </cell>
          <cell r="S87">
            <v>35000</v>
          </cell>
          <cell r="X87">
            <v>0.4</v>
          </cell>
          <cell r="Z87">
            <v>0.4</v>
          </cell>
          <cell r="AB87">
            <v>0.4</v>
          </cell>
          <cell r="AD87">
            <v>0.4</v>
          </cell>
          <cell r="AF87">
            <v>0.4</v>
          </cell>
          <cell r="AO87" t="str">
            <v>MO</v>
          </cell>
        </row>
        <row r="88">
          <cell r="A88" t="str">
            <v>SGGP</v>
          </cell>
          <cell r="B88">
            <v>83</v>
          </cell>
          <cell r="C88" t="str">
            <v>Baùo Saøi Goøn Giaûi Phoùng</v>
          </cell>
          <cell r="D88" t="str">
            <v>Baùo Saøi Goøn Giaûi Phoùng</v>
          </cell>
          <cell r="E88" t="str">
            <v>SAI GON GIAI PHONG</v>
          </cell>
          <cell r="F88">
            <v>33000</v>
          </cell>
          <cell r="M88">
            <v>16500</v>
          </cell>
          <cell r="P88">
            <v>16500</v>
          </cell>
          <cell r="R88">
            <v>8500</v>
          </cell>
          <cell r="T88">
            <v>22000</v>
          </cell>
          <cell r="X88">
            <v>7.0000000000000007E-2</v>
          </cell>
          <cell r="Z88">
            <v>7.0000000000000007E-2</v>
          </cell>
          <cell r="AB88">
            <v>7.0000000000000007E-2</v>
          </cell>
          <cell r="AD88">
            <v>7.0000000000000007E-2</v>
          </cell>
          <cell r="AF88">
            <v>7.0000000000000007E-2</v>
          </cell>
          <cell r="AJ88" t="str">
            <v>833 4185</v>
          </cell>
          <cell r="AK88" t="str">
            <v>834 1062</v>
          </cell>
          <cell r="AL88" t="str">
            <v>432 NTMK, Q.3, HCM</v>
          </cell>
          <cell r="AM88" t="str">
            <v>anh Nam (K.Toaùn)</v>
          </cell>
          <cell r="AO88" t="str">
            <v>MO</v>
          </cell>
        </row>
        <row r="89">
          <cell r="A89" t="str">
            <v>STNT</v>
          </cell>
          <cell r="B89">
            <v>84</v>
          </cell>
          <cell r="C89" t="str">
            <v>Soå Tay Noäi Trôï</v>
          </cell>
          <cell r="E89" t="str">
            <v>SO TAY NOI TRO</v>
          </cell>
          <cell r="F89">
            <v>4400</v>
          </cell>
          <cell r="H89">
            <v>6600.0000000000009</v>
          </cell>
          <cell r="I89">
            <v>5500</v>
          </cell>
          <cell r="J89">
            <v>8800</v>
          </cell>
          <cell r="P89">
            <v>2200</v>
          </cell>
          <cell r="R89">
            <v>1650.0000000000002</v>
          </cell>
          <cell r="AO89" t="str">
            <v>MO</v>
          </cell>
        </row>
        <row r="90">
          <cell r="A90" t="str">
            <v>TGDA</v>
          </cell>
          <cell r="B90">
            <v>85</v>
          </cell>
          <cell r="C90" t="str">
            <v>Taïp chí Theá Giôùi Ñieän Aûnh</v>
          </cell>
          <cell r="D90" t="str">
            <v>Taïp chí Theá Giôùi Ñieän Aûnh</v>
          </cell>
          <cell r="E90" t="str">
            <v>THE GIOI DIEN ANH</v>
          </cell>
          <cell r="F90">
            <v>15000</v>
          </cell>
          <cell r="H90">
            <v>17500</v>
          </cell>
          <cell r="I90">
            <v>17500</v>
          </cell>
          <cell r="J90">
            <v>20500</v>
          </cell>
          <cell r="P90">
            <v>8000</v>
          </cell>
          <cell r="R90">
            <v>45000</v>
          </cell>
          <cell r="X90">
            <v>0.2</v>
          </cell>
          <cell r="Z90">
            <v>0.2</v>
          </cell>
          <cell r="AB90">
            <v>0.2</v>
          </cell>
          <cell r="AD90">
            <v>0.2</v>
          </cell>
          <cell r="AF90">
            <v>0.2</v>
          </cell>
          <cell r="AJ90" t="str">
            <v>857 8163</v>
          </cell>
          <cell r="AK90" t="str">
            <v>853 8500</v>
          </cell>
          <cell r="AL90" t="str">
            <v>161 Nguyeãn Tri Phöông, p.8, q.5, HCM</v>
          </cell>
          <cell r="AM90" t="str">
            <v>chò Anh Thö</v>
          </cell>
          <cell r="AN90" t="str">
            <v>0903 713688</v>
          </cell>
          <cell r="AO90" t="str">
            <v>MO</v>
          </cell>
        </row>
        <row r="91">
          <cell r="A91" t="str">
            <v>THDS</v>
          </cell>
          <cell r="B91">
            <v>86</v>
          </cell>
          <cell r="C91" t="str">
            <v>Taïp chí Tin hoïc &amp; Ñôøi soáng</v>
          </cell>
          <cell r="E91" t="str">
            <v>TIN HOC DOI SONG</v>
          </cell>
          <cell r="F91">
            <v>5000</v>
          </cell>
          <cell r="H91">
            <v>7000</v>
          </cell>
          <cell r="I91">
            <v>7000</v>
          </cell>
          <cell r="J91">
            <v>9000</v>
          </cell>
          <cell r="M91">
            <v>3000</v>
          </cell>
          <cell r="P91">
            <v>3000</v>
          </cell>
          <cell r="R91">
            <v>1500</v>
          </cell>
          <cell r="X91">
            <v>0.15</v>
          </cell>
          <cell r="Z91">
            <v>0.15</v>
          </cell>
          <cell r="AB91">
            <v>0.15</v>
          </cell>
          <cell r="AD91">
            <v>0.15</v>
          </cell>
          <cell r="AF91">
            <v>0.15</v>
          </cell>
          <cell r="AJ91" t="str">
            <v>930 2154</v>
          </cell>
          <cell r="AK91" t="str">
            <v>930 4155</v>
          </cell>
          <cell r="AL91" t="str">
            <v>270 Nguyeãn Ñình Chieåu</v>
          </cell>
          <cell r="AM91" t="str">
            <v>anh Laâm</v>
          </cell>
          <cell r="AN91" t="str">
            <v>0903 631051</v>
          </cell>
          <cell r="AO91" t="str">
            <v>MO</v>
          </cell>
        </row>
        <row r="92">
          <cell r="A92" t="str">
            <v>TM</v>
          </cell>
          <cell r="B92">
            <v>87</v>
          </cell>
          <cell r="C92" t="str">
            <v>Thöông Maïi</v>
          </cell>
          <cell r="E92" t="str">
            <v>THUONG MAI</v>
          </cell>
          <cell r="F92">
            <v>6000</v>
          </cell>
          <cell r="H92">
            <v>7500</v>
          </cell>
          <cell r="I92">
            <v>7000</v>
          </cell>
          <cell r="J92">
            <v>9000</v>
          </cell>
          <cell r="P92">
            <v>3500</v>
          </cell>
          <cell r="AO92" t="str">
            <v>MO</v>
          </cell>
        </row>
        <row r="93">
          <cell r="A93" t="str">
            <v>TN</v>
          </cell>
          <cell r="B93">
            <v>88</v>
          </cell>
          <cell r="C93" t="str">
            <v>Baùo Thanh Nieân</v>
          </cell>
          <cell r="D93" t="str">
            <v>Baùo Thanh Nieân</v>
          </cell>
          <cell r="E93" t="str">
            <v>THANH NIEN</v>
          </cell>
          <cell r="F93">
            <v>26000</v>
          </cell>
          <cell r="M93">
            <v>13000</v>
          </cell>
          <cell r="P93">
            <v>13000</v>
          </cell>
          <cell r="R93">
            <v>6500</v>
          </cell>
          <cell r="T93">
            <v>22000</v>
          </cell>
          <cell r="X93">
            <v>0.1</v>
          </cell>
          <cell r="Z93">
            <v>0.1</v>
          </cell>
          <cell r="AB93">
            <v>0.1</v>
          </cell>
          <cell r="AD93">
            <v>0.1</v>
          </cell>
          <cell r="AF93">
            <v>0.1</v>
          </cell>
          <cell r="AJ93" t="str">
            <v>8322 026</v>
          </cell>
          <cell r="AK93" t="str">
            <v>8322 025</v>
          </cell>
          <cell r="AL93" t="str">
            <v>248 Coáng Quyønh, Q.1, HCM</v>
          </cell>
          <cell r="AM93" t="str">
            <v>anh Tuù</v>
          </cell>
          <cell r="AN93" t="str">
            <v>0903 801266</v>
          </cell>
          <cell r="AO93" t="str">
            <v>MO</v>
          </cell>
          <cell r="AP93" t="str">
            <v>030 122 1524- 1</v>
          </cell>
        </row>
        <row r="94">
          <cell r="A94" t="str">
            <v>TNTP</v>
          </cell>
          <cell r="B94">
            <v>89</v>
          </cell>
          <cell r="C94" t="str">
            <v>Baùo Thieáu Nieân Tieàn Phong</v>
          </cell>
          <cell r="E94" t="str">
            <v>THIEU NIEN TIEN PHONG</v>
          </cell>
          <cell r="F94">
            <v>1500</v>
          </cell>
          <cell r="H94">
            <v>4000</v>
          </cell>
          <cell r="I94">
            <v>4000</v>
          </cell>
          <cell r="J94">
            <v>6000</v>
          </cell>
          <cell r="P94">
            <v>750</v>
          </cell>
          <cell r="R94">
            <v>400</v>
          </cell>
          <cell r="AJ94" t="str">
            <v>830 6884</v>
          </cell>
          <cell r="AK94" t="str">
            <v>839 2563</v>
          </cell>
          <cell r="AL94" t="str">
            <v>1 Cao Thang, Q.3, Tp. HCM</v>
          </cell>
          <cell r="AM94" t="str">
            <v>chò Höông</v>
          </cell>
          <cell r="AO94" t="str">
            <v>MO</v>
          </cell>
        </row>
        <row r="95">
          <cell r="A95" t="str">
            <v>TSK</v>
          </cell>
          <cell r="B95">
            <v>90</v>
          </cell>
          <cell r="C95" t="str">
            <v>Taïp chí Thuoác &amp; Söùc Khoeû</v>
          </cell>
          <cell r="D95" t="str">
            <v>Taïp chí Thuoác &amp; Söùc Khoeû</v>
          </cell>
          <cell r="E95" t="str">
            <v>THUOC &amp; SUC KHOE</v>
          </cell>
          <cell r="F95">
            <v>6000</v>
          </cell>
          <cell r="H95">
            <v>8000</v>
          </cell>
          <cell r="I95">
            <v>8000</v>
          </cell>
          <cell r="J95">
            <v>14000</v>
          </cell>
          <cell r="P95">
            <v>3000</v>
          </cell>
          <cell r="R95">
            <v>2000</v>
          </cell>
          <cell r="X95">
            <v>0.15</v>
          </cell>
          <cell r="Z95">
            <v>0.15</v>
          </cell>
          <cell r="AB95">
            <v>0.15</v>
          </cell>
          <cell r="AD95">
            <v>0.15</v>
          </cell>
          <cell r="AF95">
            <v>0.15</v>
          </cell>
          <cell r="AO95" t="str">
            <v>MO</v>
          </cell>
        </row>
        <row r="96">
          <cell r="A96" t="str">
            <v>TTT</v>
          </cell>
          <cell r="B96">
            <v>91</v>
          </cell>
          <cell r="C96" t="str">
            <v>Taïp chí Thôøi Trang Treû</v>
          </cell>
          <cell r="D96" t="str">
            <v>Taïp chí Thôøi Trang Treû</v>
          </cell>
          <cell r="E96" t="str">
            <v>THOI TRANG TRE</v>
          </cell>
          <cell r="F96">
            <v>27500.000000000004</v>
          </cell>
          <cell r="H96">
            <v>37400</v>
          </cell>
          <cell r="I96">
            <v>35750</v>
          </cell>
          <cell r="J96">
            <v>41800</v>
          </cell>
          <cell r="M96">
            <v>16500</v>
          </cell>
          <cell r="P96">
            <v>16500</v>
          </cell>
          <cell r="R96">
            <v>9900</v>
          </cell>
          <cell r="S96">
            <v>46750.000000000007</v>
          </cell>
          <cell r="T96">
            <v>28000</v>
          </cell>
          <cell r="X96">
            <v>0.15</v>
          </cell>
          <cell r="Y96">
            <v>0.15</v>
          </cell>
          <cell r="Z96">
            <v>0.15</v>
          </cell>
          <cell r="AA96">
            <v>0.22</v>
          </cell>
          <cell r="AF96">
            <v>0.15</v>
          </cell>
          <cell r="AG96">
            <v>0.1</v>
          </cell>
          <cell r="AJ96" t="str">
            <v>995 2646/ 995 2647</v>
          </cell>
          <cell r="AK96" t="str">
            <v>995 2645</v>
          </cell>
          <cell r="AL96" t="str">
            <v>8 Hoang Van Thu, P.8, Q. Phu Nhuan</v>
          </cell>
          <cell r="AM96" t="str">
            <v>chò Cô</v>
          </cell>
          <cell r="AO96" t="str">
            <v>MO</v>
          </cell>
          <cell r="AP96" t="str">
            <v>010 077 4568- 1</v>
          </cell>
        </row>
        <row r="97">
          <cell r="A97" t="str">
            <v>TTVN</v>
          </cell>
          <cell r="B97">
            <v>92</v>
          </cell>
          <cell r="C97" t="str">
            <v>Baùo Theå Thao VN</v>
          </cell>
          <cell r="D97" t="str">
            <v>Baùo Theå Thao VN</v>
          </cell>
          <cell r="E97" t="str">
            <v>THE THAO VN</v>
          </cell>
          <cell r="F97">
            <v>26400.000000000004</v>
          </cell>
          <cell r="M97">
            <v>15840.000000000002</v>
          </cell>
          <cell r="P97">
            <v>13200.000000000002</v>
          </cell>
          <cell r="T97">
            <v>13200.000000000002</v>
          </cell>
          <cell r="X97">
            <v>0.15</v>
          </cell>
          <cell r="Z97">
            <v>0.15</v>
          </cell>
          <cell r="AB97">
            <v>0.15</v>
          </cell>
          <cell r="AD97">
            <v>0.15</v>
          </cell>
          <cell r="AF97">
            <v>0.15</v>
          </cell>
          <cell r="AJ97" t="str">
            <v>910 2539</v>
          </cell>
          <cell r="AK97" t="str">
            <v>822 2143</v>
          </cell>
          <cell r="AL97" t="str">
            <v>48 Nguyeãn Dinh Chieu, Q.3, Tp.HCM</v>
          </cell>
          <cell r="AM97" t="str">
            <v>Chò Yeán</v>
          </cell>
          <cell r="AN97" t="str">
            <v>0903 735445</v>
          </cell>
          <cell r="AO97" t="str">
            <v>MO</v>
          </cell>
        </row>
        <row r="98">
          <cell r="A98" t="str">
            <v>TTHN</v>
          </cell>
          <cell r="B98">
            <v>93</v>
          </cell>
          <cell r="C98" t="str">
            <v>Baùo Theå Thao Haøng Ngaøy</v>
          </cell>
          <cell r="D98" t="str">
            <v>Baùo Theå Thao VN</v>
          </cell>
          <cell r="E98" t="str">
            <v>THE THAO VN- THE THAO HANG NGAY</v>
          </cell>
          <cell r="F98">
            <v>20000</v>
          </cell>
          <cell r="H98">
            <v>28000</v>
          </cell>
          <cell r="I98">
            <v>26000</v>
          </cell>
          <cell r="J98">
            <v>30000</v>
          </cell>
          <cell r="M98">
            <v>14400</v>
          </cell>
          <cell r="N98">
            <v>10500</v>
          </cell>
          <cell r="O98">
            <v>10500</v>
          </cell>
          <cell r="P98">
            <v>10500</v>
          </cell>
          <cell r="Q98">
            <v>5500</v>
          </cell>
          <cell r="R98">
            <v>5500</v>
          </cell>
          <cell r="S98">
            <v>36000</v>
          </cell>
          <cell r="T98">
            <v>13200.000000000002</v>
          </cell>
          <cell r="X98">
            <v>0.15</v>
          </cell>
          <cell r="Z98">
            <v>0.15</v>
          </cell>
          <cell r="AB98">
            <v>0.15</v>
          </cell>
          <cell r="AD98">
            <v>0.15</v>
          </cell>
          <cell r="AF98">
            <v>0.15</v>
          </cell>
          <cell r="AJ98" t="str">
            <v>910 2539</v>
          </cell>
          <cell r="AK98" t="str">
            <v>822 2143</v>
          </cell>
          <cell r="AL98" t="str">
            <v>48 Nguyeãn Dinh Chieu, Q.3, Tp.HCM</v>
          </cell>
          <cell r="AM98" t="str">
            <v>Chò Yeán</v>
          </cell>
          <cell r="AN98" t="str">
            <v>0903 735445</v>
          </cell>
          <cell r="AO98" t="str">
            <v>MO</v>
          </cell>
        </row>
        <row r="99">
          <cell r="A99" t="str">
            <v>PNTT</v>
          </cell>
          <cell r="B99">
            <v>94</v>
          </cell>
          <cell r="C99" t="str">
            <v>Taïp chí Phuï Nöõ &amp; Theå Thao</v>
          </cell>
          <cell r="D99" t="str">
            <v>Baùo Theå Thao VN</v>
          </cell>
          <cell r="E99" t="str">
            <v>THE THAO VN- PHU NU &amp; THE THAO</v>
          </cell>
          <cell r="F99">
            <v>26400.000000000004</v>
          </cell>
          <cell r="M99">
            <v>15840.000000000002</v>
          </cell>
          <cell r="P99">
            <v>13200.000000000002</v>
          </cell>
          <cell r="T99">
            <v>13200.000000000002</v>
          </cell>
          <cell r="X99">
            <v>0.15</v>
          </cell>
          <cell r="Z99">
            <v>0.15</v>
          </cell>
          <cell r="AB99">
            <v>0.15</v>
          </cell>
          <cell r="AD99">
            <v>0.15</v>
          </cell>
          <cell r="AF99">
            <v>0.15</v>
          </cell>
          <cell r="AJ99" t="str">
            <v>910 2539</v>
          </cell>
          <cell r="AK99" t="str">
            <v>822 2143</v>
          </cell>
          <cell r="AL99" t="str">
            <v>48 Nguyeãn Dinh Chieu, Q.3, Tp.HCM</v>
          </cell>
          <cell r="AM99" t="str">
            <v>Chò Yeán</v>
          </cell>
          <cell r="AN99" t="str">
            <v>0903 735445</v>
          </cell>
          <cell r="AO99" t="str">
            <v>MO</v>
          </cell>
        </row>
        <row r="100">
          <cell r="A100" t="str">
            <v>TTVN</v>
          </cell>
          <cell r="B100">
            <v>95</v>
          </cell>
          <cell r="C100" t="str">
            <v>Tieáp Thò VN</v>
          </cell>
          <cell r="E100" t="str">
            <v>TIEP THI VN</v>
          </cell>
          <cell r="F100">
            <v>13200.000000000002</v>
          </cell>
          <cell r="H100">
            <v>14300.000000000002</v>
          </cell>
          <cell r="I100">
            <v>14300.000000000002</v>
          </cell>
          <cell r="J100">
            <v>16500</v>
          </cell>
          <cell r="M100">
            <v>7260.0000000000009</v>
          </cell>
          <cell r="P100">
            <v>7260.0000000000009</v>
          </cell>
          <cell r="R100">
            <v>3850.0000000000005</v>
          </cell>
          <cell r="S100">
            <v>25850.000000000004</v>
          </cell>
          <cell r="AO100" t="str">
            <v>MO</v>
          </cell>
        </row>
        <row r="101">
          <cell r="A101" t="str">
            <v>VEN</v>
          </cell>
          <cell r="B101">
            <v>96</v>
          </cell>
          <cell r="C101" t="str">
            <v>Vietnam Economic News</v>
          </cell>
          <cell r="E101" t="str">
            <v>VIETNAM ECONOMICS NEWS</v>
          </cell>
          <cell r="F101">
            <v>5500</v>
          </cell>
          <cell r="H101">
            <v>9900</v>
          </cell>
          <cell r="I101">
            <v>8800</v>
          </cell>
          <cell r="J101">
            <v>11000</v>
          </cell>
          <cell r="M101">
            <v>2750</v>
          </cell>
          <cell r="P101">
            <v>2750</v>
          </cell>
          <cell r="AO101" t="str">
            <v>MO</v>
          </cell>
        </row>
        <row r="102">
          <cell r="A102" t="str">
            <v>VET</v>
          </cell>
          <cell r="B102">
            <v>97</v>
          </cell>
          <cell r="C102" t="str">
            <v>Vietnam Economic Times</v>
          </cell>
          <cell r="E102" t="str">
            <v>VIETNAM ECONOMICS TIMES</v>
          </cell>
          <cell r="F102" t="str">
            <v>3465USD</v>
          </cell>
          <cell r="J102" t="str">
            <v>4675USD</v>
          </cell>
          <cell r="P102" t="str">
            <v>2090USD</v>
          </cell>
          <cell r="R102" t="str">
            <v>1265USD</v>
          </cell>
          <cell r="S102" t="str">
            <v>5885USD</v>
          </cell>
          <cell r="X102">
            <v>0.15</v>
          </cell>
          <cell r="Z102">
            <v>0.15</v>
          </cell>
          <cell r="AB102">
            <v>0.15</v>
          </cell>
          <cell r="AD102">
            <v>0.15</v>
          </cell>
          <cell r="AF102">
            <v>0.15</v>
          </cell>
          <cell r="AO102" t="str">
            <v>MO</v>
          </cell>
        </row>
        <row r="103">
          <cell r="A103" t="str">
            <v>VIR</v>
          </cell>
          <cell r="B103">
            <v>98</v>
          </cell>
          <cell r="C103" t="str">
            <v>Vietnam Investment Review</v>
          </cell>
          <cell r="D103" t="str">
            <v>Baùo Ñaàu Tö</v>
          </cell>
          <cell r="E103" t="str">
            <v>DAU TU- VIR</v>
          </cell>
          <cell r="F103">
            <v>3245.0000000000005</v>
          </cell>
          <cell r="M103">
            <v>1925.0000000000002</v>
          </cell>
          <cell r="P103">
            <v>1925.0000000000002</v>
          </cell>
          <cell r="R103">
            <v>1045</v>
          </cell>
          <cell r="T103">
            <v>2145</v>
          </cell>
          <cell r="X103">
            <v>0.5</v>
          </cell>
          <cell r="Y103">
            <v>0.15</v>
          </cell>
          <cell r="Z103">
            <v>0.5</v>
          </cell>
          <cell r="AA103">
            <v>0.15</v>
          </cell>
          <cell r="AB103">
            <v>0.5</v>
          </cell>
          <cell r="AC103">
            <v>0.15</v>
          </cell>
          <cell r="AD103">
            <v>0.5</v>
          </cell>
          <cell r="AE103">
            <v>0.15</v>
          </cell>
          <cell r="AF103">
            <v>0.5</v>
          </cell>
          <cell r="AG103">
            <v>0.15</v>
          </cell>
          <cell r="AO103" t="str">
            <v>MO</v>
          </cell>
        </row>
        <row r="104">
          <cell r="A104" t="str">
            <v>VNN</v>
          </cell>
          <cell r="B104">
            <v>99</v>
          </cell>
          <cell r="C104" t="str">
            <v>Vietnam News</v>
          </cell>
          <cell r="D104" t="str">
            <v>Phoøng Ñaïi Dieän Vieät Nam News</v>
          </cell>
          <cell r="E104" t="str">
            <v>VIETNAM NEWS</v>
          </cell>
          <cell r="F104">
            <v>2000</v>
          </cell>
          <cell r="M104">
            <v>1000</v>
          </cell>
          <cell r="P104">
            <v>1000</v>
          </cell>
          <cell r="R104">
            <v>500</v>
          </cell>
          <cell r="T104">
            <v>730</v>
          </cell>
          <cell r="X104">
            <v>0.25</v>
          </cell>
          <cell r="Z104">
            <v>0.25</v>
          </cell>
          <cell r="AB104">
            <v>0.25</v>
          </cell>
          <cell r="AD104">
            <v>0.25</v>
          </cell>
          <cell r="AF104">
            <v>0.25</v>
          </cell>
          <cell r="AJ104" t="str">
            <v>930 3740</v>
          </cell>
          <cell r="AK104" t="str">
            <v>930 3408</v>
          </cell>
          <cell r="AM104" t="str">
            <v>Anh Tröïc</v>
          </cell>
          <cell r="AN104" t="str">
            <v>0903 927740</v>
          </cell>
          <cell r="AO104" t="str">
            <v>MO</v>
          </cell>
        </row>
        <row r="105">
          <cell r="A105" t="str">
            <v>VTV</v>
          </cell>
          <cell r="B105">
            <v>100</v>
          </cell>
          <cell r="C105" t="str">
            <v>Baûn tin VTV</v>
          </cell>
          <cell r="D105" t="str">
            <v>Taïp chí Truyeàn Hình</v>
          </cell>
          <cell r="E105" t="str">
            <v>BAN TIN VTV</v>
          </cell>
          <cell r="F105">
            <v>7000</v>
          </cell>
          <cell r="H105">
            <v>12000</v>
          </cell>
          <cell r="I105">
            <v>12000</v>
          </cell>
          <cell r="X105">
            <v>0.2</v>
          </cell>
          <cell r="Z105">
            <v>0.2</v>
          </cell>
          <cell r="AB105">
            <v>0.2</v>
          </cell>
          <cell r="AD105">
            <v>0.2</v>
          </cell>
          <cell r="AF105">
            <v>0.2</v>
          </cell>
          <cell r="AJ105" t="str">
            <v>04 7718267</v>
          </cell>
          <cell r="AK105" t="str">
            <v>04 7716433</v>
          </cell>
          <cell r="AM105" t="str">
            <v>Chò Nga</v>
          </cell>
          <cell r="AN105" t="str">
            <v>0903 261705</v>
          </cell>
          <cell r="AO105" t="str">
            <v>MO</v>
          </cell>
        </row>
        <row r="106">
          <cell r="A106" t="str">
            <v>HHT1-S</v>
          </cell>
          <cell r="B106">
            <v>101</v>
          </cell>
          <cell r="C106" t="str">
            <v>Hoa Hoïc Troø 1</v>
          </cell>
          <cell r="D106" t="str">
            <v>Cty QC- TM Cöôøng Phong</v>
          </cell>
          <cell r="E106" t="str">
            <v>CUONG PHONG- HOA HOC TRO 1</v>
          </cell>
          <cell r="AJ106" t="str">
            <v>04 7753512</v>
          </cell>
          <cell r="AL106" t="str">
            <v>16 Chuøa Laùng- Ñoáng Ña- Haø Noäi</v>
          </cell>
          <cell r="AM106" t="str">
            <v>anh Phong</v>
          </cell>
          <cell r="AN106" t="str">
            <v>0912 031122</v>
          </cell>
          <cell r="AO106" t="str">
            <v>MO</v>
          </cell>
          <cell r="AP106" t="str">
            <v>010 137 4971</v>
          </cell>
        </row>
        <row r="107">
          <cell r="A107" t="str">
            <v>HHT2-S</v>
          </cell>
          <cell r="B107">
            <v>102</v>
          </cell>
          <cell r="C107" t="str">
            <v>Hoa Hoïc Troø 2</v>
          </cell>
          <cell r="D107" t="str">
            <v>Cty QC- TM Cöôøng Phong</v>
          </cell>
          <cell r="E107" t="str">
            <v>CUONG PHONG- HOA HOC TRO 2</v>
          </cell>
          <cell r="AJ107" t="str">
            <v>04 7753512</v>
          </cell>
          <cell r="AL107" t="str">
            <v>16 Chuøa Laùng- Ñoáng Ña- Haø Noäi</v>
          </cell>
          <cell r="AM107" t="str">
            <v>anh Phong</v>
          </cell>
          <cell r="AN107" t="str">
            <v>0912 031122</v>
          </cell>
          <cell r="AO107" t="str">
            <v>MO</v>
          </cell>
          <cell r="AP107" t="str">
            <v>010 137 4971</v>
          </cell>
        </row>
        <row r="108">
          <cell r="B108">
            <v>103</v>
          </cell>
          <cell r="C108" t="str">
            <v>Nhi Dong</v>
          </cell>
          <cell r="E108" t="str">
            <v>NHI DONG</v>
          </cell>
          <cell r="F108">
            <v>6600.0000000000009</v>
          </cell>
          <cell r="I108">
            <v>8800</v>
          </cell>
          <cell r="M108">
            <v>3630.0000000000005</v>
          </cell>
          <cell r="P108">
            <v>3630.0000000000005</v>
          </cell>
        </row>
        <row r="109">
          <cell r="A109" t="str">
            <v>THDS-S</v>
          </cell>
          <cell r="B109">
            <v>104</v>
          </cell>
          <cell r="C109" t="str">
            <v>Taïp chí Tin hoïc &amp; Ñôøi soáng</v>
          </cell>
          <cell r="D109" t="str">
            <v>Cty TNHH Quaûng Caùo Theá Kyû Môùi</v>
          </cell>
          <cell r="E109" t="str">
            <v>THE KY MOI- TIN HOC &amp; DOI SONG</v>
          </cell>
          <cell r="AJ109" t="str">
            <v>04 5657394</v>
          </cell>
          <cell r="AK109" t="str">
            <v>04 5657397</v>
          </cell>
          <cell r="AL109" t="str">
            <v>282 Hoaøng Vaên Thaùi- Quaän Thanh Xuaân- HN</v>
          </cell>
          <cell r="AM109" t="str">
            <v>chò Thu Höông</v>
          </cell>
          <cell r="AO109" t="str">
            <v>MO</v>
          </cell>
        </row>
        <row r="110">
          <cell r="A110" t="str">
            <v>SGDN-S</v>
          </cell>
          <cell r="B110">
            <v>105</v>
          </cell>
          <cell r="C110" t="str">
            <v>Saigon Doanh Nhan</v>
          </cell>
          <cell r="D110" t="str">
            <v>Cty TNHH TM-DV Quaûng Caùo MY</v>
          </cell>
          <cell r="E110" t="str">
            <v xml:space="preserve">MY- SAIGON DOANH NHAN </v>
          </cell>
          <cell r="AJ110">
            <v>8238198</v>
          </cell>
          <cell r="AK110">
            <v>8238200</v>
          </cell>
          <cell r="AL110" t="str">
            <v>18 Ter Nguyeãn Thò Minh Khai, Q.1, Tp. HCM</v>
          </cell>
          <cell r="AM110" t="str">
            <v>chò Hieàn- Ext: 105</v>
          </cell>
          <cell r="AO110" t="str">
            <v>MO</v>
          </cell>
        </row>
        <row r="111">
          <cell r="A111" t="str">
            <v>BGD</v>
          </cell>
          <cell r="B111">
            <v>106</v>
          </cell>
          <cell r="C111" t="str">
            <v>Bep Gia Dinh</v>
          </cell>
          <cell r="D111" t="str">
            <v>Adnet Ltd</v>
          </cell>
          <cell r="E111" t="str">
            <v>ADNET- BEP GIA DINH</v>
          </cell>
          <cell r="AJ111" t="str">
            <v>04 5657394</v>
          </cell>
          <cell r="AK111" t="str">
            <v>04 5657397</v>
          </cell>
          <cell r="AL111" t="str">
            <v>282 Hoaøng Vaên Thaùi- Quaän Thanh Xuaân- HN</v>
          </cell>
          <cell r="AM111" t="str">
            <v>Chò Thu Höông</v>
          </cell>
          <cell r="AO111" t="str">
            <v>MO</v>
          </cell>
        </row>
        <row r="112">
          <cell r="A112" t="str">
            <v>VNEX</v>
          </cell>
          <cell r="B112">
            <v>107</v>
          </cell>
          <cell r="C112" t="str">
            <v>VnExpress</v>
          </cell>
          <cell r="D112" t="str">
            <v>Chi nhaùnh Truyeàn Thoâng Cty coå phaàn Phaùt Trieån Ñaàu Tö- Coâng ngheä FPT</v>
          </cell>
          <cell r="E112" t="str">
            <v>FPT- VNEXPRESS</v>
          </cell>
          <cell r="X112">
            <v>0.1</v>
          </cell>
          <cell r="Z112">
            <v>0.1</v>
          </cell>
          <cell r="AB112">
            <v>0.1</v>
          </cell>
          <cell r="AD112">
            <v>0.1</v>
          </cell>
          <cell r="AF112">
            <v>0.1</v>
          </cell>
          <cell r="AH112">
            <v>0.1</v>
          </cell>
          <cell r="AJ112">
            <v>9330360</v>
          </cell>
          <cell r="AK112">
            <v>9330362</v>
          </cell>
          <cell r="AL112" t="str">
            <v>68 Voõ Vaên Taàn, Q.3, Tp. HCM</v>
          </cell>
          <cell r="AM112" t="str">
            <v>chò Thu</v>
          </cell>
          <cell r="AO112" t="str">
            <v>MO</v>
          </cell>
          <cell r="AP112" t="str">
            <v>010 124 8141- 010</v>
          </cell>
        </row>
        <row r="113">
          <cell r="A113" t="str">
            <v>VHTT</v>
          </cell>
          <cell r="B113">
            <v>108</v>
          </cell>
          <cell r="C113" t="str">
            <v>taïp chí Thoâng Tin Vaên Hoaù</v>
          </cell>
          <cell r="D113" t="str">
            <v>Cty TNHH Hoa Maët Trôøi</v>
          </cell>
          <cell r="E113" t="str">
            <v>HOA MAT TROI- THONG TIN VAN HOA</v>
          </cell>
          <cell r="F113">
            <v>47300.000000000007</v>
          </cell>
          <cell r="G113">
            <v>56760</v>
          </cell>
          <cell r="H113">
            <v>59125.000000000007</v>
          </cell>
          <cell r="I113">
            <v>51975.000000000007</v>
          </cell>
          <cell r="J113">
            <v>70950</v>
          </cell>
          <cell r="M113">
            <v>26125.000000000004</v>
          </cell>
          <cell r="P113">
            <v>26125.000000000004</v>
          </cell>
          <cell r="R113">
            <v>14300.000000000002</v>
          </cell>
          <cell r="S113">
            <v>85250</v>
          </cell>
          <cell r="U113">
            <v>14142</v>
          </cell>
          <cell r="V113">
            <v>33000</v>
          </cell>
          <cell r="W113">
            <v>33000</v>
          </cell>
          <cell r="X113">
            <v>0.45</v>
          </cell>
          <cell r="Y113">
            <v>0.15</v>
          </cell>
          <cell r="Z113">
            <v>0.45</v>
          </cell>
          <cell r="AA113">
            <v>0.15</v>
          </cell>
          <cell r="AB113">
            <v>0.35</v>
          </cell>
          <cell r="AC113">
            <v>0.15</v>
          </cell>
          <cell r="AD113">
            <v>0.35</v>
          </cell>
          <cell r="AE113">
            <v>0.15</v>
          </cell>
          <cell r="AF113">
            <v>0.35</v>
          </cell>
          <cell r="AG113">
            <v>0.15</v>
          </cell>
          <cell r="AH113">
            <v>0.46</v>
          </cell>
          <cell r="AI113">
            <v>0.15</v>
          </cell>
          <cell r="AJ113" t="str">
            <v>823 2420</v>
          </cell>
          <cell r="AK113" t="str">
            <v>822 3053</v>
          </cell>
          <cell r="AL113" t="str">
            <v>259 Hai Ba Trung, Q.3, Tp.HCM</v>
          </cell>
          <cell r="AM113" t="str">
            <v>anh Truùc</v>
          </cell>
          <cell r="AN113">
            <v>8232420</v>
          </cell>
          <cell r="AO113" t="str">
            <v>MO</v>
          </cell>
          <cell r="AP113" t="str">
            <v>030 188 0358</v>
          </cell>
        </row>
        <row r="114">
          <cell r="A114" t="str">
            <v>BMEB</v>
          </cell>
          <cell r="B114">
            <v>109</v>
          </cell>
          <cell r="C114" t="str">
            <v>Caåm Nang Chaêm Soùc Baø Meï &amp; Em Beù</v>
          </cell>
          <cell r="D114" t="str">
            <v>Cty Vaên Hoaù- Saùng Taïo Trí Vieät</v>
          </cell>
          <cell r="E114" t="str">
            <v>TRI VIET- CN CHAM SOC BA ME &amp; EM BE</v>
          </cell>
          <cell r="AJ114">
            <v>8227979</v>
          </cell>
          <cell r="AK114">
            <v>8224560</v>
          </cell>
          <cell r="AL114" t="str">
            <v>11H Nguyeãn Thò Minh Khai, Q.1, Tp.HCM</v>
          </cell>
          <cell r="AM114" t="str">
            <v>chò Ngoïc</v>
          </cell>
          <cell r="AN114" t="str">
            <v>0903 990518</v>
          </cell>
          <cell r="AO114" t="str">
            <v>MO</v>
          </cell>
        </row>
        <row r="115">
          <cell r="A115" t="str">
            <v>BDG</v>
          </cell>
          <cell r="B115">
            <v>110</v>
          </cell>
          <cell r="C115" t="str">
            <v>Trung taâm TT- CQ &amp; PH baùo Bình Döông</v>
          </cell>
          <cell r="D115" t="str">
            <v>Trung taâm TT- CQ &amp; PH baùo Bình Döông</v>
          </cell>
          <cell r="E115" t="str">
            <v>BAO BINH DUONG</v>
          </cell>
          <cell r="AJ115" t="str">
            <v>0650 822135</v>
          </cell>
          <cell r="AK115" t="str">
            <v>0650 859600</v>
          </cell>
          <cell r="AL115" t="str">
            <v>15 Baïch Ñaèng- TX Thuû Daàu 1, Bình Döông</v>
          </cell>
          <cell r="AM115" t="str">
            <v>anh Leâ Quang</v>
          </cell>
          <cell r="AO115" t="str">
            <v>MO</v>
          </cell>
          <cell r="AP115" t="str">
            <v>3700 144034</v>
          </cell>
        </row>
        <row r="116">
          <cell r="A116" t="str">
            <v>TV</v>
          </cell>
          <cell r="B116">
            <v>111</v>
          </cell>
          <cell r="C116" t="str">
            <v>Baùo Traø Vinh</v>
          </cell>
          <cell r="D116" t="str">
            <v>Baùo Traø Vinh</v>
          </cell>
          <cell r="E116" t="str">
            <v>BAO TRA VINH</v>
          </cell>
          <cell r="AJ116" t="str">
            <v>074 852549</v>
          </cell>
          <cell r="AL116" t="str">
            <v>18A Leâ Lôïi, P.1, TX Traø Vinh</v>
          </cell>
          <cell r="AM116" t="str">
            <v>chò Trang</v>
          </cell>
          <cell r="AO116" t="str">
            <v>MO</v>
          </cell>
          <cell r="AP116" t="str">
            <v>3700 144034</v>
          </cell>
        </row>
      </sheetData>
      <sheetData sheetId="7" refreshError="1"/>
      <sheetData sheetId="8" refreshError="1"/>
      <sheetData sheetId="9" refreshError="1"/>
      <sheetData sheetId="10" refreshError="1"/>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4"/>
      <sheetName val="P3"/>
      <sheetName val="#REF"/>
      <sheetName val="2 in 1"/>
      <sheetName val="Plan"/>
      <sheetName val="Q3"/>
      <sheetName val="weight"/>
      <sheetName val="P4 (cost)"/>
      <sheetName val="_REF"/>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ver Estimator"/>
      <sheetName val="Reach run"/>
      <sheetName val="Reach 3+Nat"/>
      <sheetName val="Reach 3+Hcm"/>
      <sheetName val="Reach 3+-han"/>
      <sheetName val="Reach 3+-dan"/>
      <sheetName val="chart actual hcm"/>
      <sheetName val="actual-hcm"/>
      <sheetName val="Chart acutal-dan"/>
      <sheetName val="actual-dan"/>
      <sheetName val="foodstuff"/>
      <sheetName val="Data (2)"/>
      <sheetName val="Cover Estimator (2)"/>
      <sheetName val="Reach run (2)"/>
      <sheetName val="Reach 3+-HAN (2)"/>
      <sheetName val="Reach 7+"/>
      <sheetName val="Reach 5+Nat"/>
      <sheetName val="Reach 3+hcm (htv)"/>
      <sheetName val="Reach 7+Nat"/>
      <sheetName val="Reach 3+ hcm"/>
      <sheetName val="P3"/>
    </sheetNames>
    <sheetDataSet>
      <sheetData sheetId="0" refreshError="1"/>
      <sheetData sheetId="1" refreshError="1">
        <row r="7">
          <cell r="C7">
            <v>4.9399544560764421E-3</v>
          </cell>
        </row>
        <row r="8">
          <cell r="C8">
            <v>111.22054243455166</v>
          </cell>
        </row>
        <row r="10">
          <cell r="C10" t="str">
            <v>Est</v>
          </cell>
        </row>
        <row r="11">
          <cell r="A11">
            <v>0</v>
          </cell>
        </row>
      </sheetData>
      <sheetData sheetId="2"/>
      <sheetData sheetId="3"/>
      <sheetData sheetId="4"/>
      <sheetData sheetId="5"/>
      <sheetData sheetId="6"/>
      <sheetData sheetId="7" refreshError="1"/>
      <sheetData sheetId="8"/>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P-BG08"/>
      <sheetName val="760XX-0708"/>
      <sheetName val="477XX-0708"/>
      <sheetName val="Sheet4"/>
      <sheetName val="Sheet1"/>
      <sheetName val="477XX-0808"/>
      <sheetName val="760XX-0808"/>
      <sheetName val="760-A&amp;P COST"/>
      <sheetName val="AUG.08"/>
      <sheetName val="JAN-AUG08"/>
      <sheetName val="data"/>
      <sheetName val="08_N"/>
      <sheetName val="08"/>
      <sheetName val="760-A&amp;P_COST"/>
      <sheetName val="AUG_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 104"/>
      <sheetName val="PRINT (2)"/>
      <sheetName val="Ratecard"/>
      <sheetName val="Calculation- PRINT"/>
      <sheetName val="Sheet1"/>
      <sheetName val="Calculation- PRINT (2)"/>
    </sheetNames>
    <sheetDataSet>
      <sheetData sheetId="0" refreshError="1"/>
      <sheetData sheetId="1"/>
      <sheetData sheetId="2" refreshError="1">
        <row r="5">
          <cell r="AG5">
            <v>33</v>
          </cell>
        </row>
        <row r="7">
          <cell r="A7" t="str">
            <v>P001</v>
          </cell>
          <cell r="B7" t="str">
            <v>TUOI TRE DAILY</v>
          </cell>
          <cell r="C7">
            <v>8440212</v>
          </cell>
          <cell r="D7">
            <v>9974949</v>
          </cell>
          <cell r="E7" t="str">
            <v>60A, Hoang Van Thu, Phu Nhuan</v>
          </cell>
          <cell r="F7" t="str">
            <v>Mr Toan 0913 919494</v>
          </cell>
          <cell r="G7" t="str">
            <v>Daily</v>
          </cell>
          <cell r="H7">
            <v>300000</v>
          </cell>
          <cell r="I7">
            <v>0.08</v>
          </cell>
          <cell r="K7" t="str">
            <v>P001InsideFPFC</v>
          </cell>
          <cell r="L7" t="str">
            <v>Inside</v>
          </cell>
          <cell r="M7" t="str">
            <v>FPFC</v>
          </cell>
          <cell r="N7" t="str">
            <v>26X37.5</v>
          </cell>
          <cell r="P7">
            <v>45000</v>
          </cell>
          <cell r="Q7">
            <v>0.05</v>
          </cell>
          <cell r="R7">
            <v>0</v>
          </cell>
          <cell r="S7">
            <v>0.05</v>
          </cell>
          <cell r="U7">
            <v>0.05</v>
          </cell>
          <cell r="W7">
            <v>0.05</v>
          </cell>
          <cell r="Y7">
            <v>0.05</v>
          </cell>
          <cell r="AA7">
            <v>0.05</v>
          </cell>
          <cell r="AC7">
            <v>15</v>
          </cell>
          <cell r="AD7">
            <v>10</v>
          </cell>
          <cell r="AE7">
            <v>130</v>
          </cell>
          <cell r="AF7" t="str">
            <v>CD</v>
          </cell>
          <cell r="AG7">
            <v>1</v>
          </cell>
        </row>
        <row r="8">
          <cell r="A8" t="str">
            <v>P001</v>
          </cell>
          <cell r="B8" t="str">
            <v>2E</v>
          </cell>
          <cell r="K8" t="str">
            <v>P001InsideHPFC</v>
          </cell>
          <cell r="L8" t="str">
            <v>Inside</v>
          </cell>
          <cell r="M8" t="str">
            <v>HPFC</v>
          </cell>
          <cell r="N8" t="str">
            <v>26X18.5</v>
          </cell>
          <cell r="P8">
            <v>24000</v>
          </cell>
          <cell r="AG8">
            <v>2</v>
          </cell>
        </row>
        <row r="9">
          <cell r="A9" t="str">
            <v>P001</v>
          </cell>
          <cell r="K9" t="str">
            <v>P001InsideHPBW</v>
          </cell>
          <cell r="L9" t="str">
            <v>Inside</v>
          </cell>
          <cell r="M9" t="str">
            <v>HPBW</v>
          </cell>
          <cell r="N9" t="str">
            <v>26X18.5</v>
          </cell>
          <cell r="P9">
            <v>17000</v>
          </cell>
          <cell r="AG9">
            <v>3</v>
          </cell>
        </row>
        <row r="10">
          <cell r="A10" t="str">
            <v>P001</v>
          </cell>
          <cell r="K10" t="str">
            <v>P001InsideFPBW</v>
          </cell>
          <cell r="L10" t="str">
            <v>Inside</v>
          </cell>
          <cell r="M10" t="str">
            <v>FPBW</v>
          </cell>
          <cell r="N10" t="str">
            <v>26X37.5</v>
          </cell>
          <cell r="P10">
            <v>32000</v>
          </cell>
          <cell r="AG10">
            <v>4</v>
          </cell>
        </row>
        <row r="11">
          <cell r="A11" t="str">
            <v>P001</v>
          </cell>
          <cell r="K11" t="str">
            <v>P001InsideQPFC</v>
          </cell>
          <cell r="L11" t="str">
            <v>Inside</v>
          </cell>
          <cell r="M11" t="str">
            <v>QPFC</v>
          </cell>
          <cell r="N11" t="str">
            <v>12.7X18.5</v>
          </cell>
          <cell r="P11">
            <v>13000</v>
          </cell>
          <cell r="AG11">
            <v>5</v>
          </cell>
        </row>
        <row r="12">
          <cell r="A12" t="str">
            <v>P001</v>
          </cell>
          <cell r="K12" t="str">
            <v>P001InsideQPBW</v>
          </cell>
          <cell r="L12" t="str">
            <v>Inside</v>
          </cell>
          <cell r="M12" t="str">
            <v>QPBW</v>
          </cell>
          <cell r="N12" t="str">
            <v>12.7X18.5</v>
          </cell>
          <cell r="P12">
            <v>9000</v>
          </cell>
          <cell r="AG12">
            <v>6</v>
          </cell>
        </row>
        <row r="13">
          <cell r="A13" t="str">
            <v>P001</v>
          </cell>
          <cell r="K13" t="str">
            <v>P001FirstFPFC</v>
          </cell>
          <cell r="L13" t="str">
            <v>First</v>
          </cell>
          <cell r="M13" t="str">
            <v>FPFC</v>
          </cell>
          <cell r="N13" t="str">
            <v>26X32.5</v>
          </cell>
          <cell r="P13">
            <v>49500.000000000007</v>
          </cell>
          <cell r="AG13">
            <v>7</v>
          </cell>
        </row>
        <row r="14">
          <cell r="A14" t="str">
            <v>P001</v>
          </cell>
          <cell r="K14" t="str">
            <v>P001LastFPFC</v>
          </cell>
          <cell r="L14" t="str">
            <v>Last</v>
          </cell>
          <cell r="M14" t="str">
            <v>FPFC</v>
          </cell>
          <cell r="N14" t="str">
            <v>26X37.5</v>
          </cell>
          <cell r="P14">
            <v>47250</v>
          </cell>
          <cell r="AG14">
            <v>8</v>
          </cell>
        </row>
        <row r="15">
          <cell r="A15" t="str">
            <v>TUOI TRE DAILY</v>
          </cell>
          <cell r="K15" t="str">
            <v>TUOI TRE DAILY</v>
          </cell>
          <cell r="AG15">
            <v>9</v>
          </cell>
        </row>
        <row r="16">
          <cell r="A16" t="str">
            <v>P002</v>
          </cell>
          <cell r="B16" t="str">
            <v>TUOI TRE CN</v>
          </cell>
          <cell r="D16">
            <v>9974949</v>
          </cell>
          <cell r="E16" t="str">
            <v>60A, Hoang Van Thu, Phu Nhuan</v>
          </cell>
          <cell r="F16" t="str">
            <v>Mr Toan 0913 919494</v>
          </cell>
          <cell r="G16" t="str">
            <v>Weekly</v>
          </cell>
          <cell r="H16">
            <v>150000</v>
          </cell>
          <cell r="I16">
            <v>0.1</v>
          </cell>
          <cell r="K16" t="str">
            <v>P002Cover 4FPFC</v>
          </cell>
          <cell r="L16" t="str">
            <v>Cover 4</v>
          </cell>
          <cell r="M16" t="str">
            <v>FPFC</v>
          </cell>
          <cell r="N16" t="str">
            <v>18X26</v>
          </cell>
          <cell r="P16">
            <v>18000</v>
          </cell>
          <cell r="Q16">
            <v>0.1</v>
          </cell>
          <cell r="AC16">
            <v>15</v>
          </cell>
          <cell r="AG16">
            <v>10</v>
          </cell>
        </row>
        <row r="17">
          <cell r="A17" t="str">
            <v>P002</v>
          </cell>
          <cell r="B17" t="str">
            <v>2E</v>
          </cell>
          <cell r="K17" t="str">
            <v>P002Cover 4FPBW</v>
          </cell>
          <cell r="L17" t="str">
            <v>Cover 4</v>
          </cell>
          <cell r="M17" t="str">
            <v>FPBW</v>
          </cell>
          <cell r="N17" t="str">
            <v>18X26</v>
          </cell>
          <cell r="P17" t="str">
            <v>NA</v>
          </cell>
          <cell r="AG17">
            <v>11</v>
          </cell>
        </row>
        <row r="18">
          <cell r="A18" t="str">
            <v>P002</v>
          </cell>
          <cell r="K18" t="str">
            <v>P002Cover 2FPFC</v>
          </cell>
          <cell r="L18" t="str">
            <v>Cover 2</v>
          </cell>
          <cell r="M18" t="str">
            <v>FPFC</v>
          </cell>
          <cell r="N18" t="str">
            <v>18X26</v>
          </cell>
          <cell r="P18">
            <v>15000</v>
          </cell>
          <cell r="AG18">
            <v>12</v>
          </cell>
        </row>
        <row r="19">
          <cell r="A19" t="str">
            <v>P002</v>
          </cell>
          <cell r="K19" t="str">
            <v>P002Cover 2FPBW</v>
          </cell>
          <cell r="L19" t="str">
            <v>Cover 2</v>
          </cell>
          <cell r="M19" t="str">
            <v>FPBW</v>
          </cell>
          <cell r="N19" t="str">
            <v>18X26</v>
          </cell>
          <cell r="P19" t="str">
            <v>NA</v>
          </cell>
          <cell r="AG19">
            <v>13</v>
          </cell>
        </row>
        <row r="20">
          <cell r="A20" t="str">
            <v>P002</v>
          </cell>
          <cell r="K20" t="str">
            <v>P002InsideFPFC</v>
          </cell>
          <cell r="L20" t="str">
            <v>Inside</v>
          </cell>
          <cell r="M20" t="str">
            <v>FPFC</v>
          </cell>
          <cell r="N20" t="str">
            <v>17.5X25.5</v>
          </cell>
          <cell r="P20">
            <v>10000</v>
          </cell>
          <cell r="AG20">
            <v>14</v>
          </cell>
        </row>
        <row r="21">
          <cell r="A21" t="str">
            <v>P002</v>
          </cell>
          <cell r="K21" t="str">
            <v>P002InsideFPBW</v>
          </cell>
          <cell r="L21" t="str">
            <v>Inside</v>
          </cell>
          <cell r="M21" t="str">
            <v>FPBW</v>
          </cell>
          <cell r="N21" t="str">
            <v>17.5X25.5</v>
          </cell>
          <cell r="P21">
            <v>7000</v>
          </cell>
          <cell r="AG21">
            <v>15</v>
          </cell>
        </row>
        <row r="22">
          <cell r="A22" t="str">
            <v>P002</v>
          </cell>
          <cell r="K22" t="str">
            <v>P002InsideHPFC</v>
          </cell>
          <cell r="L22" t="str">
            <v>Inside</v>
          </cell>
          <cell r="M22" t="str">
            <v>HPFC</v>
          </cell>
          <cell r="N22" t="str">
            <v>17.5X12.3</v>
          </cell>
          <cell r="P22">
            <v>5500</v>
          </cell>
          <cell r="AG22">
            <v>16</v>
          </cell>
        </row>
        <row r="23">
          <cell r="A23" t="str">
            <v>P002</v>
          </cell>
          <cell r="K23" t="str">
            <v>P002InsideHPBW</v>
          </cell>
          <cell r="L23" t="str">
            <v>Inside</v>
          </cell>
          <cell r="M23" t="str">
            <v>HPBW</v>
          </cell>
          <cell r="N23" t="str">
            <v>17.5X12.3</v>
          </cell>
          <cell r="P23">
            <v>3800</v>
          </cell>
          <cell r="AG23">
            <v>17</v>
          </cell>
        </row>
        <row r="24">
          <cell r="A24" t="str">
            <v>TUOI TRE CN</v>
          </cell>
          <cell r="K24" t="str">
            <v>TUOI TRE CN</v>
          </cell>
          <cell r="AG24">
            <v>18</v>
          </cell>
        </row>
        <row r="25">
          <cell r="A25" t="str">
            <v>P003</v>
          </cell>
          <cell r="B25" t="str">
            <v>THANH NIEN</v>
          </cell>
          <cell r="C25">
            <v>8322295</v>
          </cell>
          <cell r="D25">
            <v>9250249</v>
          </cell>
          <cell r="E25" t="str">
            <v xml:space="preserve">248 Cong Quynh Q1 </v>
          </cell>
          <cell r="F25" t="str">
            <v>Ms Van 0918398892</v>
          </cell>
          <cell r="G25" t="str">
            <v>Daily</v>
          </cell>
          <cell r="H25">
            <v>300000</v>
          </cell>
          <cell r="I25">
            <v>0.1</v>
          </cell>
          <cell r="K25" t="str">
            <v>P003InsideFPFC</v>
          </cell>
          <cell r="L25" t="str">
            <v>Inside</v>
          </cell>
          <cell r="M25" t="str">
            <v>FPFC</v>
          </cell>
          <cell r="N25" t="str">
            <v>25.5X37</v>
          </cell>
          <cell r="P25">
            <v>33000</v>
          </cell>
          <cell r="Q25">
            <v>0.1</v>
          </cell>
          <cell r="R25">
            <v>0</v>
          </cell>
          <cell r="U25">
            <v>0.1</v>
          </cell>
          <cell r="AC25">
            <v>15</v>
          </cell>
          <cell r="AD25">
            <v>10</v>
          </cell>
          <cell r="AE25">
            <v>100</v>
          </cell>
          <cell r="AF25" t="str">
            <v>CD</v>
          </cell>
          <cell r="AG25">
            <v>19</v>
          </cell>
        </row>
        <row r="26">
          <cell r="A26" t="str">
            <v>P003</v>
          </cell>
          <cell r="B26" t="str">
            <v>1E</v>
          </cell>
          <cell r="K26" t="str">
            <v>P003InsideFPBW</v>
          </cell>
          <cell r="L26" t="str">
            <v>Inside</v>
          </cell>
          <cell r="M26" t="str">
            <v>FPBW</v>
          </cell>
          <cell r="N26" t="str">
            <v>25.5X37</v>
          </cell>
          <cell r="P26">
            <v>28000</v>
          </cell>
          <cell r="AG26">
            <v>20</v>
          </cell>
        </row>
        <row r="27">
          <cell r="A27" t="str">
            <v>P003</v>
          </cell>
          <cell r="K27" t="str">
            <v>P003InsideHPFC</v>
          </cell>
          <cell r="L27" t="str">
            <v>Inside</v>
          </cell>
          <cell r="M27" t="str">
            <v>HPFC</v>
          </cell>
          <cell r="N27" t="str">
            <v>25.5X18</v>
          </cell>
          <cell r="P27">
            <v>17000</v>
          </cell>
          <cell r="AG27">
            <v>21</v>
          </cell>
        </row>
        <row r="28">
          <cell r="A28" t="str">
            <v>P003</v>
          </cell>
          <cell r="K28" t="str">
            <v>P003InsideHPBW</v>
          </cell>
          <cell r="L28" t="str">
            <v>Inside</v>
          </cell>
          <cell r="M28" t="str">
            <v>HPBW</v>
          </cell>
          <cell r="N28" t="str">
            <v>25.5X18</v>
          </cell>
          <cell r="P28">
            <v>14000</v>
          </cell>
          <cell r="AG28">
            <v>22</v>
          </cell>
        </row>
        <row r="29">
          <cell r="A29" t="str">
            <v>P003</v>
          </cell>
          <cell r="K29" t="str">
            <v>P003InsideVPFC</v>
          </cell>
          <cell r="L29" t="str">
            <v>Inside</v>
          </cell>
          <cell r="M29" t="str">
            <v>VPFC</v>
          </cell>
          <cell r="N29" t="str">
            <v>19X27</v>
          </cell>
          <cell r="P29">
            <v>20000</v>
          </cell>
          <cell r="AG29">
            <v>23</v>
          </cell>
        </row>
        <row r="30">
          <cell r="A30" t="str">
            <v>P003</v>
          </cell>
          <cell r="K30" t="str">
            <v>P003InsideVPBW</v>
          </cell>
          <cell r="L30" t="str">
            <v>Inside</v>
          </cell>
          <cell r="M30" t="str">
            <v>VPBW</v>
          </cell>
          <cell r="N30" t="str">
            <v>19X27</v>
          </cell>
          <cell r="P30">
            <v>15000</v>
          </cell>
          <cell r="AG30">
            <v>24</v>
          </cell>
        </row>
        <row r="31">
          <cell r="A31" t="str">
            <v>P003</v>
          </cell>
          <cell r="K31" t="str">
            <v>P003Strip adFC</v>
          </cell>
          <cell r="L31" t="str">
            <v>Strip ad</v>
          </cell>
          <cell r="M31" t="str">
            <v>FC</v>
          </cell>
          <cell r="N31" t="str">
            <v>25.5X2</v>
          </cell>
          <cell r="P31">
            <v>3500</v>
          </cell>
          <cell r="AG31">
            <v>25</v>
          </cell>
        </row>
        <row r="32">
          <cell r="A32" t="str">
            <v>P003</v>
          </cell>
          <cell r="K32" t="str">
            <v>P003Strip adBW</v>
          </cell>
          <cell r="L32" t="str">
            <v>Strip ad</v>
          </cell>
          <cell r="M32" t="str">
            <v>BW</v>
          </cell>
          <cell r="N32" t="str">
            <v>25.5X2</v>
          </cell>
          <cell r="P32">
            <v>2000</v>
          </cell>
          <cell r="AG32">
            <v>26</v>
          </cell>
        </row>
        <row r="33">
          <cell r="A33" t="str">
            <v>P003</v>
          </cell>
          <cell r="K33" t="str">
            <v>P003FirstFPFC</v>
          </cell>
          <cell r="L33" t="str">
            <v>First</v>
          </cell>
          <cell r="M33" t="str">
            <v>FPFC</v>
          </cell>
          <cell r="N33" t="str">
            <v>25.5X33</v>
          </cell>
          <cell r="P33">
            <v>36300</v>
          </cell>
          <cell r="AG33">
            <v>27</v>
          </cell>
        </row>
        <row r="34">
          <cell r="A34" t="str">
            <v>P003</v>
          </cell>
          <cell r="K34" t="str">
            <v>P003LastFPFC</v>
          </cell>
          <cell r="L34" t="str">
            <v>Last</v>
          </cell>
          <cell r="M34" t="str">
            <v>FPFC</v>
          </cell>
          <cell r="N34" t="str">
            <v>25.5X37</v>
          </cell>
          <cell r="P34">
            <v>36300</v>
          </cell>
          <cell r="AG34">
            <v>28</v>
          </cell>
        </row>
        <row r="35">
          <cell r="A35" t="str">
            <v>P003</v>
          </cell>
          <cell r="K35" t="str">
            <v>P003Inside- AppendixFPFC</v>
          </cell>
          <cell r="L35" t="str">
            <v>Inside- Appendix</v>
          </cell>
          <cell r="M35" t="str">
            <v>FPFC</v>
          </cell>
          <cell r="N35" t="str">
            <v>25.5X37</v>
          </cell>
          <cell r="P35">
            <v>35000</v>
          </cell>
          <cell r="AG35">
            <v>29</v>
          </cell>
        </row>
        <row r="36">
          <cell r="A36" t="str">
            <v>P003</v>
          </cell>
          <cell r="K36" t="str">
            <v>P003ContentFPFC</v>
          </cell>
          <cell r="L36" t="str">
            <v>Content</v>
          </cell>
          <cell r="M36" t="str">
            <v>FPFC</v>
          </cell>
          <cell r="N36" t="str">
            <v>25.5X37</v>
          </cell>
          <cell r="P36">
            <v>40000</v>
          </cell>
          <cell r="AG36">
            <v>30</v>
          </cell>
        </row>
        <row r="37">
          <cell r="A37" t="str">
            <v>P003</v>
          </cell>
          <cell r="K37" t="str">
            <v>P003ContentHPFC</v>
          </cell>
          <cell r="L37" t="str">
            <v>Content</v>
          </cell>
          <cell r="M37" t="str">
            <v>HPFC</v>
          </cell>
          <cell r="N37" t="str">
            <v>25.5X18</v>
          </cell>
          <cell r="P37">
            <v>28000</v>
          </cell>
          <cell r="AG37">
            <v>31</v>
          </cell>
        </row>
        <row r="38">
          <cell r="A38" t="str">
            <v>P003</v>
          </cell>
          <cell r="K38" t="str">
            <v>P003ContentStrip ad</v>
          </cell>
          <cell r="L38" t="str">
            <v>Content</v>
          </cell>
          <cell r="M38" t="str">
            <v>Strip ad</v>
          </cell>
          <cell r="N38" t="str">
            <v>25.5X4</v>
          </cell>
          <cell r="P38">
            <v>20000</v>
          </cell>
          <cell r="AG38">
            <v>32</v>
          </cell>
        </row>
        <row r="39">
          <cell r="A39" t="str">
            <v>THANH NIEN</v>
          </cell>
          <cell r="K39" t="str">
            <v>THANH NIEN</v>
          </cell>
          <cell r="AG39">
            <v>33</v>
          </cell>
        </row>
        <row r="40">
          <cell r="A40" t="str">
            <v>P004</v>
          </cell>
          <cell r="B40" t="str">
            <v>THANH NIEN Mag.</v>
          </cell>
          <cell r="C40">
            <v>8322295</v>
          </cell>
          <cell r="D40">
            <v>9250249</v>
          </cell>
          <cell r="E40" t="str">
            <v xml:space="preserve">248 Cong Quynh Q1 </v>
          </cell>
          <cell r="F40" t="str">
            <v>Ms Van 0918398892</v>
          </cell>
          <cell r="G40" t="str">
            <v>10,20,30/ Monthly</v>
          </cell>
          <cell r="H40">
            <v>120000</v>
          </cell>
          <cell r="I40">
            <v>0.1</v>
          </cell>
          <cell r="K40" t="str">
            <v>P004Cover 4FPFC</v>
          </cell>
          <cell r="L40" t="str">
            <v>Cover 4</v>
          </cell>
          <cell r="M40" t="str">
            <v>FPFC</v>
          </cell>
          <cell r="N40" t="str">
            <v>23X29</v>
          </cell>
          <cell r="P40">
            <v>52800.000000000007</v>
          </cell>
          <cell r="AC40">
            <v>15</v>
          </cell>
          <cell r="AD40">
            <v>10</v>
          </cell>
          <cell r="AE40">
            <v>100</v>
          </cell>
          <cell r="AF40" t="str">
            <v>CD</v>
          </cell>
          <cell r="AG40">
            <v>34</v>
          </cell>
        </row>
        <row r="41">
          <cell r="A41" t="str">
            <v>P004</v>
          </cell>
          <cell r="B41" t="str">
            <v>1E</v>
          </cell>
          <cell r="K41" t="str">
            <v>P004Cover 2FPFC</v>
          </cell>
          <cell r="L41" t="str">
            <v>Cover 2</v>
          </cell>
          <cell r="M41" t="str">
            <v>FPFC</v>
          </cell>
          <cell r="N41" t="str">
            <v>23X29</v>
          </cell>
          <cell r="P41">
            <v>46200.000000000007</v>
          </cell>
          <cell r="AG41">
            <v>35</v>
          </cell>
        </row>
        <row r="42">
          <cell r="A42" t="str">
            <v>P004</v>
          </cell>
          <cell r="K42" t="str">
            <v>P004Cover 3FPFC</v>
          </cell>
          <cell r="L42" t="str">
            <v>Cover 3</v>
          </cell>
          <cell r="M42" t="str">
            <v>FPFC</v>
          </cell>
          <cell r="N42" t="str">
            <v>23X29</v>
          </cell>
          <cell r="P42">
            <v>44000</v>
          </cell>
          <cell r="AG42">
            <v>36</v>
          </cell>
        </row>
        <row r="43">
          <cell r="A43" t="str">
            <v>P004</v>
          </cell>
          <cell r="K43" t="str">
            <v>P004InsideFPFC</v>
          </cell>
          <cell r="L43" t="str">
            <v>Inside</v>
          </cell>
          <cell r="M43" t="str">
            <v>FPFC</v>
          </cell>
          <cell r="N43" t="str">
            <v>23X29</v>
          </cell>
          <cell r="P43">
            <v>35200</v>
          </cell>
          <cell r="AG43">
            <v>37</v>
          </cell>
        </row>
        <row r="44">
          <cell r="A44" t="str">
            <v>P004</v>
          </cell>
          <cell r="K44" t="str">
            <v>P004InsideHPFC</v>
          </cell>
          <cell r="L44" t="str">
            <v>Inside</v>
          </cell>
          <cell r="M44" t="str">
            <v>HPFC</v>
          </cell>
          <cell r="N44" t="str">
            <v>23X14</v>
          </cell>
          <cell r="P44">
            <v>18700</v>
          </cell>
          <cell r="AG44">
            <v>38</v>
          </cell>
        </row>
        <row r="45">
          <cell r="A45" t="str">
            <v>P004</v>
          </cell>
          <cell r="K45" t="str">
            <v>P004InsideVQPFC</v>
          </cell>
          <cell r="L45" t="str">
            <v>Inside</v>
          </cell>
          <cell r="M45" t="str">
            <v>VQPFC</v>
          </cell>
          <cell r="N45" t="str">
            <v>11X14</v>
          </cell>
          <cell r="P45">
            <v>9900</v>
          </cell>
          <cell r="AG45">
            <v>39</v>
          </cell>
        </row>
        <row r="46">
          <cell r="A46" t="str">
            <v>THANH NIEN Mag.</v>
          </cell>
          <cell r="K46" t="str">
            <v>THANH NIEN Mag.</v>
          </cell>
          <cell r="AG46">
            <v>40</v>
          </cell>
        </row>
        <row r="47">
          <cell r="A47" t="str">
            <v>P005</v>
          </cell>
          <cell r="B47" t="str">
            <v>TIEP THI &amp; GIA DINH W</v>
          </cell>
          <cell r="C47">
            <v>8232417</v>
          </cell>
          <cell r="E47" t="str">
            <v>259 Hai Ba Trung, Q1, Tp.HCM</v>
          </cell>
          <cell r="F47" t="str">
            <v>Ms Ha 0908241489 (ext: 204)</v>
          </cell>
          <cell r="G47" t="str">
            <v>Tue/ Weekly</v>
          </cell>
          <cell r="H47">
            <v>70000</v>
          </cell>
          <cell r="I47">
            <v>0.4</v>
          </cell>
          <cell r="J47">
            <v>0.15</v>
          </cell>
          <cell r="K47" t="str">
            <v>P005Cover 2FPFC</v>
          </cell>
          <cell r="L47" t="str">
            <v>Cover 2</v>
          </cell>
          <cell r="M47" t="str">
            <v>FPFC</v>
          </cell>
          <cell r="N47" t="str">
            <v>21X27</v>
          </cell>
          <cell r="O47" t="str">
            <v>23.3X29.6</v>
          </cell>
          <cell r="P47">
            <v>59400.000000000007</v>
          </cell>
          <cell r="Q47">
            <v>0.3</v>
          </cell>
          <cell r="R47">
            <v>0.15</v>
          </cell>
          <cell r="AC47">
            <v>15</v>
          </cell>
          <cell r="AD47">
            <v>10</v>
          </cell>
          <cell r="AE47" t="str">
            <v>350 DPI</v>
          </cell>
          <cell r="AF47" t="str">
            <v>CD- DPF/ EPF</v>
          </cell>
          <cell r="AG47">
            <v>41</v>
          </cell>
        </row>
        <row r="48">
          <cell r="A48" t="str">
            <v>P005</v>
          </cell>
          <cell r="B48" t="str">
            <v>11F</v>
          </cell>
          <cell r="K48" t="str">
            <v>P005Cover 3FPFC</v>
          </cell>
          <cell r="L48" t="str">
            <v>Cover 3</v>
          </cell>
          <cell r="M48" t="str">
            <v>FPFC</v>
          </cell>
          <cell r="N48" t="str">
            <v>21X27</v>
          </cell>
          <cell r="O48" t="str">
            <v>23.3X29.6</v>
          </cell>
          <cell r="P48">
            <v>52250.000000000007</v>
          </cell>
          <cell r="AG48">
            <v>42</v>
          </cell>
        </row>
        <row r="49">
          <cell r="A49" t="str">
            <v>P005</v>
          </cell>
          <cell r="K49" t="str">
            <v>P005Cover 4FPFC</v>
          </cell>
          <cell r="L49" t="str">
            <v>Cover 4</v>
          </cell>
          <cell r="M49" t="str">
            <v>FPFC</v>
          </cell>
          <cell r="N49" t="str">
            <v>21X27</v>
          </cell>
          <cell r="O49" t="str">
            <v>23.3X29.6</v>
          </cell>
          <cell r="P49">
            <v>71500</v>
          </cell>
          <cell r="AG49">
            <v>43</v>
          </cell>
        </row>
        <row r="50">
          <cell r="A50" t="str">
            <v>P005</v>
          </cell>
          <cell r="K50" t="str">
            <v>P005InsideFPFC</v>
          </cell>
          <cell r="L50" t="str">
            <v>Inside</v>
          </cell>
          <cell r="M50" t="str">
            <v>FPFC</v>
          </cell>
          <cell r="N50" t="str">
            <v>21X27</v>
          </cell>
          <cell r="O50" t="str">
            <v>23.3X29.6</v>
          </cell>
          <cell r="P50">
            <v>49500.000000000007</v>
          </cell>
          <cell r="AG50">
            <v>44</v>
          </cell>
        </row>
        <row r="51">
          <cell r="A51" t="str">
            <v>P005</v>
          </cell>
          <cell r="K51" t="str">
            <v>P005FirstFPFC</v>
          </cell>
          <cell r="L51" t="str">
            <v>First</v>
          </cell>
          <cell r="M51" t="str">
            <v>FPFC</v>
          </cell>
          <cell r="N51" t="str">
            <v>21X27</v>
          </cell>
          <cell r="O51" t="str">
            <v>23.3X29.6</v>
          </cell>
          <cell r="P51">
            <v>59400.000000000007</v>
          </cell>
          <cell r="AG51">
            <v>45</v>
          </cell>
        </row>
        <row r="52">
          <cell r="A52" t="str">
            <v>P005</v>
          </cell>
          <cell r="K52" t="str">
            <v>P005Inside2/3VPFC</v>
          </cell>
          <cell r="L52" t="str">
            <v>Inside</v>
          </cell>
          <cell r="M52" t="str">
            <v>2/3VPFC</v>
          </cell>
          <cell r="N52" t="str">
            <v>13.6X27</v>
          </cell>
          <cell r="P52">
            <v>49500.000000000007</v>
          </cell>
          <cell r="AG52">
            <v>46</v>
          </cell>
        </row>
        <row r="53">
          <cell r="A53" t="str">
            <v>P005</v>
          </cell>
          <cell r="K53" t="str">
            <v>P005Inside2/3HPFC</v>
          </cell>
          <cell r="L53" t="str">
            <v>Inside</v>
          </cell>
          <cell r="M53" t="str">
            <v>2/3HPFC</v>
          </cell>
          <cell r="N53" t="str">
            <v>21X17.6</v>
          </cell>
          <cell r="P53">
            <v>49500.000000000007</v>
          </cell>
          <cell r="AG53">
            <v>47</v>
          </cell>
        </row>
        <row r="54">
          <cell r="A54" t="str">
            <v>P005</v>
          </cell>
          <cell r="K54" t="str">
            <v>P005InsideVPFC</v>
          </cell>
          <cell r="L54" t="str">
            <v>Inside</v>
          </cell>
          <cell r="M54" t="str">
            <v>VPFC</v>
          </cell>
          <cell r="N54" t="str">
            <v>10X27</v>
          </cell>
          <cell r="P54">
            <v>32725.000000000004</v>
          </cell>
          <cell r="AG54">
            <v>48</v>
          </cell>
        </row>
        <row r="55">
          <cell r="A55" t="str">
            <v>P005</v>
          </cell>
          <cell r="K55" t="str">
            <v>P005InsideHPFC</v>
          </cell>
          <cell r="L55" t="str">
            <v>Inside</v>
          </cell>
          <cell r="M55" t="str">
            <v>HPFC</v>
          </cell>
          <cell r="N55" t="str">
            <v>21X13</v>
          </cell>
          <cell r="P55">
            <v>32725.000000000004</v>
          </cell>
          <cell r="AG55">
            <v>49</v>
          </cell>
        </row>
        <row r="56">
          <cell r="A56" t="str">
            <v>P005</v>
          </cell>
          <cell r="K56" t="str">
            <v>P005Inside1/3VPFC</v>
          </cell>
          <cell r="L56" t="str">
            <v>Inside</v>
          </cell>
          <cell r="M56" t="str">
            <v>1/3VPFC</v>
          </cell>
          <cell r="N56" t="str">
            <v>6.4X27</v>
          </cell>
          <cell r="P56">
            <v>24750.000000000004</v>
          </cell>
          <cell r="AG56">
            <v>50</v>
          </cell>
        </row>
        <row r="57">
          <cell r="A57" t="str">
            <v>P005</v>
          </cell>
          <cell r="K57" t="str">
            <v>P005Inside1/3HPFC</v>
          </cell>
          <cell r="L57" t="str">
            <v>Inside</v>
          </cell>
          <cell r="M57" t="str">
            <v>1/3HPFC</v>
          </cell>
          <cell r="N57" t="str">
            <v>21X8.4</v>
          </cell>
          <cell r="P57">
            <v>24750.000000000004</v>
          </cell>
          <cell r="AG57">
            <v>51</v>
          </cell>
        </row>
        <row r="58">
          <cell r="A58" t="str">
            <v>P005</v>
          </cell>
          <cell r="K58" t="str">
            <v>P005Inside1/4C</v>
          </cell>
          <cell r="L58" t="str">
            <v>Inside</v>
          </cell>
          <cell r="M58" t="str">
            <v>1/4C</v>
          </cell>
          <cell r="N58" t="str">
            <v>10X13</v>
          </cell>
          <cell r="P58">
            <v>19800</v>
          </cell>
          <cell r="AG58">
            <v>52</v>
          </cell>
        </row>
        <row r="59">
          <cell r="A59" t="str">
            <v>P005</v>
          </cell>
          <cell r="K59" t="str">
            <v>P005Inside1/4HPFC</v>
          </cell>
          <cell r="L59" t="str">
            <v>Inside</v>
          </cell>
          <cell r="M59" t="str">
            <v>1/4HPFC</v>
          </cell>
          <cell r="N59" t="str">
            <v>21X6</v>
          </cell>
          <cell r="P59">
            <v>19800</v>
          </cell>
          <cell r="AG59">
            <v>53</v>
          </cell>
        </row>
        <row r="60">
          <cell r="A60" t="str">
            <v>P005</v>
          </cell>
          <cell r="K60" t="str">
            <v>P005InsideDPFC</v>
          </cell>
          <cell r="L60" t="str">
            <v>Inside</v>
          </cell>
          <cell r="M60" t="str">
            <v>DPFC</v>
          </cell>
          <cell r="N60" t="str">
            <v>44X27</v>
          </cell>
          <cell r="O60" t="str">
            <v>46.6X29.6</v>
          </cell>
          <cell r="P60">
            <v>89100</v>
          </cell>
          <cell r="AG60">
            <v>54</v>
          </cell>
        </row>
        <row r="61">
          <cell r="A61" t="str">
            <v>P005</v>
          </cell>
          <cell r="K61" t="str">
            <v>P005InsideGatefold</v>
          </cell>
          <cell r="L61" t="str">
            <v>Inside</v>
          </cell>
          <cell r="M61" t="str">
            <v>Gatefold</v>
          </cell>
          <cell r="O61" t="str">
            <v>46.1X29.6</v>
          </cell>
          <cell r="P61" t="str">
            <v>FPFC-dis+FPFC*2</v>
          </cell>
          <cell r="AG61">
            <v>55</v>
          </cell>
        </row>
        <row r="62">
          <cell r="A62" t="str">
            <v>TIEP THI &amp; GIA DINH W</v>
          </cell>
          <cell r="B62" t="str">
            <v>THE GIOI PHU NU</v>
          </cell>
          <cell r="C62">
            <v>9302117</v>
          </cell>
          <cell r="D62">
            <v>9303430</v>
          </cell>
          <cell r="E62" t="str">
            <v>38 vo VanTan Q3</v>
          </cell>
          <cell r="F62" t="str">
            <v>Ms Thu 0913722394</v>
          </cell>
          <cell r="G62" t="str">
            <v>Mon/ Weekly</v>
          </cell>
          <cell r="H62">
            <v>115000</v>
          </cell>
          <cell r="I62">
            <v>0.3</v>
          </cell>
          <cell r="J62">
            <v>0.15</v>
          </cell>
          <cell r="K62" t="str">
            <v>TIEP THI &amp; GIA DINH W</v>
          </cell>
          <cell r="L62" t="str">
            <v>Inside</v>
          </cell>
          <cell r="M62" t="str">
            <v>FPFC</v>
          </cell>
          <cell r="N62" t="str">
            <v>22X28</v>
          </cell>
          <cell r="O62" t="str">
            <v>23.5X29.5</v>
          </cell>
          <cell r="P62">
            <v>42900</v>
          </cell>
          <cell r="Q62">
            <v>0.2</v>
          </cell>
          <cell r="R62">
            <v>0.15</v>
          </cell>
          <cell r="AC62">
            <v>15</v>
          </cell>
          <cell r="AD62">
            <v>10</v>
          </cell>
          <cell r="AE62">
            <v>100</v>
          </cell>
          <cell r="AF62" t="str">
            <v>CD &amp; Film</v>
          </cell>
          <cell r="AG62">
            <v>56</v>
          </cell>
        </row>
        <row r="63">
          <cell r="A63" t="str">
            <v>P006</v>
          </cell>
          <cell r="B63" t="str">
            <v>THE GIOI PHU NU</v>
          </cell>
          <cell r="C63">
            <v>9302117</v>
          </cell>
          <cell r="D63">
            <v>9303430</v>
          </cell>
          <cell r="E63" t="str">
            <v>38 vo VanTan Q3</v>
          </cell>
          <cell r="F63" t="str">
            <v>Ms Thu 0913722394</v>
          </cell>
          <cell r="G63" t="str">
            <v>Mon/ Weekly</v>
          </cell>
          <cell r="H63">
            <v>115000</v>
          </cell>
          <cell r="I63">
            <v>0.3</v>
          </cell>
          <cell r="J63">
            <v>0.15</v>
          </cell>
          <cell r="K63" t="str">
            <v>P006InsideFPFC</v>
          </cell>
          <cell r="L63" t="str">
            <v>Inside</v>
          </cell>
          <cell r="M63" t="str">
            <v>FPFC</v>
          </cell>
          <cell r="N63" t="str">
            <v>22X28</v>
          </cell>
          <cell r="O63" t="str">
            <v>23.5X29.5</v>
          </cell>
          <cell r="P63">
            <v>42900</v>
          </cell>
          <cell r="Q63">
            <v>0.2</v>
          </cell>
          <cell r="R63">
            <v>0.15</v>
          </cell>
          <cell r="AC63">
            <v>15</v>
          </cell>
          <cell r="AD63">
            <v>10</v>
          </cell>
          <cell r="AE63">
            <v>100</v>
          </cell>
          <cell r="AF63" t="str">
            <v>CD &amp; Film</v>
          </cell>
          <cell r="AG63">
            <v>57</v>
          </cell>
        </row>
        <row r="64">
          <cell r="A64" t="str">
            <v>P006</v>
          </cell>
          <cell r="B64" t="str">
            <v>1D</v>
          </cell>
          <cell r="K64" t="str">
            <v>P006CoverDPFC</v>
          </cell>
          <cell r="L64" t="str">
            <v>Cover</v>
          </cell>
          <cell r="M64" t="str">
            <v>DPFC</v>
          </cell>
          <cell r="N64" t="str">
            <v>44X28</v>
          </cell>
          <cell r="P64">
            <v>90860.000000000015</v>
          </cell>
          <cell r="AG64">
            <v>58</v>
          </cell>
        </row>
        <row r="65">
          <cell r="A65" t="str">
            <v>P006</v>
          </cell>
          <cell r="K65" t="str">
            <v>P006Cover 4FPFC</v>
          </cell>
          <cell r="L65" t="str">
            <v>Cover 4</v>
          </cell>
          <cell r="M65" t="str">
            <v>FPFC</v>
          </cell>
          <cell r="N65" t="str">
            <v>22X28</v>
          </cell>
          <cell r="P65">
            <v>69300</v>
          </cell>
          <cell r="AG65">
            <v>59</v>
          </cell>
        </row>
        <row r="66">
          <cell r="A66" t="str">
            <v>P006</v>
          </cell>
          <cell r="K66" t="str">
            <v>P006Cover 2FPFC</v>
          </cell>
          <cell r="L66" t="str">
            <v>Cover 2</v>
          </cell>
          <cell r="M66" t="str">
            <v>FPFC</v>
          </cell>
          <cell r="N66" t="str">
            <v>22X28</v>
          </cell>
          <cell r="P66">
            <v>60500.000000000007</v>
          </cell>
          <cell r="AG66">
            <v>60</v>
          </cell>
        </row>
        <row r="67">
          <cell r="A67" t="str">
            <v>P006</v>
          </cell>
          <cell r="K67" t="str">
            <v>P006Cover 3FPFC</v>
          </cell>
          <cell r="L67" t="str">
            <v>Cover 3</v>
          </cell>
          <cell r="M67" t="str">
            <v>FPFC</v>
          </cell>
          <cell r="N67" t="str">
            <v>22X28</v>
          </cell>
          <cell r="P67">
            <v>51700.000000000007</v>
          </cell>
          <cell r="AG67">
            <v>61</v>
          </cell>
        </row>
        <row r="68">
          <cell r="A68" t="str">
            <v>P006</v>
          </cell>
          <cell r="K68" t="str">
            <v>P006InsideDPFC</v>
          </cell>
          <cell r="L68" t="str">
            <v>Inside</v>
          </cell>
          <cell r="M68" t="str">
            <v>DPFC</v>
          </cell>
          <cell r="N68" t="str">
            <v>45X28</v>
          </cell>
          <cell r="P68">
            <v>82500</v>
          </cell>
          <cell r="AG68">
            <v>62</v>
          </cell>
        </row>
        <row r="69">
          <cell r="A69" t="str">
            <v>P006</v>
          </cell>
          <cell r="K69" t="str">
            <v>P006Inside2/3DPFC</v>
          </cell>
          <cell r="L69" t="str">
            <v>Inside</v>
          </cell>
          <cell r="M69" t="str">
            <v>2/3DPFC</v>
          </cell>
          <cell r="N69" t="str">
            <v>45X18.3</v>
          </cell>
          <cell r="P69">
            <v>61600.000000000007</v>
          </cell>
          <cell r="AG69">
            <v>63</v>
          </cell>
        </row>
        <row r="70">
          <cell r="A70" t="str">
            <v>P006</v>
          </cell>
          <cell r="K70" t="str">
            <v>P006Inside2/3HPFC</v>
          </cell>
          <cell r="L70" t="str">
            <v>Inside</v>
          </cell>
          <cell r="M70" t="str">
            <v>2/3HPFC</v>
          </cell>
          <cell r="N70" t="str">
            <v>22X18.3</v>
          </cell>
          <cell r="P70">
            <v>33000</v>
          </cell>
          <cell r="AG70">
            <v>64</v>
          </cell>
        </row>
        <row r="71">
          <cell r="A71" t="str">
            <v>P006</v>
          </cell>
          <cell r="K71" t="str">
            <v>P006Inside2/3VPFC</v>
          </cell>
          <cell r="L71" t="str">
            <v>Inside</v>
          </cell>
          <cell r="M71" t="str">
            <v>2/3VPFC</v>
          </cell>
          <cell r="N71" t="str">
            <v>14.5X27.8</v>
          </cell>
          <cell r="P71">
            <v>31900.000000000004</v>
          </cell>
          <cell r="AG71">
            <v>65</v>
          </cell>
        </row>
        <row r="72">
          <cell r="A72" t="str">
            <v>P006</v>
          </cell>
          <cell r="K72" t="str">
            <v>P006Inside1/2DPFC</v>
          </cell>
          <cell r="L72" t="str">
            <v>Inside</v>
          </cell>
          <cell r="M72" t="str">
            <v>1/2DPFC</v>
          </cell>
          <cell r="N72" t="str">
            <v>45X13.7</v>
          </cell>
          <cell r="P72">
            <v>48400.000000000007</v>
          </cell>
          <cell r="AG72">
            <v>66</v>
          </cell>
        </row>
        <row r="73">
          <cell r="A73" t="str">
            <v>P006</v>
          </cell>
          <cell r="K73" t="str">
            <v>P006InsideHPFC</v>
          </cell>
          <cell r="L73" t="str">
            <v>Inside</v>
          </cell>
          <cell r="M73" t="str">
            <v>HPFC</v>
          </cell>
          <cell r="N73" t="str">
            <v>22X13.7</v>
          </cell>
          <cell r="P73">
            <v>26400.000000000004</v>
          </cell>
          <cell r="AG73">
            <v>67</v>
          </cell>
        </row>
        <row r="74">
          <cell r="A74" t="str">
            <v>P006</v>
          </cell>
          <cell r="K74" t="str">
            <v>P006InsideVPFC</v>
          </cell>
          <cell r="L74" t="str">
            <v>Inside</v>
          </cell>
          <cell r="M74" t="str">
            <v>VPFC</v>
          </cell>
          <cell r="N74" t="str">
            <v>10.8X27.8</v>
          </cell>
          <cell r="P74">
            <v>27500.000000000004</v>
          </cell>
          <cell r="AG74">
            <v>68</v>
          </cell>
        </row>
        <row r="75">
          <cell r="A75" t="str">
            <v>P006</v>
          </cell>
          <cell r="K75" t="str">
            <v>P006Inside1/3DPFC</v>
          </cell>
          <cell r="L75" t="str">
            <v>Inside</v>
          </cell>
          <cell r="M75" t="str">
            <v>1/3DPFC</v>
          </cell>
          <cell r="N75" t="str">
            <v>45X9.1</v>
          </cell>
          <cell r="P75">
            <v>34100</v>
          </cell>
          <cell r="AG75">
            <v>69</v>
          </cell>
        </row>
        <row r="76">
          <cell r="A76" t="str">
            <v>P006</v>
          </cell>
          <cell r="K76" t="str">
            <v>P006Inside1/3HPFC</v>
          </cell>
          <cell r="L76" t="str">
            <v>Inside</v>
          </cell>
          <cell r="M76" t="str">
            <v>1/3HPFC</v>
          </cell>
          <cell r="N76" t="str">
            <v>22X9.1</v>
          </cell>
          <cell r="P76">
            <v>19800</v>
          </cell>
          <cell r="AG76">
            <v>70</v>
          </cell>
        </row>
        <row r="77">
          <cell r="A77" t="str">
            <v>P006</v>
          </cell>
          <cell r="K77" t="str">
            <v>P006Inside1/3VPFC</v>
          </cell>
          <cell r="L77" t="str">
            <v>Inside</v>
          </cell>
          <cell r="M77" t="str">
            <v>1/3VPFC</v>
          </cell>
          <cell r="N77" t="str">
            <v>7.1X27.8</v>
          </cell>
          <cell r="P77">
            <v>18700</v>
          </cell>
          <cell r="AG77">
            <v>71</v>
          </cell>
        </row>
        <row r="78">
          <cell r="A78" t="str">
            <v>P006</v>
          </cell>
          <cell r="K78" t="str">
            <v>P006Inside1/4DPFC</v>
          </cell>
          <cell r="L78" t="str">
            <v>Inside</v>
          </cell>
          <cell r="M78" t="str">
            <v>1/4DPFC</v>
          </cell>
          <cell r="N78" t="str">
            <v>45X6.7</v>
          </cell>
          <cell r="P78">
            <v>29700.000000000004</v>
          </cell>
          <cell r="AG78">
            <v>72</v>
          </cell>
        </row>
        <row r="79">
          <cell r="A79" t="str">
            <v>P006</v>
          </cell>
          <cell r="K79" t="str">
            <v>P006Inside1/4C</v>
          </cell>
          <cell r="L79" t="str">
            <v>Inside</v>
          </cell>
          <cell r="M79" t="str">
            <v>1/4C</v>
          </cell>
          <cell r="N79" t="str">
            <v>10.8X13.7</v>
          </cell>
          <cell r="P79">
            <v>15400.000000000002</v>
          </cell>
          <cell r="AG79">
            <v>73</v>
          </cell>
        </row>
        <row r="80">
          <cell r="A80" t="str">
            <v>P006</v>
          </cell>
          <cell r="K80" t="str">
            <v>P006InsideQPFC</v>
          </cell>
          <cell r="L80" t="str">
            <v>Inside</v>
          </cell>
          <cell r="M80" t="str">
            <v>QPFC</v>
          </cell>
          <cell r="N80" t="str">
            <v>22X6.7</v>
          </cell>
          <cell r="P80">
            <v>16500</v>
          </cell>
          <cell r="AG80">
            <v>74</v>
          </cell>
        </row>
        <row r="81">
          <cell r="A81" t="str">
            <v>P006</v>
          </cell>
          <cell r="K81" t="str">
            <v>P006InsideGatefold</v>
          </cell>
          <cell r="L81" t="str">
            <v>Inside</v>
          </cell>
          <cell r="M81" t="str">
            <v>Gatefold</v>
          </cell>
          <cell r="P81" t="str">
            <v>FPFC*3- dis+ 18.000</v>
          </cell>
          <cell r="AG81">
            <v>75</v>
          </cell>
        </row>
        <row r="82">
          <cell r="A82" t="str">
            <v>P006</v>
          </cell>
          <cell r="B82" t="str">
            <v>THE THAO HANG NGAY</v>
          </cell>
          <cell r="C82">
            <v>9102539</v>
          </cell>
          <cell r="D82">
            <v>8222143</v>
          </cell>
          <cell r="E82" t="str">
            <v>48 Nguyen Dinh Chieu Q1</v>
          </cell>
          <cell r="F82" t="str">
            <v>Ms Yen 0903735445</v>
          </cell>
          <cell r="G82" t="str">
            <v>Daily</v>
          </cell>
          <cell r="H82">
            <v>200000</v>
          </cell>
          <cell r="I82">
            <v>0.15</v>
          </cell>
          <cell r="K82" t="str">
            <v>P006Strip ad</v>
          </cell>
          <cell r="L82" t="str">
            <v>Strip ad</v>
          </cell>
          <cell r="M82" t="str">
            <v>FPFC</v>
          </cell>
          <cell r="N82" t="str">
            <v>22X6.7</v>
          </cell>
          <cell r="P82">
            <v>16500</v>
          </cell>
          <cell r="Q82">
            <v>0.15</v>
          </cell>
          <cell r="AC82">
            <v>15</v>
          </cell>
          <cell r="AD82">
            <v>7</v>
          </cell>
          <cell r="AE82">
            <v>100</v>
          </cell>
          <cell r="AF82" t="str">
            <v>CD</v>
          </cell>
          <cell r="AG82">
            <v>76</v>
          </cell>
        </row>
        <row r="83">
          <cell r="A83" t="str">
            <v>THE GIOI PHU NU</v>
          </cell>
          <cell r="B83" t="str">
            <v>12F</v>
          </cell>
          <cell r="K83" t="str">
            <v>THE GIOI PHU NU</v>
          </cell>
          <cell r="L83" t="str">
            <v>Inside</v>
          </cell>
          <cell r="M83" t="str">
            <v>FPBW</v>
          </cell>
          <cell r="N83" t="str">
            <v>26X38</v>
          </cell>
          <cell r="P83">
            <v>16000</v>
          </cell>
          <cell r="AG83">
            <v>77</v>
          </cell>
        </row>
        <row r="84">
          <cell r="A84" t="str">
            <v>P007</v>
          </cell>
          <cell r="B84" t="str">
            <v>THE THAO HANG NGAY</v>
          </cell>
          <cell r="C84">
            <v>9102539</v>
          </cell>
          <cell r="D84">
            <v>8222143</v>
          </cell>
          <cell r="E84" t="str">
            <v>48 Nguyen Dinh Chieu Q1</v>
          </cell>
          <cell r="F84" t="str">
            <v>Ms Yen 0903735445</v>
          </cell>
          <cell r="G84" t="str">
            <v>Daily</v>
          </cell>
          <cell r="H84">
            <v>200000</v>
          </cell>
          <cell r="I84">
            <v>0.15</v>
          </cell>
          <cell r="K84" t="str">
            <v>P007InsideFPFC</v>
          </cell>
          <cell r="L84" t="str">
            <v>Inside</v>
          </cell>
          <cell r="M84" t="str">
            <v>FPFC</v>
          </cell>
          <cell r="N84" t="str">
            <v>26X38</v>
          </cell>
          <cell r="P84">
            <v>28000</v>
          </cell>
          <cell r="Q84">
            <v>0.15</v>
          </cell>
          <cell r="AC84">
            <v>15</v>
          </cell>
          <cell r="AD84">
            <v>7</v>
          </cell>
          <cell r="AE84">
            <v>100</v>
          </cell>
          <cell r="AF84" t="str">
            <v>CD</v>
          </cell>
          <cell r="AG84">
            <v>78</v>
          </cell>
        </row>
        <row r="85">
          <cell r="A85" t="str">
            <v>P007</v>
          </cell>
          <cell r="B85" t="str">
            <v>12F</v>
          </cell>
          <cell r="K85" t="str">
            <v>P007InsideFPBW</v>
          </cell>
          <cell r="L85" t="str">
            <v>Inside</v>
          </cell>
          <cell r="M85" t="str">
            <v>FPBW</v>
          </cell>
          <cell r="N85" t="str">
            <v>26X38</v>
          </cell>
          <cell r="P85">
            <v>16000</v>
          </cell>
          <cell r="AG85">
            <v>79</v>
          </cell>
        </row>
        <row r="86">
          <cell r="A86" t="str">
            <v>P007</v>
          </cell>
          <cell r="K86" t="str">
            <v>P007InsideHPFC</v>
          </cell>
          <cell r="L86" t="str">
            <v>Inside</v>
          </cell>
          <cell r="M86" t="str">
            <v>HPFC</v>
          </cell>
          <cell r="N86" t="str">
            <v>26X19</v>
          </cell>
          <cell r="P86">
            <v>14000</v>
          </cell>
          <cell r="AG86">
            <v>80</v>
          </cell>
        </row>
        <row r="87">
          <cell r="A87" t="str">
            <v>P007</v>
          </cell>
          <cell r="K87" t="str">
            <v>P007InsideHPBW</v>
          </cell>
          <cell r="L87" t="str">
            <v>Inside</v>
          </cell>
          <cell r="M87" t="str">
            <v>HPBW</v>
          </cell>
          <cell r="N87" t="str">
            <v>26X19</v>
          </cell>
          <cell r="P87">
            <v>8000</v>
          </cell>
          <cell r="AG87">
            <v>81</v>
          </cell>
        </row>
        <row r="88">
          <cell r="A88" t="str">
            <v>P007</v>
          </cell>
          <cell r="K88" t="str">
            <v>P007Inside1/4VPBW</v>
          </cell>
          <cell r="L88" t="str">
            <v>Inside</v>
          </cell>
          <cell r="M88" t="str">
            <v>1/4VPBW</v>
          </cell>
          <cell r="N88" t="str">
            <v>19X13</v>
          </cell>
          <cell r="P88">
            <v>4000</v>
          </cell>
          <cell r="AG88">
            <v>82</v>
          </cell>
        </row>
        <row r="89">
          <cell r="A89" t="str">
            <v>P007</v>
          </cell>
          <cell r="K89" t="str">
            <v>P007FirstFPFC</v>
          </cell>
          <cell r="L89" t="str">
            <v>First</v>
          </cell>
          <cell r="M89" t="str">
            <v>FPFC</v>
          </cell>
          <cell r="N89" t="str">
            <v>26X38</v>
          </cell>
          <cell r="P89">
            <v>33600</v>
          </cell>
          <cell r="AG89">
            <v>83</v>
          </cell>
        </row>
        <row r="90">
          <cell r="A90" t="str">
            <v>P007</v>
          </cell>
          <cell r="B90" t="str">
            <v>CAM NANG TIEU DUNG DAN ONG</v>
          </cell>
          <cell r="C90">
            <v>9305377</v>
          </cell>
          <cell r="D90">
            <v>9305378</v>
          </cell>
          <cell r="E90" t="str">
            <v>Cty Sai Gon Truyen Thong 25 Ngo Thoi Nhiem Q3</v>
          </cell>
          <cell r="F90" t="str">
            <v>Ms Phuong 0989333209</v>
          </cell>
          <cell r="G90" t="str">
            <v>5th/ Monthly</v>
          </cell>
          <cell r="H90">
            <v>80</v>
          </cell>
          <cell r="I90">
            <v>0.2</v>
          </cell>
          <cell r="K90" t="str">
            <v>P007FirstFPBW</v>
          </cell>
          <cell r="L90" t="str">
            <v>First</v>
          </cell>
          <cell r="M90" t="str">
            <v>FPBW</v>
          </cell>
          <cell r="N90" t="str">
            <v>26X38</v>
          </cell>
          <cell r="P90">
            <v>19200</v>
          </cell>
          <cell r="Q90">
            <v>0.2</v>
          </cell>
          <cell r="AC90">
            <v>15</v>
          </cell>
          <cell r="AD90">
            <v>10</v>
          </cell>
          <cell r="AE90" t="str">
            <v>300 DPI</v>
          </cell>
          <cell r="AF90" t="str">
            <v>CD</v>
          </cell>
          <cell r="AG90">
            <v>84</v>
          </cell>
        </row>
        <row r="91">
          <cell r="A91" t="str">
            <v>THE THAO HANG NGAY</v>
          </cell>
          <cell r="B91" t="str">
            <v>1F</v>
          </cell>
          <cell r="K91" t="str">
            <v>THE THAO HANG NGAY</v>
          </cell>
          <cell r="L91" t="str">
            <v>Cover 2</v>
          </cell>
          <cell r="M91" t="str">
            <v>FPFC</v>
          </cell>
          <cell r="N91" t="str">
            <v>19X26</v>
          </cell>
          <cell r="P91">
            <v>14000</v>
          </cell>
          <cell r="AG91">
            <v>85</v>
          </cell>
        </row>
        <row r="92">
          <cell r="A92" t="str">
            <v>P008</v>
          </cell>
          <cell r="B92" t="str">
            <v>CAM NANG TIEU DUNG DAN ONG</v>
          </cell>
          <cell r="C92">
            <v>9305377</v>
          </cell>
          <cell r="D92">
            <v>9305378</v>
          </cell>
          <cell r="E92" t="str">
            <v>Cty Sai Gon Truyen Thong 25 Ngo Thoi Nhiem Q3</v>
          </cell>
          <cell r="F92" t="str">
            <v>Ms Phuong 0989333209</v>
          </cell>
          <cell r="G92" t="str">
            <v>5/ Monthly</v>
          </cell>
          <cell r="H92">
            <v>80</v>
          </cell>
          <cell r="I92">
            <v>0.2</v>
          </cell>
          <cell r="K92" t="str">
            <v>P008Cover 4FPFC</v>
          </cell>
          <cell r="L92" t="str">
            <v>Cover 4</v>
          </cell>
          <cell r="M92" t="str">
            <v>FPFC</v>
          </cell>
          <cell r="N92" t="str">
            <v>19X26</v>
          </cell>
          <cell r="P92">
            <v>16000</v>
          </cell>
          <cell r="Q92">
            <v>0.2</v>
          </cell>
          <cell r="AC92">
            <v>15</v>
          </cell>
          <cell r="AD92">
            <v>14</v>
          </cell>
          <cell r="AE92" t="str">
            <v>300 DPI</v>
          </cell>
          <cell r="AF92" t="str">
            <v>CD</v>
          </cell>
          <cell r="AG92">
            <v>86</v>
          </cell>
        </row>
        <row r="93">
          <cell r="A93" t="str">
            <v>P008</v>
          </cell>
          <cell r="B93" t="str">
            <v>1F</v>
          </cell>
          <cell r="K93" t="str">
            <v>P008Cover 2FPFC</v>
          </cell>
          <cell r="L93" t="str">
            <v>Cover 2</v>
          </cell>
          <cell r="M93" t="str">
            <v>FPFC</v>
          </cell>
          <cell r="N93" t="str">
            <v>19X26</v>
          </cell>
          <cell r="O93" t="str">
            <v>22.3X29.1</v>
          </cell>
          <cell r="P93">
            <v>14000</v>
          </cell>
          <cell r="AG93">
            <v>87</v>
          </cell>
        </row>
        <row r="94">
          <cell r="A94" t="str">
            <v>P008</v>
          </cell>
          <cell r="K94" t="str">
            <v>P008Cover 3FPFC</v>
          </cell>
          <cell r="L94" t="str">
            <v>Cover 3</v>
          </cell>
          <cell r="M94" t="str">
            <v>FPFC</v>
          </cell>
          <cell r="N94" t="str">
            <v>19X26</v>
          </cell>
          <cell r="O94" t="str">
            <v>22.3X29.1</v>
          </cell>
          <cell r="P94">
            <v>14000</v>
          </cell>
          <cell r="AG94">
            <v>88</v>
          </cell>
        </row>
        <row r="95">
          <cell r="A95" t="str">
            <v>P008</v>
          </cell>
          <cell r="K95" t="str">
            <v>P008InsideFPFC</v>
          </cell>
          <cell r="L95" t="str">
            <v>Inside</v>
          </cell>
          <cell r="M95" t="str">
            <v>FPFC</v>
          </cell>
          <cell r="N95" t="str">
            <v>19X26</v>
          </cell>
          <cell r="O95" t="str">
            <v>22.3X29.1</v>
          </cell>
          <cell r="P95">
            <v>10000</v>
          </cell>
          <cell r="AG95">
            <v>89</v>
          </cell>
        </row>
        <row r="96">
          <cell r="A96" t="str">
            <v>P008</v>
          </cell>
          <cell r="K96" t="str">
            <v>P008FirstFPFC</v>
          </cell>
          <cell r="L96" t="str">
            <v>First</v>
          </cell>
          <cell r="M96" t="str">
            <v>FPFC</v>
          </cell>
          <cell r="N96" t="str">
            <v>19X26</v>
          </cell>
          <cell r="O96" t="str">
            <v>22.3X29.1</v>
          </cell>
          <cell r="P96">
            <v>12000</v>
          </cell>
          <cell r="AG96">
            <v>90</v>
          </cell>
        </row>
        <row r="97">
          <cell r="A97" t="str">
            <v>P008</v>
          </cell>
          <cell r="K97" t="str">
            <v>P008InsideHPFC</v>
          </cell>
          <cell r="L97" t="str">
            <v>Inside</v>
          </cell>
          <cell r="M97" t="str">
            <v>HPFC</v>
          </cell>
          <cell r="N97" t="str">
            <v>19X13</v>
          </cell>
          <cell r="P97">
            <v>6000</v>
          </cell>
          <cell r="AG97">
            <v>91</v>
          </cell>
        </row>
        <row r="98">
          <cell r="A98" t="str">
            <v>P008</v>
          </cell>
          <cell r="K98" t="str">
            <v>P008InsideVPFC</v>
          </cell>
          <cell r="L98" t="str">
            <v>Inside</v>
          </cell>
          <cell r="M98" t="str">
            <v>VPFC</v>
          </cell>
          <cell r="N98" t="str">
            <v>9X26</v>
          </cell>
          <cell r="P98">
            <v>6000</v>
          </cell>
          <cell r="AG98">
            <v>92</v>
          </cell>
        </row>
        <row r="99">
          <cell r="A99" t="str">
            <v>P008</v>
          </cell>
          <cell r="K99" t="str">
            <v>P008Inside1/3HPFC</v>
          </cell>
          <cell r="L99" t="str">
            <v>Inside</v>
          </cell>
          <cell r="M99" t="str">
            <v>1/3HPFC</v>
          </cell>
          <cell r="N99" t="str">
            <v>19X8.5</v>
          </cell>
          <cell r="P99">
            <v>4500</v>
          </cell>
          <cell r="AG99">
            <v>93</v>
          </cell>
        </row>
        <row r="100">
          <cell r="A100" t="str">
            <v>P008</v>
          </cell>
          <cell r="K100" t="str">
            <v>P008Inside1/3VPFC</v>
          </cell>
          <cell r="L100" t="str">
            <v>Inside</v>
          </cell>
          <cell r="M100" t="str">
            <v>1/3VPFC</v>
          </cell>
          <cell r="N100" t="str">
            <v>6X26</v>
          </cell>
          <cell r="P100">
            <v>4500</v>
          </cell>
          <cell r="AG100">
            <v>94</v>
          </cell>
        </row>
        <row r="101">
          <cell r="A101" t="str">
            <v>P008</v>
          </cell>
          <cell r="B101" t="str">
            <v>NHIP CAU DAU TU</v>
          </cell>
          <cell r="C101">
            <v>8272783</v>
          </cell>
          <cell r="D101">
            <v>8274755</v>
          </cell>
          <cell r="E101" t="str">
            <v>Lau 3, 71-75 Hai Ba Trung tang 3, Tp. HCM</v>
          </cell>
          <cell r="F101" t="str">
            <v>Ms Lan 0903760866</v>
          </cell>
          <cell r="G101" t="str">
            <v>10,25/ Monthly</v>
          </cell>
          <cell r="H101">
            <v>50000</v>
          </cell>
          <cell r="I101">
            <v>0.5</v>
          </cell>
          <cell r="K101" t="str">
            <v>P008Inside1/4HPFC</v>
          </cell>
          <cell r="L101" t="str">
            <v>Inside</v>
          </cell>
          <cell r="M101" t="str">
            <v>1/4HPFC</v>
          </cell>
          <cell r="N101" t="str">
            <v>19X6.5</v>
          </cell>
          <cell r="O101" t="str">
            <v>20.6X27.6</v>
          </cell>
          <cell r="P101">
            <v>3000</v>
          </cell>
          <cell r="Q101">
            <v>0.5</v>
          </cell>
          <cell r="AC101">
            <v>15</v>
          </cell>
          <cell r="AD101">
            <v>10</v>
          </cell>
          <cell r="AE101" t="str">
            <v>350 DPI</v>
          </cell>
          <cell r="AF101" t="str">
            <v>CD (TIFF/ EPS)</v>
          </cell>
          <cell r="AG101">
            <v>95</v>
          </cell>
        </row>
        <row r="102">
          <cell r="A102" t="str">
            <v>P008</v>
          </cell>
          <cell r="B102" t="str">
            <v>7C</v>
          </cell>
          <cell r="C102">
            <v>8272783</v>
          </cell>
          <cell r="D102">
            <v>8274755</v>
          </cell>
          <cell r="E102" t="str">
            <v>Lau 3, 71-75 Hai Ba Trung tang 3, Tp. HCM</v>
          </cell>
          <cell r="F102" t="str">
            <v>Ms Lan 0903760866</v>
          </cell>
          <cell r="G102" t="str">
            <v>10,25/ Monthly</v>
          </cell>
          <cell r="H102">
            <v>50000</v>
          </cell>
          <cell r="I102">
            <v>0.5</v>
          </cell>
          <cell r="K102" t="str">
            <v>P008Inside1/4VPFC</v>
          </cell>
          <cell r="L102" t="str">
            <v>Inside</v>
          </cell>
          <cell r="M102" t="str">
            <v>1/4VPFC</v>
          </cell>
          <cell r="N102" t="str">
            <v>9X13</v>
          </cell>
          <cell r="O102" t="str">
            <v>20.6X27.6</v>
          </cell>
          <cell r="P102">
            <v>3000</v>
          </cell>
          <cell r="Q102">
            <v>0.5</v>
          </cell>
          <cell r="AC102">
            <v>15</v>
          </cell>
          <cell r="AD102">
            <v>10</v>
          </cell>
          <cell r="AE102" t="str">
            <v>350 DPI</v>
          </cell>
          <cell r="AF102" t="str">
            <v>CD (TIFF/ EPS)</v>
          </cell>
          <cell r="AG102">
            <v>96</v>
          </cell>
        </row>
        <row r="103">
          <cell r="A103" t="str">
            <v>CAM NANG TIEU DUNG DAN ONG</v>
          </cell>
          <cell r="B103" t="str">
            <v>7C</v>
          </cell>
          <cell r="K103" t="str">
            <v>CAM NANG TIEU DUNG DAN ONG</v>
          </cell>
          <cell r="L103" t="str">
            <v>Inside</v>
          </cell>
          <cell r="M103" t="str">
            <v>2/3VPFC</v>
          </cell>
          <cell r="P103">
            <v>17600</v>
          </cell>
          <cell r="AG103">
            <v>97</v>
          </cell>
        </row>
        <row r="104">
          <cell r="A104" t="str">
            <v>P009</v>
          </cell>
          <cell r="B104" t="str">
            <v>NHIP CAU DAU TU</v>
          </cell>
          <cell r="C104">
            <v>8272783</v>
          </cell>
          <cell r="D104">
            <v>8274755</v>
          </cell>
          <cell r="E104" t="str">
            <v>Lau 3, 71-75 Hai Ba Trung tang 3, Tp. HCM</v>
          </cell>
          <cell r="F104" t="str">
            <v>Ms Lan 0903760866</v>
          </cell>
          <cell r="G104" t="str">
            <v>10,25/ Monthly</v>
          </cell>
          <cell r="H104">
            <v>50000</v>
          </cell>
          <cell r="I104">
            <v>0.5</v>
          </cell>
          <cell r="K104" t="str">
            <v>P009InsideFPFC</v>
          </cell>
          <cell r="L104" t="str">
            <v>Inside</v>
          </cell>
          <cell r="M104" t="str">
            <v>FPFC</v>
          </cell>
          <cell r="N104" t="str">
            <v>19X26</v>
          </cell>
          <cell r="O104" t="str">
            <v>20.6X27.6</v>
          </cell>
          <cell r="P104">
            <v>26400.000000000004</v>
          </cell>
          <cell r="Q104">
            <v>0.5</v>
          </cell>
          <cell r="AC104">
            <v>15</v>
          </cell>
          <cell r="AD104">
            <v>10</v>
          </cell>
          <cell r="AE104" t="str">
            <v>350 DPI</v>
          </cell>
          <cell r="AF104" t="str">
            <v>CD (TIFF/ EPS)</v>
          </cell>
          <cell r="AG104">
            <v>98</v>
          </cell>
        </row>
        <row r="105">
          <cell r="A105" t="str">
            <v>P009</v>
          </cell>
          <cell r="B105" t="str">
            <v>7C</v>
          </cell>
          <cell r="K105" t="str">
            <v>P009Inside2/3HPFC</v>
          </cell>
          <cell r="L105" t="str">
            <v>Inside</v>
          </cell>
          <cell r="M105" t="str">
            <v>2/3HPFC</v>
          </cell>
          <cell r="P105">
            <v>17600</v>
          </cell>
          <cell r="AG105">
            <v>99</v>
          </cell>
        </row>
        <row r="106">
          <cell r="A106" t="str">
            <v>P009</v>
          </cell>
          <cell r="K106" t="str">
            <v>P009Inside2/3VPFC</v>
          </cell>
          <cell r="L106" t="str">
            <v>Inside</v>
          </cell>
          <cell r="M106" t="str">
            <v>2/3VPFC</v>
          </cell>
          <cell r="P106">
            <v>17600</v>
          </cell>
          <cell r="AG106">
            <v>100</v>
          </cell>
        </row>
        <row r="107">
          <cell r="A107" t="str">
            <v>P009</v>
          </cell>
          <cell r="K107" t="str">
            <v>P009InsideHPFC</v>
          </cell>
          <cell r="L107" t="str">
            <v>Inside</v>
          </cell>
          <cell r="M107" t="str">
            <v>HPFC</v>
          </cell>
          <cell r="P107">
            <v>13200.000000000002</v>
          </cell>
          <cell r="AG107">
            <v>101</v>
          </cell>
        </row>
        <row r="108">
          <cell r="A108" t="str">
            <v>P009</v>
          </cell>
          <cell r="K108" t="str">
            <v>P009InsideDPFC</v>
          </cell>
          <cell r="L108" t="str">
            <v>Inside</v>
          </cell>
          <cell r="M108" t="str">
            <v>DPFC</v>
          </cell>
          <cell r="P108">
            <v>49500.000000000007</v>
          </cell>
          <cell r="AG108">
            <v>102</v>
          </cell>
        </row>
        <row r="109">
          <cell r="A109" t="str">
            <v>P009</v>
          </cell>
          <cell r="K109" t="str">
            <v>P009FirstFPFC</v>
          </cell>
          <cell r="L109" t="str">
            <v>First</v>
          </cell>
          <cell r="M109" t="str">
            <v>FPFC</v>
          </cell>
          <cell r="P109">
            <v>36300</v>
          </cell>
          <cell r="AG109">
            <v>103</v>
          </cell>
        </row>
        <row r="110">
          <cell r="A110" t="str">
            <v>P009</v>
          </cell>
          <cell r="K110" t="str">
            <v>P009SecondFPFC</v>
          </cell>
          <cell r="L110" t="str">
            <v>Second</v>
          </cell>
          <cell r="M110" t="str">
            <v>FPFC</v>
          </cell>
          <cell r="P110">
            <v>30800.000000000004</v>
          </cell>
          <cell r="AG110">
            <v>104</v>
          </cell>
        </row>
        <row r="111">
          <cell r="A111" t="str">
            <v>P009</v>
          </cell>
          <cell r="K111" t="str">
            <v>P009Cover 2FPFC</v>
          </cell>
          <cell r="L111" t="str">
            <v>Cover 2</v>
          </cell>
          <cell r="M111" t="str">
            <v>FPFC</v>
          </cell>
          <cell r="P111">
            <v>38500</v>
          </cell>
          <cell r="AG111">
            <v>105</v>
          </cell>
        </row>
        <row r="112">
          <cell r="A112" t="str">
            <v>P009</v>
          </cell>
          <cell r="K112" t="str">
            <v>P009Cover 3FPFC</v>
          </cell>
          <cell r="L112" t="str">
            <v>Cover 3</v>
          </cell>
          <cell r="M112" t="str">
            <v>FPFC</v>
          </cell>
          <cell r="P112">
            <v>35200</v>
          </cell>
          <cell r="AG112">
            <v>106</v>
          </cell>
        </row>
        <row r="113">
          <cell r="A113" t="str">
            <v>P009</v>
          </cell>
          <cell r="K113" t="str">
            <v>P009Cover 4FPFC</v>
          </cell>
          <cell r="L113" t="str">
            <v>Cover 4</v>
          </cell>
          <cell r="M113" t="str">
            <v>FPFC</v>
          </cell>
          <cell r="P113">
            <v>44000</v>
          </cell>
          <cell r="AG113">
            <v>107</v>
          </cell>
        </row>
        <row r="114">
          <cell r="A114" t="str">
            <v>P009</v>
          </cell>
          <cell r="B114" t="str">
            <v>TBKTSG</v>
          </cell>
          <cell r="C114">
            <v>8214393</v>
          </cell>
          <cell r="D114">
            <v>8295742</v>
          </cell>
          <cell r="E114" t="str">
            <v>35 NKKN Q1</v>
          </cell>
          <cell r="F114" t="str">
            <v>Ms Huong 0913118711</v>
          </cell>
          <cell r="G114" t="str">
            <v>Thu/ Weekly</v>
          </cell>
          <cell r="H114">
            <v>55000</v>
          </cell>
          <cell r="I114">
            <v>0.15</v>
          </cell>
          <cell r="K114" t="str">
            <v>P009Cover 4DPFC</v>
          </cell>
          <cell r="L114" t="str">
            <v>Cover 4</v>
          </cell>
          <cell r="M114" t="str">
            <v>DPFC</v>
          </cell>
          <cell r="N114" t="str">
            <v>17.5X25</v>
          </cell>
          <cell r="P114">
            <v>55000.000000000007</v>
          </cell>
          <cell r="Q114">
            <v>0.15</v>
          </cell>
          <cell r="AC114">
            <v>15</v>
          </cell>
          <cell r="AD114">
            <v>10</v>
          </cell>
          <cell r="AE114" t="str">
            <v>350 DPI</v>
          </cell>
          <cell r="AF114" t="str">
            <v>CD</v>
          </cell>
          <cell r="AG114">
            <v>108</v>
          </cell>
        </row>
        <row r="115">
          <cell r="A115" t="str">
            <v>P009</v>
          </cell>
          <cell r="B115" t="str">
            <v>10G</v>
          </cell>
          <cell r="C115">
            <v>8214393</v>
          </cell>
          <cell r="D115">
            <v>8295742</v>
          </cell>
          <cell r="E115" t="str">
            <v>35 NKKN Q1</v>
          </cell>
          <cell r="F115" t="str">
            <v>Ms Huong 0913118711</v>
          </cell>
          <cell r="G115" t="str">
            <v>Thu/ Weekly</v>
          </cell>
          <cell r="H115">
            <v>55000</v>
          </cell>
          <cell r="I115">
            <v>0.15</v>
          </cell>
          <cell r="K115" t="str">
            <v>P009Cover 2DPFC</v>
          </cell>
          <cell r="L115" t="str">
            <v>Cover 2</v>
          </cell>
          <cell r="M115" t="str">
            <v>DPFC</v>
          </cell>
          <cell r="N115" t="str">
            <v>17.5X25</v>
          </cell>
          <cell r="P115">
            <v>63800.000000000007</v>
          </cell>
          <cell r="Q115">
            <v>0.15</v>
          </cell>
          <cell r="AC115">
            <v>15</v>
          </cell>
          <cell r="AD115">
            <v>10</v>
          </cell>
          <cell r="AE115" t="str">
            <v>350 DPI</v>
          </cell>
          <cell r="AF115" t="str">
            <v>CD</v>
          </cell>
          <cell r="AG115">
            <v>109</v>
          </cell>
        </row>
        <row r="116">
          <cell r="A116" t="str">
            <v>NHIP CAU DAU TU</v>
          </cell>
          <cell r="B116" t="str">
            <v>10G</v>
          </cell>
          <cell r="K116" t="str">
            <v>NHIP CAU DAU TU</v>
          </cell>
          <cell r="L116" t="str">
            <v>Cover 3</v>
          </cell>
          <cell r="M116" t="str">
            <v>FPFC</v>
          </cell>
          <cell r="N116" t="str">
            <v>17.5X25</v>
          </cell>
          <cell r="P116">
            <v>25440</v>
          </cell>
          <cell r="AG116">
            <v>110</v>
          </cell>
        </row>
        <row r="117">
          <cell r="A117" t="str">
            <v>P010</v>
          </cell>
          <cell r="B117" t="str">
            <v>TBKTSG</v>
          </cell>
          <cell r="C117">
            <v>8214393</v>
          </cell>
          <cell r="D117">
            <v>8295742</v>
          </cell>
          <cell r="E117" t="str">
            <v>35 NKKN Q1</v>
          </cell>
          <cell r="F117" t="str">
            <v>Ms Huong 0913118711</v>
          </cell>
          <cell r="G117" t="str">
            <v>Thu/ Weekly</v>
          </cell>
          <cell r="H117">
            <v>55000</v>
          </cell>
          <cell r="I117">
            <v>0.15</v>
          </cell>
          <cell r="K117" t="str">
            <v>P010Cover 4FPFC</v>
          </cell>
          <cell r="L117" t="str">
            <v>Cover 4</v>
          </cell>
          <cell r="M117" t="str">
            <v>FPFC</v>
          </cell>
          <cell r="N117" t="str">
            <v>17.5X25</v>
          </cell>
          <cell r="P117">
            <v>31800</v>
          </cell>
          <cell r="Q117">
            <v>0.15</v>
          </cell>
          <cell r="AC117">
            <v>15</v>
          </cell>
          <cell r="AD117">
            <v>10</v>
          </cell>
          <cell r="AE117" t="str">
            <v>350 DPI</v>
          </cell>
          <cell r="AF117" t="str">
            <v>CD</v>
          </cell>
          <cell r="AG117">
            <v>111</v>
          </cell>
        </row>
        <row r="118">
          <cell r="A118" t="str">
            <v>P010</v>
          </cell>
          <cell r="B118" t="str">
            <v>10G</v>
          </cell>
          <cell r="K118" t="str">
            <v>P010FirstFPFC</v>
          </cell>
          <cell r="L118" t="str">
            <v>First</v>
          </cell>
          <cell r="M118" t="str">
            <v>FPFC</v>
          </cell>
          <cell r="N118" t="str">
            <v>17.5X25</v>
          </cell>
          <cell r="P118">
            <v>28620</v>
          </cell>
          <cell r="AG118">
            <v>112</v>
          </cell>
        </row>
        <row r="119">
          <cell r="A119" t="str">
            <v>P010</v>
          </cell>
          <cell r="K119" t="str">
            <v>P010Cover 3FPFC</v>
          </cell>
          <cell r="L119" t="str">
            <v>Cover 3</v>
          </cell>
          <cell r="M119" t="str">
            <v>FPFC</v>
          </cell>
          <cell r="N119" t="str">
            <v>17.5X25</v>
          </cell>
          <cell r="P119">
            <v>25440</v>
          </cell>
          <cell r="AG119">
            <v>113</v>
          </cell>
        </row>
        <row r="120">
          <cell r="A120" t="str">
            <v>P010</v>
          </cell>
          <cell r="K120" t="str">
            <v>P010InsideFPFC</v>
          </cell>
          <cell r="L120" t="str">
            <v>Inside</v>
          </cell>
          <cell r="M120" t="str">
            <v>FPFC</v>
          </cell>
          <cell r="N120" t="str">
            <v>17.5X25</v>
          </cell>
          <cell r="P120">
            <v>22260</v>
          </cell>
          <cell r="AG120">
            <v>114</v>
          </cell>
        </row>
        <row r="121">
          <cell r="A121" t="str">
            <v>P010</v>
          </cell>
          <cell r="K121" t="str">
            <v>P010InsideFPBW</v>
          </cell>
          <cell r="L121" t="str">
            <v>Inside</v>
          </cell>
          <cell r="M121" t="str">
            <v>FPBW</v>
          </cell>
          <cell r="N121" t="str">
            <v>17.5X25</v>
          </cell>
          <cell r="P121">
            <v>17490</v>
          </cell>
          <cell r="AG121">
            <v>115</v>
          </cell>
        </row>
        <row r="122">
          <cell r="A122" t="str">
            <v>P010</v>
          </cell>
          <cell r="K122" t="str">
            <v>P010InsideHPFC</v>
          </cell>
          <cell r="L122" t="str">
            <v>Inside</v>
          </cell>
          <cell r="M122" t="str">
            <v>HPFC</v>
          </cell>
          <cell r="N122" t="str">
            <v>17.5X12.3</v>
          </cell>
          <cell r="P122">
            <v>12720</v>
          </cell>
          <cell r="AG122">
            <v>116</v>
          </cell>
        </row>
        <row r="123">
          <cell r="A123" t="str">
            <v>P010</v>
          </cell>
          <cell r="K123" t="str">
            <v>P010InsideJPFC</v>
          </cell>
          <cell r="L123" t="str">
            <v>Inside</v>
          </cell>
          <cell r="M123" t="str">
            <v>JPFC</v>
          </cell>
          <cell r="N123" t="str">
            <v>11.5X19</v>
          </cell>
          <cell r="P123">
            <v>19080</v>
          </cell>
          <cell r="AG123">
            <v>117</v>
          </cell>
        </row>
        <row r="124">
          <cell r="A124" t="str">
            <v>P010</v>
          </cell>
          <cell r="B124" t="str">
            <v>THE THAO VH DAN ONG</v>
          </cell>
          <cell r="C124">
            <v>8484754</v>
          </cell>
          <cell r="D124">
            <v>8484753</v>
          </cell>
          <cell r="E124" t="str">
            <v>144A Ly Chinh Thang</v>
          </cell>
          <cell r="F124" t="str">
            <v>Ms Tham 0908678580</v>
          </cell>
          <cell r="G124" t="str">
            <v>25/ Monthly</v>
          </cell>
          <cell r="H124">
            <v>28500</v>
          </cell>
          <cell r="I124">
            <v>0.35</v>
          </cell>
          <cell r="J124">
            <v>0.1</v>
          </cell>
          <cell r="K124" t="str">
            <v>P010AdvertorialFPFC</v>
          </cell>
          <cell r="L124" t="str">
            <v>Advertorial</v>
          </cell>
          <cell r="M124" t="str">
            <v>FPFC</v>
          </cell>
          <cell r="N124" t="str">
            <v>17.5X25</v>
          </cell>
          <cell r="O124" t="str">
            <v>24X29.6</v>
          </cell>
          <cell r="P124">
            <v>23850</v>
          </cell>
          <cell r="Q124">
            <v>0.35</v>
          </cell>
          <cell r="R124">
            <v>0.1</v>
          </cell>
          <cell r="AC124">
            <v>15</v>
          </cell>
          <cell r="AD124">
            <v>10</v>
          </cell>
          <cell r="AE124" t="str">
            <v>350 DPI</v>
          </cell>
          <cell r="AF124" t="str">
            <v>CD</v>
          </cell>
          <cell r="AG124">
            <v>118</v>
          </cell>
        </row>
        <row r="125">
          <cell r="A125" t="str">
            <v>P010</v>
          </cell>
          <cell r="B125" t="str">
            <v>11C</v>
          </cell>
          <cell r="C125">
            <v>8484754</v>
          </cell>
          <cell r="D125">
            <v>8484753</v>
          </cell>
          <cell r="E125" t="str">
            <v>144A Ly Chinh Thang</v>
          </cell>
          <cell r="F125" t="str">
            <v>Ms Tham 0908678580</v>
          </cell>
          <cell r="G125" t="str">
            <v>25/ Monthly</v>
          </cell>
          <cell r="H125">
            <v>28500</v>
          </cell>
          <cell r="I125">
            <v>0.35</v>
          </cell>
          <cell r="J125">
            <v>0.1</v>
          </cell>
          <cell r="K125" t="str">
            <v>P010AdvertorialFPBW</v>
          </cell>
          <cell r="L125" t="str">
            <v>Advertorial</v>
          </cell>
          <cell r="M125" t="str">
            <v>FPBW</v>
          </cell>
          <cell r="N125" t="str">
            <v>17.5X25</v>
          </cell>
          <cell r="O125" t="str">
            <v>23.8X29.6</v>
          </cell>
          <cell r="P125">
            <v>19080</v>
          </cell>
          <cell r="Q125">
            <v>0.35</v>
          </cell>
          <cell r="R125">
            <v>0.1</v>
          </cell>
          <cell r="AC125">
            <v>15</v>
          </cell>
          <cell r="AD125">
            <v>14</v>
          </cell>
          <cell r="AE125" t="str">
            <v>350 DPI</v>
          </cell>
          <cell r="AF125" t="str">
            <v>CD</v>
          </cell>
          <cell r="AG125">
            <v>119</v>
          </cell>
        </row>
        <row r="126">
          <cell r="A126" t="str">
            <v>TBKTSG</v>
          </cell>
          <cell r="B126" t="str">
            <v>11C</v>
          </cell>
          <cell r="F126" t="str">
            <v>Lan 0908290108</v>
          </cell>
          <cell r="K126" t="str">
            <v>TBKTSG</v>
          </cell>
          <cell r="L126" t="str">
            <v>Cover 3</v>
          </cell>
          <cell r="M126" t="str">
            <v>FPFC</v>
          </cell>
          <cell r="N126" t="str">
            <v>22X28.2</v>
          </cell>
          <cell r="O126" t="str">
            <v>23.8X29.6</v>
          </cell>
          <cell r="P126">
            <v>40700</v>
          </cell>
          <cell r="AG126">
            <v>120</v>
          </cell>
        </row>
        <row r="127">
          <cell r="A127" t="str">
            <v>P011</v>
          </cell>
          <cell r="B127" t="str">
            <v>THE THAO VH DAN ONG</v>
          </cell>
          <cell r="C127">
            <v>8484754</v>
          </cell>
          <cell r="D127">
            <v>8484753</v>
          </cell>
          <cell r="E127" t="str">
            <v>144A Ly Chinh Thang</v>
          </cell>
          <cell r="F127" t="str">
            <v>Ms Tham 0908678580</v>
          </cell>
          <cell r="G127" t="str">
            <v>25/ Monthly</v>
          </cell>
          <cell r="H127">
            <v>28500</v>
          </cell>
          <cell r="I127">
            <v>0.35</v>
          </cell>
          <cell r="J127">
            <v>0.1</v>
          </cell>
          <cell r="K127" t="str">
            <v>P011InsideFPFC</v>
          </cell>
          <cell r="L127" t="str">
            <v>Inside</v>
          </cell>
          <cell r="M127" t="str">
            <v>FPFC</v>
          </cell>
          <cell r="N127" t="str">
            <v>22X28.2</v>
          </cell>
          <cell r="O127" t="str">
            <v>24X29.6</v>
          </cell>
          <cell r="P127">
            <v>30800.000000000004</v>
          </cell>
          <cell r="Q127">
            <v>0.35</v>
          </cell>
          <cell r="R127">
            <v>0.1</v>
          </cell>
          <cell r="AC127">
            <v>15</v>
          </cell>
          <cell r="AD127">
            <v>14</v>
          </cell>
          <cell r="AE127" t="str">
            <v>350 DPI</v>
          </cell>
          <cell r="AF127" t="str">
            <v>CD</v>
          </cell>
          <cell r="AG127">
            <v>121</v>
          </cell>
        </row>
        <row r="128">
          <cell r="A128" t="str">
            <v>P011</v>
          </cell>
          <cell r="B128" t="str">
            <v>11C</v>
          </cell>
          <cell r="F128" t="str">
            <v>Lan 0908290108</v>
          </cell>
          <cell r="K128" t="str">
            <v>P011Cover 2FPFC</v>
          </cell>
          <cell r="L128" t="str">
            <v>Cover 2</v>
          </cell>
          <cell r="M128" t="str">
            <v>FPFC</v>
          </cell>
          <cell r="N128" t="str">
            <v>22X28.2</v>
          </cell>
          <cell r="O128" t="str">
            <v>23.8X29.6</v>
          </cell>
          <cell r="P128">
            <v>44000</v>
          </cell>
          <cell r="AG128">
            <v>122</v>
          </cell>
        </row>
        <row r="129">
          <cell r="A129" t="str">
            <v>P011</v>
          </cell>
          <cell r="K129" t="str">
            <v>P011Cover 3FPFC</v>
          </cell>
          <cell r="L129" t="str">
            <v>Cover 3</v>
          </cell>
          <cell r="M129" t="str">
            <v>FPFC</v>
          </cell>
          <cell r="N129" t="str">
            <v>22X28.2</v>
          </cell>
          <cell r="O129" t="str">
            <v>23.8X29.6</v>
          </cell>
          <cell r="P129">
            <v>40700</v>
          </cell>
          <cell r="AG129">
            <v>123</v>
          </cell>
        </row>
        <row r="130">
          <cell r="A130" t="str">
            <v>P011</v>
          </cell>
          <cell r="K130" t="str">
            <v>P011Cover 4FPFC</v>
          </cell>
          <cell r="L130" t="str">
            <v>Cover 4</v>
          </cell>
          <cell r="M130" t="str">
            <v>FPFC</v>
          </cell>
          <cell r="N130" t="str">
            <v>22.8X28.2</v>
          </cell>
          <cell r="O130" t="str">
            <v>23.8X29.6</v>
          </cell>
          <cell r="P130">
            <v>51700.000000000007</v>
          </cell>
          <cell r="AG130">
            <v>124</v>
          </cell>
        </row>
        <row r="131">
          <cell r="A131" t="str">
            <v>P011</v>
          </cell>
          <cell r="K131" t="str">
            <v>P011InsideHPFC</v>
          </cell>
          <cell r="L131" t="str">
            <v>Inside</v>
          </cell>
          <cell r="M131" t="str">
            <v>HPFC</v>
          </cell>
          <cell r="N131" t="str">
            <v>22X13.9</v>
          </cell>
          <cell r="O131" t="str">
            <v>23.8X29.6</v>
          </cell>
          <cell r="P131">
            <v>19800</v>
          </cell>
          <cell r="AG131">
            <v>125</v>
          </cell>
        </row>
        <row r="132">
          <cell r="A132" t="str">
            <v>P011</v>
          </cell>
          <cell r="K132" t="str">
            <v>P011InsideVPFC</v>
          </cell>
          <cell r="L132" t="str">
            <v>Inside</v>
          </cell>
          <cell r="M132" t="str">
            <v>VPFC</v>
          </cell>
          <cell r="N132" t="str">
            <v>10.8X28.2</v>
          </cell>
          <cell r="O132" t="str">
            <v>23.8X29.6</v>
          </cell>
          <cell r="P132">
            <v>19800</v>
          </cell>
          <cell r="AG132">
            <v>126</v>
          </cell>
        </row>
        <row r="133">
          <cell r="A133" t="str">
            <v>P011</v>
          </cell>
          <cell r="K133" t="str">
            <v>P011Inside1/3VPFC</v>
          </cell>
          <cell r="L133" t="str">
            <v>Inside</v>
          </cell>
          <cell r="M133" t="str">
            <v>1/3VPFC</v>
          </cell>
          <cell r="N133" t="str">
            <v>7.5X28.2</v>
          </cell>
          <cell r="O133" t="str">
            <v>23.8X29.6</v>
          </cell>
          <cell r="P133">
            <v>15400.000000000002</v>
          </cell>
          <cell r="AG133">
            <v>127</v>
          </cell>
        </row>
        <row r="134">
          <cell r="A134" t="str">
            <v>P011</v>
          </cell>
          <cell r="B134" t="str">
            <v>TBKTVN</v>
          </cell>
          <cell r="C134" t="str">
            <v>04 7552060</v>
          </cell>
          <cell r="D134" t="str">
            <v>04 7552046</v>
          </cell>
          <cell r="E134" t="str">
            <v>96 Hoang Quoc Viet-HN</v>
          </cell>
          <cell r="F134" t="str">
            <v>Thanh Huong 0903225653- 0989149676</v>
          </cell>
          <cell r="G134" t="str">
            <v>2,3,4,5,6/ weekly</v>
          </cell>
          <cell r="H134">
            <v>43000</v>
          </cell>
          <cell r="I134">
            <v>0.18</v>
          </cell>
          <cell r="K134" t="str">
            <v>P011FirstFPFC</v>
          </cell>
          <cell r="L134" t="str">
            <v>First</v>
          </cell>
          <cell r="M134" t="str">
            <v>FPFC</v>
          </cell>
          <cell r="N134" t="str">
            <v>22.8X28.2</v>
          </cell>
          <cell r="O134" t="str">
            <v>23.8X29.6</v>
          </cell>
          <cell r="P134">
            <v>37400</v>
          </cell>
          <cell r="Q134">
            <v>0.15</v>
          </cell>
          <cell r="AC134">
            <v>15</v>
          </cell>
          <cell r="AD134">
            <v>10</v>
          </cell>
          <cell r="AE134">
            <v>133</v>
          </cell>
          <cell r="AF134" t="str">
            <v>CD</v>
          </cell>
          <cell r="AG134">
            <v>128</v>
          </cell>
        </row>
        <row r="135">
          <cell r="A135" t="str">
            <v>P011</v>
          </cell>
          <cell r="B135" t="str">
            <v>7G</v>
          </cell>
          <cell r="C135" t="str">
            <v>04 7552060</v>
          </cell>
          <cell r="D135" t="str">
            <v>04 7552046</v>
          </cell>
          <cell r="E135" t="str">
            <v>96 Hoang Quoc Viet-HN</v>
          </cell>
          <cell r="F135" t="str">
            <v>Giang 0904584595</v>
          </cell>
          <cell r="G135" t="str">
            <v>Mon- Fri/ Weekly</v>
          </cell>
          <cell r="H135">
            <v>43000</v>
          </cell>
          <cell r="I135">
            <v>0.18</v>
          </cell>
          <cell r="K135" t="str">
            <v>P011SecondFPFC</v>
          </cell>
          <cell r="L135" t="str">
            <v>Second</v>
          </cell>
          <cell r="M135" t="str">
            <v>FPFC</v>
          </cell>
          <cell r="N135" t="str">
            <v>22.8X28.2</v>
          </cell>
          <cell r="O135" t="str">
            <v>23.8X29.6</v>
          </cell>
          <cell r="P135">
            <v>35200</v>
          </cell>
          <cell r="Q135">
            <v>0.15</v>
          </cell>
          <cell r="AC135">
            <v>15</v>
          </cell>
          <cell r="AD135">
            <v>10</v>
          </cell>
          <cell r="AE135">
            <v>133</v>
          </cell>
          <cell r="AF135" t="str">
            <v>CD</v>
          </cell>
          <cell r="AG135">
            <v>129</v>
          </cell>
        </row>
        <row r="136">
          <cell r="A136" t="str">
            <v>THE THAO VH DAN ONG</v>
          </cell>
          <cell r="B136" t="str">
            <v>7G</v>
          </cell>
          <cell r="F136" t="str">
            <v>Giang 0904584595</v>
          </cell>
          <cell r="K136" t="str">
            <v>THE THAO VH DAN ONG</v>
          </cell>
          <cell r="L136" t="str">
            <v>Inside</v>
          </cell>
          <cell r="M136" t="str">
            <v>FPBW</v>
          </cell>
          <cell r="N136" t="str">
            <v>25.5X38</v>
          </cell>
          <cell r="P136">
            <v>20113.5</v>
          </cell>
          <cell r="AG136">
            <v>130</v>
          </cell>
        </row>
        <row r="137">
          <cell r="A137" t="str">
            <v>P012</v>
          </cell>
          <cell r="B137" t="str">
            <v>TBKTVN</v>
          </cell>
          <cell r="C137" t="str">
            <v>04 7552060</v>
          </cell>
          <cell r="D137" t="str">
            <v>04 7552046</v>
          </cell>
          <cell r="E137" t="str">
            <v>96 Hoang Quoc Viet-HN</v>
          </cell>
          <cell r="F137" t="str">
            <v>Thanh Huong 0903225653- 0989149676</v>
          </cell>
          <cell r="G137" t="str">
            <v>Mon- Fri/ Weekly</v>
          </cell>
          <cell r="H137">
            <v>43000</v>
          </cell>
          <cell r="I137">
            <v>0.18</v>
          </cell>
          <cell r="K137" t="str">
            <v>P012Cover 4FPFC</v>
          </cell>
          <cell r="L137" t="str">
            <v>Cover 4</v>
          </cell>
          <cell r="M137" t="str">
            <v>FPFC</v>
          </cell>
          <cell r="N137" t="str">
            <v>25.5X38</v>
          </cell>
          <cell r="P137">
            <v>29733</v>
          </cell>
          <cell r="Q137">
            <v>0.15</v>
          </cell>
          <cell r="AC137">
            <v>15</v>
          </cell>
          <cell r="AD137">
            <v>10</v>
          </cell>
          <cell r="AE137">
            <v>133</v>
          </cell>
          <cell r="AF137" t="str">
            <v>CD</v>
          </cell>
          <cell r="AG137">
            <v>131</v>
          </cell>
        </row>
        <row r="138">
          <cell r="A138" t="str">
            <v>P012</v>
          </cell>
          <cell r="B138" t="str">
            <v>7G</v>
          </cell>
          <cell r="F138" t="str">
            <v>Giang 0904584595</v>
          </cell>
          <cell r="K138" t="str">
            <v>P012InsideFPFC</v>
          </cell>
          <cell r="L138" t="str">
            <v>Inside</v>
          </cell>
          <cell r="M138" t="str">
            <v>FPFC</v>
          </cell>
          <cell r="N138" t="str">
            <v>25.5X38</v>
          </cell>
          <cell r="P138">
            <v>26235</v>
          </cell>
          <cell r="AG138">
            <v>132</v>
          </cell>
        </row>
        <row r="139">
          <cell r="A139" t="str">
            <v>P012</v>
          </cell>
          <cell r="K139" t="str">
            <v>P012InsideFPBW</v>
          </cell>
          <cell r="L139" t="str">
            <v>Inside</v>
          </cell>
          <cell r="M139" t="str">
            <v>FPBW</v>
          </cell>
          <cell r="N139" t="str">
            <v>25.5X38</v>
          </cell>
          <cell r="P139">
            <v>20113.5</v>
          </cell>
          <cell r="AG139">
            <v>133</v>
          </cell>
        </row>
        <row r="140">
          <cell r="A140" t="str">
            <v>P012</v>
          </cell>
          <cell r="B140" t="str">
            <v>E- CHIP MOBILE M</v>
          </cell>
          <cell r="C140" t="str">
            <v>04 7722764</v>
          </cell>
          <cell r="D140" t="str">
            <v>04 7722734</v>
          </cell>
          <cell r="E140" t="str">
            <v>4 Lang Ha, Ba Dinh, Ha Noi</v>
          </cell>
          <cell r="F140" t="str">
            <v>Cuong 0913513366</v>
          </cell>
          <cell r="G140" t="str">
            <v>5th/ Monthly</v>
          </cell>
          <cell r="K140" t="str">
            <v>P012InsideHPFC</v>
          </cell>
          <cell r="L140" t="str">
            <v>Inside</v>
          </cell>
          <cell r="M140" t="str">
            <v>HPFC</v>
          </cell>
          <cell r="N140" t="str">
            <v>25.5X18.5</v>
          </cell>
          <cell r="P140">
            <v>15741</v>
          </cell>
          <cell r="Q140">
            <v>0.25</v>
          </cell>
          <cell r="AC140">
            <v>15</v>
          </cell>
          <cell r="AD140">
            <v>10</v>
          </cell>
          <cell r="AE140" t="str">
            <v>300 DPI</v>
          </cell>
          <cell r="AF140" t="str">
            <v>CD</v>
          </cell>
          <cell r="AG140">
            <v>134</v>
          </cell>
        </row>
        <row r="141">
          <cell r="A141" t="str">
            <v>P012</v>
          </cell>
          <cell r="B141" t="str">
            <v>E- CHIP MOBILE M</v>
          </cell>
          <cell r="C141" t="str">
            <v>04 7722764</v>
          </cell>
          <cell r="D141" t="str">
            <v>04 7722734</v>
          </cell>
          <cell r="E141" t="str">
            <v>4 Lang Ha, Ba Dinh, Ha Noi</v>
          </cell>
          <cell r="F141" t="str">
            <v>Cuong 0913513366</v>
          </cell>
          <cell r="G141" t="str">
            <v>5th/ Monthly</v>
          </cell>
          <cell r="K141" t="str">
            <v>P012InsideHPBW</v>
          </cell>
          <cell r="L141" t="str">
            <v>Inside</v>
          </cell>
          <cell r="M141" t="str">
            <v>HPBW</v>
          </cell>
          <cell r="N141" t="str">
            <v>25.5X18.5</v>
          </cell>
          <cell r="P141">
            <v>12068.1</v>
          </cell>
          <cell r="Q141">
            <v>0.25</v>
          </cell>
          <cell r="AC141">
            <v>15</v>
          </cell>
          <cell r="AD141">
            <v>10</v>
          </cell>
          <cell r="AE141" t="str">
            <v>300 DPI</v>
          </cell>
          <cell r="AF141" t="str">
            <v>CD</v>
          </cell>
          <cell r="AG141">
            <v>135</v>
          </cell>
        </row>
        <row r="142">
          <cell r="A142" t="str">
            <v>P012</v>
          </cell>
          <cell r="B142" t="str">
            <v>1G</v>
          </cell>
          <cell r="C142" t="str">
            <v>04 7722764</v>
          </cell>
          <cell r="D142" t="str">
            <v>04 7722734</v>
          </cell>
          <cell r="E142" t="str">
            <v>4 Lang Ha, Ba Dinh, Ha Noi</v>
          </cell>
          <cell r="F142" t="str">
            <v>Cuong 0913513366</v>
          </cell>
          <cell r="G142" t="str">
            <v>5/ Monthly</v>
          </cell>
          <cell r="K142" t="str">
            <v>P012InsideJPFC</v>
          </cell>
          <cell r="L142" t="str">
            <v>Inside</v>
          </cell>
          <cell r="M142" t="str">
            <v>JPFC</v>
          </cell>
          <cell r="N142" t="str">
            <v>20.5X28</v>
          </cell>
          <cell r="P142">
            <v>15741</v>
          </cell>
          <cell r="Q142">
            <v>0.25</v>
          </cell>
          <cell r="AC142">
            <v>15</v>
          </cell>
          <cell r="AD142">
            <v>10</v>
          </cell>
          <cell r="AE142" t="str">
            <v>300 DPI</v>
          </cell>
          <cell r="AF142" t="str">
            <v>CD</v>
          </cell>
          <cell r="AG142">
            <v>136</v>
          </cell>
        </row>
        <row r="143">
          <cell r="A143" t="str">
            <v>TBKTVN</v>
          </cell>
          <cell r="B143" t="str">
            <v>1G</v>
          </cell>
          <cell r="K143" t="str">
            <v>TBKTVN</v>
          </cell>
          <cell r="L143" t="str">
            <v>Cover 3</v>
          </cell>
          <cell r="M143" t="str">
            <v>FPFC</v>
          </cell>
          <cell r="N143" t="str">
            <v>22.5X29.5</v>
          </cell>
          <cell r="P143">
            <v>25300.000000000004</v>
          </cell>
          <cell r="AG143">
            <v>137</v>
          </cell>
        </row>
        <row r="144">
          <cell r="A144" t="str">
            <v>P013</v>
          </cell>
          <cell r="B144" t="str">
            <v>E- CHIP MOBILE M</v>
          </cell>
          <cell r="C144" t="str">
            <v>04 7722764</v>
          </cell>
          <cell r="D144" t="str">
            <v>04 7722734</v>
          </cell>
          <cell r="E144" t="str">
            <v>4 Lang Ha, Ba Dinh, Ha Noi</v>
          </cell>
          <cell r="F144" t="str">
            <v>Cuong 0913513366</v>
          </cell>
          <cell r="G144" t="str">
            <v>5/ Monthly</v>
          </cell>
          <cell r="K144" t="str">
            <v>P013Cover 4FPFC</v>
          </cell>
          <cell r="L144" t="str">
            <v>Cover 4</v>
          </cell>
          <cell r="M144" t="str">
            <v>FPFC</v>
          </cell>
          <cell r="N144" t="str">
            <v>22.5X29.5</v>
          </cell>
          <cell r="P144">
            <v>41800</v>
          </cell>
          <cell r="Q144">
            <v>0.25</v>
          </cell>
          <cell r="AC144">
            <v>15</v>
          </cell>
          <cell r="AD144">
            <v>10</v>
          </cell>
          <cell r="AE144" t="str">
            <v>300 DPI</v>
          </cell>
          <cell r="AF144" t="str">
            <v>CD</v>
          </cell>
          <cell r="AG144">
            <v>138</v>
          </cell>
        </row>
        <row r="145">
          <cell r="A145" t="str">
            <v>P013</v>
          </cell>
          <cell r="B145" t="str">
            <v>1G</v>
          </cell>
          <cell r="C145" t="str">
            <v>04 7722764</v>
          </cell>
          <cell r="D145" t="str">
            <v>04 7722734</v>
          </cell>
          <cell r="E145" t="str">
            <v>4 Lang Ha, Ba Dinh, Ha Noi</v>
          </cell>
          <cell r="F145" t="str">
            <v>Cuong 0913513366</v>
          </cell>
          <cell r="G145" t="str">
            <v>4/ Weekly</v>
          </cell>
          <cell r="K145" t="str">
            <v>P013Cover 2FPFC</v>
          </cell>
          <cell r="L145" t="str">
            <v>Cover 2</v>
          </cell>
          <cell r="M145" t="str">
            <v>FPFC</v>
          </cell>
          <cell r="N145" t="str">
            <v>22.5X29.5</v>
          </cell>
          <cell r="P145">
            <v>28600.000000000004</v>
          </cell>
          <cell r="Q145">
            <v>0.25</v>
          </cell>
          <cell r="AC145">
            <v>15</v>
          </cell>
          <cell r="AD145">
            <v>10</v>
          </cell>
          <cell r="AE145" t="str">
            <v>300 DPI</v>
          </cell>
          <cell r="AF145" t="str">
            <v>CD</v>
          </cell>
          <cell r="AG145">
            <v>139</v>
          </cell>
        </row>
        <row r="146">
          <cell r="A146" t="str">
            <v>P013</v>
          </cell>
          <cell r="B146" t="str">
            <v>E- CHIP MOBILE W</v>
          </cell>
          <cell r="C146" t="str">
            <v>04 7722764</v>
          </cell>
          <cell r="D146" t="str">
            <v>04 7722734</v>
          </cell>
          <cell r="E146" t="str">
            <v>4 Lang Ha, Ba Dinh, Ha Noi</v>
          </cell>
          <cell r="F146" t="str">
            <v>Cuong 0913513366</v>
          </cell>
          <cell r="G146" t="str">
            <v>4/ Weekly</v>
          </cell>
          <cell r="K146" t="str">
            <v>P013Cover 3FPFC</v>
          </cell>
          <cell r="L146" t="str">
            <v>Cover 3</v>
          </cell>
          <cell r="M146" t="str">
            <v>FPFC</v>
          </cell>
          <cell r="N146" t="str">
            <v>22.5X29.5</v>
          </cell>
          <cell r="P146">
            <v>25300.000000000004</v>
          </cell>
          <cell r="Q146">
            <v>0.25</v>
          </cell>
          <cell r="AC146">
            <v>15</v>
          </cell>
          <cell r="AD146">
            <v>10</v>
          </cell>
          <cell r="AE146" t="str">
            <v>300 DPI</v>
          </cell>
          <cell r="AF146" t="str">
            <v>CD</v>
          </cell>
          <cell r="AG146">
            <v>140</v>
          </cell>
        </row>
        <row r="147">
          <cell r="A147" t="str">
            <v>P013</v>
          </cell>
          <cell r="B147" t="str">
            <v>1G</v>
          </cell>
          <cell r="C147" t="str">
            <v>04 7722764</v>
          </cell>
          <cell r="D147" t="str">
            <v>04 7722734</v>
          </cell>
          <cell r="E147" t="str">
            <v>4 Lang Ha, Ba Dinh, Ha Noi</v>
          </cell>
          <cell r="F147" t="str">
            <v>Cuong 0913513366</v>
          </cell>
          <cell r="G147" t="str">
            <v>Wed/ Weekly</v>
          </cell>
          <cell r="K147" t="str">
            <v>P013InsideFPFC</v>
          </cell>
          <cell r="L147" t="str">
            <v>Inside</v>
          </cell>
          <cell r="M147" t="str">
            <v>FPFC</v>
          </cell>
          <cell r="N147" t="str">
            <v>22.5X29.5</v>
          </cell>
          <cell r="P147">
            <v>18700</v>
          </cell>
          <cell r="Q147">
            <v>0.25</v>
          </cell>
          <cell r="AC147">
            <v>15</v>
          </cell>
          <cell r="AD147">
            <v>10</v>
          </cell>
          <cell r="AE147" t="str">
            <v>300 DPI</v>
          </cell>
          <cell r="AF147" t="str">
            <v>CD</v>
          </cell>
          <cell r="AG147">
            <v>141</v>
          </cell>
        </row>
        <row r="148">
          <cell r="A148" t="str">
            <v>E- CHIP MOBILE M</v>
          </cell>
          <cell r="B148" t="str">
            <v>1G</v>
          </cell>
          <cell r="K148" t="str">
            <v>E- CHIP MOBILE M</v>
          </cell>
          <cell r="L148" t="str">
            <v>Cover 3</v>
          </cell>
          <cell r="M148" t="str">
            <v>FPFC</v>
          </cell>
          <cell r="N148" t="str">
            <v>20X28</v>
          </cell>
          <cell r="P148">
            <v>12100.000000000002</v>
          </cell>
          <cell r="AG148">
            <v>142</v>
          </cell>
        </row>
        <row r="149">
          <cell r="A149" t="str">
            <v>P014</v>
          </cell>
          <cell r="B149" t="str">
            <v>E- CHIP MOBILE W</v>
          </cell>
          <cell r="C149" t="str">
            <v>04 7722764</v>
          </cell>
          <cell r="D149" t="str">
            <v>04 7722734</v>
          </cell>
          <cell r="E149" t="str">
            <v>4 Lang Ha, Ba Dinh, Ha Noi</v>
          </cell>
          <cell r="F149" t="str">
            <v>Cuong 0913513366</v>
          </cell>
          <cell r="G149" t="str">
            <v>Wed/ Weekly</v>
          </cell>
          <cell r="K149" t="str">
            <v>P014Cover 4FPFC</v>
          </cell>
          <cell r="L149" t="str">
            <v>Cover 4</v>
          </cell>
          <cell r="M149" t="str">
            <v>FPFC</v>
          </cell>
          <cell r="N149" t="str">
            <v>20X28</v>
          </cell>
          <cell r="P149">
            <v>22000</v>
          </cell>
          <cell r="Q149">
            <v>0.25</v>
          </cell>
          <cell r="AC149">
            <v>15</v>
          </cell>
          <cell r="AD149">
            <v>10</v>
          </cell>
          <cell r="AE149" t="str">
            <v>300 DPI</v>
          </cell>
          <cell r="AF149" t="str">
            <v>CD</v>
          </cell>
          <cell r="AG149">
            <v>143</v>
          </cell>
        </row>
        <row r="150">
          <cell r="A150" t="str">
            <v>P014</v>
          </cell>
          <cell r="B150" t="str">
            <v>1G</v>
          </cell>
          <cell r="C150">
            <v>8426741</v>
          </cell>
          <cell r="D150">
            <v>8116269</v>
          </cell>
          <cell r="E150" t="str">
            <v>so 4 Huynh Huu Bac</v>
          </cell>
          <cell r="F150" t="str">
            <v>Dong- 0989035725</v>
          </cell>
          <cell r="G150" t="str">
            <v>1st/ monthly</v>
          </cell>
          <cell r="H150">
            <v>35000</v>
          </cell>
          <cell r="I150">
            <v>0.3</v>
          </cell>
          <cell r="K150" t="str">
            <v>P014Cover 2FPFC</v>
          </cell>
          <cell r="L150" t="str">
            <v>Cover 2</v>
          </cell>
          <cell r="M150" t="str">
            <v>FPFC</v>
          </cell>
          <cell r="N150" t="str">
            <v>20X28</v>
          </cell>
          <cell r="P150">
            <v>15400.000000000002</v>
          </cell>
          <cell r="Q150">
            <v>0.3</v>
          </cell>
          <cell r="AC150">
            <v>15</v>
          </cell>
          <cell r="AD150">
            <v>10</v>
          </cell>
          <cell r="AE150" t="str">
            <v>300 DPI</v>
          </cell>
          <cell r="AF150" t="str">
            <v>CD</v>
          </cell>
          <cell r="AG150">
            <v>144</v>
          </cell>
        </row>
        <row r="151">
          <cell r="A151" t="str">
            <v>P014</v>
          </cell>
          <cell r="B151" t="str">
            <v>OTO &amp; XE MAY</v>
          </cell>
          <cell r="C151">
            <v>8426741</v>
          </cell>
          <cell r="D151">
            <v>8116269</v>
          </cell>
          <cell r="E151" t="str">
            <v>so 4 Huynh Huu Bac</v>
          </cell>
          <cell r="F151" t="str">
            <v>Dong- 0989035725</v>
          </cell>
          <cell r="G151" t="str">
            <v>1st/ monthly</v>
          </cell>
          <cell r="H151">
            <v>35000</v>
          </cell>
          <cell r="I151">
            <v>0.3</v>
          </cell>
          <cell r="K151" t="str">
            <v>P014Cover 3FPFC</v>
          </cell>
          <cell r="L151" t="str">
            <v>Cover 3</v>
          </cell>
          <cell r="M151" t="str">
            <v>FPFC</v>
          </cell>
          <cell r="N151" t="str">
            <v>20X28</v>
          </cell>
          <cell r="P151">
            <v>12100.000000000002</v>
          </cell>
          <cell r="Q151">
            <v>0.3</v>
          </cell>
          <cell r="AC151">
            <v>15</v>
          </cell>
          <cell r="AD151">
            <v>10</v>
          </cell>
          <cell r="AE151" t="str">
            <v>300 DPI</v>
          </cell>
          <cell r="AF151" t="str">
            <v>CD</v>
          </cell>
          <cell r="AG151">
            <v>145</v>
          </cell>
        </row>
        <row r="152">
          <cell r="A152" t="str">
            <v>P014</v>
          </cell>
          <cell r="B152" t="str">
            <v>9I</v>
          </cell>
          <cell r="C152">
            <v>8426741</v>
          </cell>
          <cell r="D152">
            <v>8116269</v>
          </cell>
          <cell r="E152" t="str">
            <v>so 4 Huynh Huu Bac</v>
          </cell>
          <cell r="F152" t="str">
            <v>Dong- 0989035725</v>
          </cell>
          <cell r="G152" t="str">
            <v>1/ Monthly</v>
          </cell>
          <cell r="H152">
            <v>35000</v>
          </cell>
          <cell r="I152">
            <v>0.3</v>
          </cell>
          <cell r="K152" t="str">
            <v>P014InsideFPFC</v>
          </cell>
          <cell r="L152" t="str">
            <v>Inside</v>
          </cell>
          <cell r="M152" t="str">
            <v>FPFC</v>
          </cell>
          <cell r="N152" t="str">
            <v>20X28</v>
          </cell>
          <cell r="P152">
            <v>7700.0000000000009</v>
          </cell>
          <cell r="Q152">
            <v>0.3</v>
          </cell>
          <cell r="AC152">
            <v>15</v>
          </cell>
          <cell r="AD152">
            <v>14</v>
          </cell>
          <cell r="AE152" t="str">
            <v>300 DPI</v>
          </cell>
          <cell r="AF152" t="str">
            <v>CD</v>
          </cell>
          <cell r="AG152">
            <v>146</v>
          </cell>
        </row>
        <row r="153">
          <cell r="A153" t="str">
            <v>E- CHIP MOBILE W</v>
          </cell>
          <cell r="B153" t="str">
            <v>9I</v>
          </cell>
          <cell r="K153" t="str">
            <v>E- CHIP MOBILE W</v>
          </cell>
          <cell r="L153" t="str">
            <v>Cover 3</v>
          </cell>
          <cell r="M153" t="str">
            <v>FPFC</v>
          </cell>
          <cell r="N153" t="str">
            <v>21X28.5</v>
          </cell>
          <cell r="P153">
            <v>63751.05000000001</v>
          </cell>
          <cell r="AG153">
            <v>147</v>
          </cell>
        </row>
        <row r="154">
          <cell r="A154" t="str">
            <v>P015</v>
          </cell>
          <cell r="B154" t="str">
            <v>OTO &amp; XE MAY</v>
          </cell>
          <cell r="C154">
            <v>8426741</v>
          </cell>
          <cell r="D154">
            <v>8116269</v>
          </cell>
          <cell r="E154" t="str">
            <v>so 4 Huynh Huu Bac</v>
          </cell>
          <cell r="F154" t="str">
            <v>Dong- 0989035725</v>
          </cell>
          <cell r="G154" t="str">
            <v>1/ Monthly</v>
          </cell>
          <cell r="H154">
            <v>35000</v>
          </cell>
          <cell r="I154">
            <v>0.3</v>
          </cell>
          <cell r="K154" t="str">
            <v>P015InsideFPFC</v>
          </cell>
          <cell r="L154" t="str">
            <v>Inside</v>
          </cell>
          <cell r="M154" t="str">
            <v>FPFC</v>
          </cell>
          <cell r="N154" t="str">
            <v>21X28.5</v>
          </cell>
          <cell r="P154">
            <v>42500.700000000004</v>
          </cell>
          <cell r="Q154">
            <v>0.3</v>
          </cell>
          <cell r="AC154">
            <v>15</v>
          </cell>
          <cell r="AD154">
            <v>14</v>
          </cell>
          <cell r="AE154" t="str">
            <v>300 DPI</v>
          </cell>
          <cell r="AF154" t="str">
            <v>CD</v>
          </cell>
          <cell r="AG154">
            <v>148</v>
          </cell>
        </row>
        <row r="155">
          <cell r="A155" t="str">
            <v>P015</v>
          </cell>
          <cell r="B155" t="str">
            <v>9I</v>
          </cell>
          <cell r="K155" t="str">
            <v>P015Cover 2FPFC</v>
          </cell>
          <cell r="L155" t="str">
            <v>Cover 2</v>
          </cell>
          <cell r="M155" t="str">
            <v>FPFC</v>
          </cell>
          <cell r="N155" t="str">
            <v>21X28.5</v>
          </cell>
          <cell r="P155">
            <v>63751.05000000001</v>
          </cell>
          <cell r="AG155">
            <v>149</v>
          </cell>
        </row>
        <row r="156">
          <cell r="A156" t="str">
            <v>P015</v>
          </cell>
          <cell r="B156" t="str">
            <v>MY THUAT</v>
          </cell>
          <cell r="C156">
            <v>8211181</v>
          </cell>
          <cell r="D156">
            <v>8211175</v>
          </cell>
          <cell r="E156" t="str">
            <v>92 NKKN Q1 HCM</v>
          </cell>
          <cell r="F156" t="str">
            <v>Mr Diep 0903940788</v>
          </cell>
          <cell r="G156" t="str">
            <v>15/ Monthly</v>
          </cell>
          <cell r="H156">
            <v>52000</v>
          </cell>
          <cell r="I156">
            <v>0.3</v>
          </cell>
          <cell r="J156">
            <v>0.15</v>
          </cell>
          <cell r="K156" t="str">
            <v>P015Cover 3FPFC</v>
          </cell>
          <cell r="L156" t="str">
            <v>Cover 3</v>
          </cell>
          <cell r="M156" t="str">
            <v>FPFC</v>
          </cell>
          <cell r="N156" t="str">
            <v>21X28.5</v>
          </cell>
          <cell r="P156">
            <v>63751.05000000001</v>
          </cell>
          <cell r="AC156">
            <v>15</v>
          </cell>
          <cell r="AD156">
            <v>10</v>
          </cell>
          <cell r="AE156" t="str">
            <v>300 DPI</v>
          </cell>
          <cell r="AF156" t="str">
            <v>CD</v>
          </cell>
          <cell r="AG156">
            <v>150</v>
          </cell>
        </row>
        <row r="157">
          <cell r="A157" t="str">
            <v>P015</v>
          </cell>
          <cell r="B157" t="str">
            <v>MY THUAT</v>
          </cell>
          <cell r="C157">
            <v>8211181</v>
          </cell>
          <cell r="D157">
            <v>8211175</v>
          </cell>
          <cell r="E157" t="str">
            <v>92 NKKN Q1 HCM</v>
          </cell>
          <cell r="F157" t="str">
            <v>Mr Diep 0903940788</v>
          </cell>
          <cell r="G157" t="str">
            <v>15/ Monthly</v>
          </cell>
          <cell r="H157">
            <v>52000</v>
          </cell>
          <cell r="I157">
            <v>0.3</v>
          </cell>
          <cell r="J157">
            <v>0.15</v>
          </cell>
          <cell r="K157" t="str">
            <v>P015Cover 4FPFC</v>
          </cell>
          <cell r="L157" t="str">
            <v>Cover 4</v>
          </cell>
          <cell r="M157" t="str">
            <v>FPFC</v>
          </cell>
          <cell r="N157" t="str">
            <v>21X28.5</v>
          </cell>
          <cell r="P157">
            <v>85176.3</v>
          </cell>
          <cell r="AC157">
            <v>15</v>
          </cell>
          <cell r="AD157">
            <v>10</v>
          </cell>
          <cell r="AE157" t="str">
            <v>300 DPI</v>
          </cell>
          <cell r="AF157" t="str">
            <v>CD</v>
          </cell>
          <cell r="AG157">
            <v>151</v>
          </cell>
        </row>
        <row r="158">
          <cell r="A158" t="str">
            <v>P015</v>
          </cell>
          <cell r="B158" t="str">
            <v>11I</v>
          </cell>
          <cell r="C158">
            <v>8211181</v>
          </cell>
          <cell r="D158">
            <v>8211175</v>
          </cell>
          <cell r="E158" t="str">
            <v>92 NKKN Q1 HCM</v>
          </cell>
          <cell r="F158" t="str">
            <v>Mr Diep 0903940788</v>
          </cell>
          <cell r="G158" t="str">
            <v>15/ Monthly</v>
          </cell>
          <cell r="H158">
            <v>52000</v>
          </cell>
          <cell r="I158">
            <v>0.3</v>
          </cell>
          <cell r="J158">
            <v>0.15</v>
          </cell>
          <cell r="K158" t="str">
            <v>P015FirstFPFC</v>
          </cell>
          <cell r="L158" t="str">
            <v>First</v>
          </cell>
          <cell r="M158" t="str">
            <v>FPFC</v>
          </cell>
          <cell r="N158" t="str">
            <v>21X28.5</v>
          </cell>
          <cell r="P158">
            <v>63751.05000000001</v>
          </cell>
          <cell r="AC158">
            <v>15</v>
          </cell>
          <cell r="AD158">
            <v>14</v>
          </cell>
          <cell r="AE158" t="str">
            <v>300 DPI</v>
          </cell>
          <cell r="AF158" t="str">
            <v>CD</v>
          </cell>
          <cell r="AG158">
            <v>152</v>
          </cell>
        </row>
        <row r="159">
          <cell r="A159" t="str">
            <v>OTO &amp; XE MAY</v>
          </cell>
          <cell r="B159" t="str">
            <v>11I</v>
          </cell>
          <cell r="K159" t="str">
            <v>OTO &amp; XE MAY</v>
          </cell>
          <cell r="L159" t="str">
            <v>Cover 2</v>
          </cell>
          <cell r="M159" t="str">
            <v>FPFC</v>
          </cell>
          <cell r="N159" t="str">
            <v>21X27.5</v>
          </cell>
          <cell r="P159">
            <v>69960</v>
          </cell>
          <cell r="AG159">
            <v>153</v>
          </cell>
        </row>
        <row r="160">
          <cell r="A160" t="str">
            <v>P016</v>
          </cell>
          <cell r="B160" t="str">
            <v>MY THUAT</v>
          </cell>
          <cell r="C160">
            <v>8211181</v>
          </cell>
          <cell r="D160">
            <v>8211175</v>
          </cell>
          <cell r="E160" t="str">
            <v>92 NKKN Q1 HCM</v>
          </cell>
          <cell r="F160" t="str">
            <v>Mr Diep 0903940788</v>
          </cell>
          <cell r="G160" t="str">
            <v>15/ Monthly</v>
          </cell>
          <cell r="H160">
            <v>52000</v>
          </cell>
          <cell r="I160">
            <v>0.3</v>
          </cell>
          <cell r="J160">
            <v>0.15</v>
          </cell>
          <cell r="K160" t="str">
            <v>P016Cover 4FPFC</v>
          </cell>
          <cell r="L160" t="str">
            <v>Cover 4</v>
          </cell>
          <cell r="M160" t="str">
            <v>FPFC</v>
          </cell>
          <cell r="N160" t="str">
            <v>21X27.5</v>
          </cell>
          <cell r="P160">
            <v>78705</v>
          </cell>
          <cell r="U160">
            <v>0.3</v>
          </cell>
          <cell r="V160">
            <v>0.15</v>
          </cell>
          <cell r="AC160">
            <v>15</v>
          </cell>
          <cell r="AD160">
            <v>14</v>
          </cell>
          <cell r="AE160" t="str">
            <v>300 DPI</v>
          </cell>
          <cell r="AF160" t="str">
            <v>CD</v>
          </cell>
          <cell r="AG160">
            <v>154</v>
          </cell>
        </row>
        <row r="161">
          <cell r="A161" t="str">
            <v>P016</v>
          </cell>
          <cell r="B161" t="str">
            <v>11I</v>
          </cell>
          <cell r="C161">
            <v>47718267</v>
          </cell>
          <cell r="D161">
            <v>47716433</v>
          </cell>
          <cell r="E161" t="str">
            <v>43 Nguyen Chi Thanh _ HN</v>
          </cell>
          <cell r="F161" t="str">
            <v>Ms Nga 0903261705</v>
          </cell>
          <cell r="G161" t="str">
            <v>1,15/ Monthly</v>
          </cell>
          <cell r="K161" t="str">
            <v>P016Cover 3FPFC</v>
          </cell>
          <cell r="L161" t="str">
            <v>Cover 3</v>
          </cell>
          <cell r="M161" t="str">
            <v>FPFC</v>
          </cell>
          <cell r="N161" t="str">
            <v>21X27.5</v>
          </cell>
          <cell r="P161">
            <v>62964.000000000007</v>
          </cell>
          <cell r="AC161">
            <v>15</v>
          </cell>
          <cell r="AD161">
            <v>10</v>
          </cell>
          <cell r="AE161">
            <v>150</v>
          </cell>
          <cell r="AF161" t="str">
            <v>CD</v>
          </cell>
          <cell r="AG161">
            <v>155</v>
          </cell>
        </row>
        <row r="162">
          <cell r="A162" t="str">
            <v>P016</v>
          </cell>
          <cell r="B162" t="str">
            <v>TAP CHI VTV</v>
          </cell>
          <cell r="C162">
            <v>47718267</v>
          </cell>
          <cell r="D162">
            <v>47716433</v>
          </cell>
          <cell r="E162" t="str">
            <v>43 Nguyen Chi Thanh _ HN</v>
          </cell>
          <cell r="F162" t="str">
            <v>Ms Nga 0903261705</v>
          </cell>
          <cell r="G162" t="str">
            <v>1,15/ Monthly</v>
          </cell>
          <cell r="K162" t="str">
            <v>P016Cover 2FPFC</v>
          </cell>
          <cell r="L162" t="str">
            <v>Cover 2</v>
          </cell>
          <cell r="M162" t="str">
            <v>FPFC</v>
          </cell>
          <cell r="N162" t="str">
            <v>21X27.5</v>
          </cell>
          <cell r="P162">
            <v>69960</v>
          </cell>
          <cell r="AC162">
            <v>15</v>
          </cell>
          <cell r="AD162">
            <v>10</v>
          </cell>
          <cell r="AE162">
            <v>150</v>
          </cell>
          <cell r="AF162" t="str">
            <v>CD</v>
          </cell>
          <cell r="AG162">
            <v>156</v>
          </cell>
        </row>
        <row r="163">
          <cell r="A163" t="str">
            <v>P016</v>
          </cell>
          <cell r="B163" t="str">
            <v>12I</v>
          </cell>
          <cell r="C163">
            <v>47718267</v>
          </cell>
          <cell r="D163">
            <v>47716433</v>
          </cell>
          <cell r="E163" t="str">
            <v>43 Nguyen Chi Thanh _ HN</v>
          </cell>
          <cell r="F163" t="str">
            <v>Ms Nga 0903261705</v>
          </cell>
          <cell r="G163" t="str">
            <v>1,15/ Monthly</v>
          </cell>
          <cell r="K163" t="str">
            <v>P016InsideFPFC</v>
          </cell>
          <cell r="L163" t="str">
            <v>Inside</v>
          </cell>
          <cell r="M163" t="str">
            <v>FPFC</v>
          </cell>
          <cell r="N163" t="str">
            <v>21X27.5</v>
          </cell>
          <cell r="P163">
            <v>43725</v>
          </cell>
          <cell r="AC163">
            <v>15</v>
          </cell>
          <cell r="AD163">
            <v>10</v>
          </cell>
          <cell r="AE163">
            <v>150</v>
          </cell>
          <cell r="AF163" t="str">
            <v>CD</v>
          </cell>
          <cell r="AG163">
            <v>157</v>
          </cell>
        </row>
        <row r="164">
          <cell r="A164" t="str">
            <v>MY THUAT</v>
          </cell>
          <cell r="B164" t="str">
            <v>12I</v>
          </cell>
          <cell r="K164" t="str">
            <v>MY THUAT</v>
          </cell>
          <cell r="L164" t="str">
            <v>Cover 3</v>
          </cell>
          <cell r="M164" t="str">
            <v>FPFC</v>
          </cell>
          <cell r="N164" t="str">
            <v>18.5X26.5</v>
          </cell>
          <cell r="P164">
            <v>15000</v>
          </cell>
          <cell r="AG164">
            <v>158</v>
          </cell>
        </row>
        <row r="165">
          <cell r="A165" t="str">
            <v>P017</v>
          </cell>
          <cell r="B165" t="str">
            <v>TAP CHI VTV</v>
          </cell>
          <cell r="C165">
            <v>47718267</v>
          </cell>
          <cell r="D165">
            <v>47716433</v>
          </cell>
          <cell r="E165" t="str">
            <v>43 Nguyen Chi Thanh _ HN</v>
          </cell>
          <cell r="F165" t="str">
            <v>Ms Nga 0903261705</v>
          </cell>
          <cell r="G165" t="str">
            <v>1,15/ Monthly</v>
          </cell>
          <cell r="K165" t="str">
            <v>P017Cover 4FPFC</v>
          </cell>
          <cell r="L165" t="str">
            <v>Cover 4</v>
          </cell>
          <cell r="M165" t="str">
            <v>FPFC</v>
          </cell>
          <cell r="N165" t="str">
            <v>18.5X26.5</v>
          </cell>
          <cell r="P165">
            <v>20000</v>
          </cell>
          <cell r="AC165">
            <v>15</v>
          </cell>
          <cell r="AD165">
            <v>10</v>
          </cell>
          <cell r="AE165">
            <v>150</v>
          </cell>
          <cell r="AF165" t="str">
            <v>CD</v>
          </cell>
          <cell r="AG165">
            <v>159</v>
          </cell>
        </row>
        <row r="166">
          <cell r="A166" t="str">
            <v>P017</v>
          </cell>
          <cell r="B166" t="str">
            <v>12I</v>
          </cell>
          <cell r="C166" t="str">
            <v>8368361/ 9304605</v>
          </cell>
          <cell r="D166" t="str">
            <v>8368005/ 9304609</v>
          </cell>
          <cell r="E166" t="str">
            <v>68 Tran Hung Dao Q1 HCM/ Cty An Minh 80 Vo Van Tan, P6, Q3</v>
          </cell>
          <cell r="F166" t="str">
            <v>Mr Khanh 0918188188
0919089936</v>
          </cell>
          <cell r="G166" t="str">
            <v>1,10,20/ Monthly</v>
          </cell>
          <cell r="H166">
            <v>75000</v>
          </cell>
          <cell r="I166">
            <v>0.2</v>
          </cell>
          <cell r="K166" t="str">
            <v>P017Cover 2FPFC</v>
          </cell>
          <cell r="L166" t="str">
            <v>Cover 2</v>
          </cell>
          <cell r="M166" t="str">
            <v>FPFC</v>
          </cell>
          <cell r="N166" t="str">
            <v>18.5X26.5</v>
          </cell>
          <cell r="P166">
            <v>15000</v>
          </cell>
          <cell r="AC166">
            <v>15</v>
          </cell>
          <cell r="AD166">
            <v>10</v>
          </cell>
          <cell r="AE166">
            <v>150</v>
          </cell>
          <cell r="AF166" t="str">
            <v>CD</v>
          </cell>
          <cell r="AG166">
            <v>160</v>
          </cell>
        </row>
        <row r="167">
          <cell r="A167" t="str">
            <v>P017</v>
          </cell>
          <cell r="B167" t="str">
            <v>KIEN THUC NGAY NAY</v>
          </cell>
          <cell r="C167" t="str">
            <v>8368361/ 9304605</v>
          </cell>
          <cell r="D167" t="str">
            <v>8368005/ 9304609</v>
          </cell>
          <cell r="E167" t="str">
            <v>68 Tran Hung Dao Q1 HCM/ Cty An Minh 80 Vo Van Tan, P6, Q3</v>
          </cell>
          <cell r="F167" t="str">
            <v>Mr Khanh 0918188188
0919089936</v>
          </cell>
          <cell r="G167" t="str">
            <v>1,10,20/ Monthly</v>
          </cell>
          <cell r="H167">
            <v>75000</v>
          </cell>
          <cell r="I167">
            <v>0.2</v>
          </cell>
          <cell r="K167" t="str">
            <v>P017Cover 3FPFC</v>
          </cell>
          <cell r="L167" t="str">
            <v>Cover 3</v>
          </cell>
          <cell r="M167" t="str">
            <v>FPFC</v>
          </cell>
          <cell r="N167" t="str">
            <v>18.5X26.5</v>
          </cell>
          <cell r="P167">
            <v>15000</v>
          </cell>
          <cell r="AC167">
            <v>15</v>
          </cell>
          <cell r="AD167">
            <v>10</v>
          </cell>
          <cell r="AE167">
            <v>150</v>
          </cell>
          <cell r="AF167" t="str">
            <v>CD</v>
          </cell>
          <cell r="AG167">
            <v>161</v>
          </cell>
        </row>
        <row r="168">
          <cell r="A168" t="str">
            <v>P017</v>
          </cell>
          <cell r="B168" t="str">
            <v>1H</v>
          </cell>
          <cell r="C168" t="str">
            <v>8368361/ 9304605</v>
          </cell>
          <cell r="D168" t="str">
            <v>8368005/ 9304609</v>
          </cell>
          <cell r="E168" t="str">
            <v>68 Tran Hung Dao Q1 HCM/ Cty An Minh 80 Vo Van Tan, P6, Q3</v>
          </cell>
          <cell r="F168" t="str">
            <v>Mr Khanh 0918188188
0919089936</v>
          </cell>
          <cell r="G168" t="str">
            <v>1,10,20/ Monthly</v>
          </cell>
          <cell r="H168">
            <v>75000</v>
          </cell>
          <cell r="I168">
            <v>0.2</v>
          </cell>
          <cell r="K168" t="str">
            <v>P017InsideFPFC</v>
          </cell>
          <cell r="L168" t="str">
            <v>Inside</v>
          </cell>
          <cell r="M168" t="str">
            <v>FPFC</v>
          </cell>
          <cell r="N168" t="str">
            <v>18.5X26.5</v>
          </cell>
          <cell r="P168">
            <v>9000</v>
          </cell>
          <cell r="AC168">
            <v>15</v>
          </cell>
          <cell r="AD168">
            <v>10</v>
          </cell>
          <cell r="AE168">
            <v>150</v>
          </cell>
          <cell r="AF168" t="str">
            <v>CD</v>
          </cell>
          <cell r="AG168">
            <v>162</v>
          </cell>
        </row>
        <row r="169">
          <cell r="A169" t="str">
            <v>TAP CHI VTV</v>
          </cell>
          <cell r="B169" t="str">
            <v>1H</v>
          </cell>
          <cell r="K169" t="str">
            <v>TAP CHI VTV</v>
          </cell>
          <cell r="L169" t="str">
            <v>Cover 3</v>
          </cell>
          <cell r="M169" t="str">
            <v>FPFC</v>
          </cell>
          <cell r="P169">
            <v>11000</v>
          </cell>
          <cell r="AG169">
            <v>163</v>
          </cell>
        </row>
        <row r="170">
          <cell r="A170" t="str">
            <v>P018</v>
          </cell>
          <cell r="B170" t="str">
            <v>KIEN THUC NGAY NAY</v>
          </cell>
          <cell r="C170" t="str">
            <v>8368361/ 9304605</v>
          </cell>
          <cell r="D170" t="str">
            <v>8368005/ 9304609</v>
          </cell>
          <cell r="E170" t="str">
            <v>68 Tran Hung Dao Q1 HCM/ Cty An Minh 80 Vo Van Tan, P6, Q3</v>
          </cell>
          <cell r="F170" t="str">
            <v>Mr Khanh 0918188188
0919089936</v>
          </cell>
          <cell r="G170" t="str">
            <v>1,10,20/ Monthly</v>
          </cell>
          <cell r="H170">
            <v>75000</v>
          </cell>
          <cell r="I170">
            <v>0.2</v>
          </cell>
          <cell r="K170" t="str">
            <v>P018Cover 4FPFC</v>
          </cell>
          <cell r="L170" t="str">
            <v>Cover 4</v>
          </cell>
          <cell r="M170" t="str">
            <v>FPFC</v>
          </cell>
          <cell r="P170">
            <v>27500.000000000004</v>
          </cell>
          <cell r="AC170">
            <v>15</v>
          </cell>
          <cell r="AD170">
            <v>10</v>
          </cell>
          <cell r="AE170">
            <v>150</v>
          </cell>
          <cell r="AF170" t="str">
            <v>CD</v>
          </cell>
          <cell r="AG170">
            <v>164</v>
          </cell>
        </row>
        <row r="171">
          <cell r="A171" t="str">
            <v>P018</v>
          </cell>
          <cell r="B171" t="str">
            <v>1H</v>
          </cell>
          <cell r="K171" t="str">
            <v>P018Cover 2FPFC</v>
          </cell>
          <cell r="L171" t="str">
            <v>Cover 2</v>
          </cell>
          <cell r="M171" t="str">
            <v>FPFC</v>
          </cell>
          <cell r="P171">
            <v>13200.000000000002</v>
          </cell>
          <cell r="AG171">
            <v>165</v>
          </cell>
        </row>
        <row r="172">
          <cell r="A172" t="str">
            <v>P018</v>
          </cell>
          <cell r="B172" t="str">
            <v>THUOC &amp; SUC KHOE</v>
          </cell>
          <cell r="C172">
            <v>8437564</v>
          </cell>
          <cell r="D172">
            <v>9350627</v>
          </cell>
          <cell r="E172" t="str">
            <v xml:space="preserve">126A Tran Quoc Thao Q3 </v>
          </cell>
          <cell r="F172" t="str">
            <v>Mr Liem 0903717843</v>
          </cell>
          <cell r="G172" t="str">
            <v>1,15/ Monthly</v>
          </cell>
          <cell r="I172">
            <v>0.15</v>
          </cell>
          <cell r="K172" t="str">
            <v>P018Cover 3FPFC</v>
          </cell>
          <cell r="L172" t="str">
            <v>Cover 3</v>
          </cell>
          <cell r="M172" t="str">
            <v>FPFC</v>
          </cell>
          <cell r="N172" t="str">
            <v>18X26</v>
          </cell>
          <cell r="O172" t="str">
            <v>20.6X28.6</v>
          </cell>
          <cell r="P172">
            <v>11000</v>
          </cell>
          <cell r="AC172">
            <v>15</v>
          </cell>
          <cell r="AD172">
            <v>10</v>
          </cell>
          <cell r="AE172">
            <v>150</v>
          </cell>
          <cell r="AF172" t="str">
            <v>CD</v>
          </cell>
          <cell r="AG172">
            <v>166</v>
          </cell>
        </row>
        <row r="173">
          <cell r="A173" t="str">
            <v>P018</v>
          </cell>
          <cell r="B173" t="str">
            <v>THUOC &amp; SUC KHOE</v>
          </cell>
          <cell r="C173">
            <v>8437564</v>
          </cell>
          <cell r="D173">
            <v>9350627</v>
          </cell>
          <cell r="E173" t="str">
            <v xml:space="preserve">126A Tran Quoc Thao Q3 </v>
          </cell>
          <cell r="F173" t="str">
            <v>Mr Liem 0903717843</v>
          </cell>
          <cell r="G173" t="str">
            <v>1,15/ Monthly</v>
          </cell>
          <cell r="I173">
            <v>0.15</v>
          </cell>
          <cell r="K173" t="str">
            <v>P018FirstFPFC</v>
          </cell>
          <cell r="L173" t="str">
            <v>First</v>
          </cell>
          <cell r="M173" t="str">
            <v>FPFC</v>
          </cell>
          <cell r="N173" t="str">
            <v>18X26</v>
          </cell>
          <cell r="O173" t="str">
            <v>20.6X28.6</v>
          </cell>
          <cell r="P173">
            <v>8800</v>
          </cell>
          <cell r="AC173">
            <v>15</v>
          </cell>
          <cell r="AD173">
            <v>10</v>
          </cell>
          <cell r="AE173">
            <v>150</v>
          </cell>
          <cell r="AF173" t="str">
            <v>CD</v>
          </cell>
          <cell r="AG173">
            <v>167</v>
          </cell>
        </row>
        <row r="174">
          <cell r="A174" t="str">
            <v>P018</v>
          </cell>
          <cell r="B174" t="str">
            <v>6H</v>
          </cell>
          <cell r="C174">
            <v>8437564</v>
          </cell>
          <cell r="D174">
            <v>9350627</v>
          </cell>
          <cell r="E174" t="str">
            <v xml:space="preserve">126A Tran Quoc Thao Q3 </v>
          </cell>
          <cell r="F174" t="str">
            <v>Mr Liem 0903717843</v>
          </cell>
          <cell r="G174" t="str">
            <v>1,15/ Monthly</v>
          </cell>
          <cell r="I174">
            <v>0.15</v>
          </cell>
          <cell r="K174" t="str">
            <v>P018InsideFPFC</v>
          </cell>
          <cell r="L174" t="str">
            <v>Inside</v>
          </cell>
          <cell r="M174" t="str">
            <v>FPFC</v>
          </cell>
          <cell r="N174" t="str">
            <v>18X26</v>
          </cell>
          <cell r="O174" t="str">
            <v>20.6X28.6</v>
          </cell>
          <cell r="P174">
            <v>4950</v>
          </cell>
          <cell r="AC174">
            <v>15</v>
          </cell>
          <cell r="AD174">
            <v>14</v>
          </cell>
          <cell r="AE174">
            <v>150</v>
          </cell>
          <cell r="AF174" t="str">
            <v>CD</v>
          </cell>
          <cell r="AG174">
            <v>168</v>
          </cell>
        </row>
        <row r="175">
          <cell r="A175" t="str">
            <v>KIEN THUC NGAY NAY</v>
          </cell>
          <cell r="B175" t="str">
            <v>6H</v>
          </cell>
          <cell r="K175" t="str">
            <v>KIEN THUC NGAY NAY</v>
          </cell>
          <cell r="L175" t="str">
            <v>Cover 3</v>
          </cell>
          <cell r="M175" t="str">
            <v>FPFC</v>
          </cell>
          <cell r="N175" t="str">
            <v>18X26</v>
          </cell>
          <cell r="O175" t="str">
            <v>20.6X28.6</v>
          </cell>
          <cell r="P175">
            <v>9000</v>
          </cell>
          <cell r="AG175">
            <v>169</v>
          </cell>
        </row>
        <row r="176">
          <cell r="A176" t="str">
            <v>P019</v>
          </cell>
          <cell r="B176" t="str">
            <v>THUOC &amp; SUC KHOE</v>
          </cell>
          <cell r="C176">
            <v>8437564</v>
          </cell>
          <cell r="D176">
            <v>9350627</v>
          </cell>
          <cell r="E176" t="str">
            <v xml:space="preserve">126A Tran Quoc Thao Q3 </v>
          </cell>
          <cell r="F176" t="str">
            <v>Mr Liem 0903717843</v>
          </cell>
          <cell r="G176" t="str">
            <v>1,15/ Monthly</v>
          </cell>
          <cell r="I176">
            <v>0.15</v>
          </cell>
          <cell r="K176" t="str">
            <v>P019Cover 4FPFC</v>
          </cell>
          <cell r="L176" t="str">
            <v>Cover 4</v>
          </cell>
          <cell r="M176" t="str">
            <v>FPFC</v>
          </cell>
          <cell r="N176" t="str">
            <v>18X26</v>
          </cell>
          <cell r="O176" t="str">
            <v>20.6X28.6</v>
          </cell>
          <cell r="P176">
            <v>15000</v>
          </cell>
          <cell r="AC176">
            <v>15</v>
          </cell>
          <cell r="AD176">
            <v>14</v>
          </cell>
          <cell r="AE176">
            <v>150</v>
          </cell>
          <cell r="AF176" t="str">
            <v>CD</v>
          </cell>
          <cell r="AG176">
            <v>170</v>
          </cell>
        </row>
        <row r="177">
          <cell r="A177" t="str">
            <v>P019</v>
          </cell>
          <cell r="B177" t="str">
            <v>6H</v>
          </cell>
          <cell r="C177" t="str">
            <v>9952646/7</v>
          </cell>
          <cell r="D177">
            <v>9952645</v>
          </cell>
          <cell r="E177" t="str">
            <v>lau 3, 128 Phan Dang Luu - PN</v>
          </cell>
          <cell r="F177" t="str">
            <v>Mr Tuan 0913908870/ Ms Co 0903883416</v>
          </cell>
          <cell r="G177" t="str">
            <v>5,15,25/month</v>
          </cell>
          <cell r="H177">
            <v>45000</v>
          </cell>
          <cell r="I177">
            <v>0.15</v>
          </cell>
          <cell r="J177">
            <v>0.2</v>
          </cell>
          <cell r="K177" t="str">
            <v>P019Cover 2FPFC</v>
          </cell>
          <cell r="L177" t="str">
            <v>Cover 2</v>
          </cell>
          <cell r="M177" t="str">
            <v>FPFC</v>
          </cell>
          <cell r="N177" t="str">
            <v>18X26</v>
          </cell>
          <cell r="O177" t="str">
            <v>20.6X28.6</v>
          </cell>
          <cell r="P177">
            <v>10000</v>
          </cell>
          <cell r="AC177">
            <v>15</v>
          </cell>
          <cell r="AD177">
            <v>10</v>
          </cell>
          <cell r="AE177">
            <v>150</v>
          </cell>
          <cell r="AF177" t="str">
            <v>CD</v>
          </cell>
          <cell r="AG177">
            <v>171</v>
          </cell>
        </row>
        <row r="178">
          <cell r="A178" t="str">
            <v>P019</v>
          </cell>
          <cell r="B178" t="str">
            <v>THOI TRANG TRE</v>
          </cell>
          <cell r="C178" t="str">
            <v>9952646/7</v>
          </cell>
          <cell r="D178">
            <v>9952645</v>
          </cell>
          <cell r="E178" t="str">
            <v>lau 3, 128 Phan Dang Luu - PN</v>
          </cell>
          <cell r="F178" t="str">
            <v>Mr Tuan 0913908870/ Ms Co 0903883416</v>
          </cell>
          <cell r="G178" t="str">
            <v>5,15,25/month</v>
          </cell>
          <cell r="H178">
            <v>45000</v>
          </cell>
          <cell r="I178">
            <v>0.15</v>
          </cell>
          <cell r="J178">
            <v>0.2</v>
          </cell>
          <cell r="K178" t="str">
            <v>P019Cover 3FPFC</v>
          </cell>
          <cell r="L178" t="str">
            <v>Cover 3</v>
          </cell>
          <cell r="M178" t="str">
            <v>FPFC</v>
          </cell>
          <cell r="N178" t="str">
            <v>18X26</v>
          </cell>
          <cell r="O178" t="str">
            <v>20.6X28.6</v>
          </cell>
          <cell r="P178">
            <v>9000</v>
          </cell>
          <cell r="AC178">
            <v>15</v>
          </cell>
          <cell r="AD178">
            <v>10</v>
          </cell>
          <cell r="AE178">
            <v>150</v>
          </cell>
          <cell r="AF178" t="str">
            <v>CD</v>
          </cell>
          <cell r="AG178">
            <v>172</v>
          </cell>
        </row>
        <row r="179">
          <cell r="A179" t="str">
            <v>P019</v>
          </cell>
          <cell r="B179" t="str">
            <v>10H</v>
          </cell>
          <cell r="C179" t="str">
            <v>9952646/7</v>
          </cell>
          <cell r="D179">
            <v>9952645</v>
          </cell>
          <cell r="E179" t="str">
            <v>lau 3, 128 Phan Dang Luu - PN</v>
          </cell>
          <cell r="F179" t="str">
            <v>Mr Tuan 0913908870/ Ms Co 0903883416</v>
          </cell>
          <cell r="G179" t="str">
            <v>5,15,25/ Month</v>
          </cell>
          <cell r="H179">
            <v>45000</v>
          </cell>
          <cell r="I179">
            <v>0.2</v>
          </cell>
          <cell r="J179">
            <v>0.15</v>
          </cell>
          <cell r="K179" t="str">
            <v>P019InsideFPFC</v>
          </cell>
          <cell r="L179" t="str">
            <v>Inside</v>
          </cell>
          <cell r="M179" t="str">
            <v>FPFC</v>
          </cell>
          <cell r="N179" t="str">
            <v>18X26</v>
          </cell>
          <cell r="O179" t="str">
            <v>20.6X28.6</v>
          </cell>
          <cell r="P179">
            <v>7000</v>
          </cell>
          <cell r="Q179">
            <v>0.15</v>
          </cell>
          <cell r="R179">
            <v>0.15</v>
          </cell>
          <cell r="AC179">
            <v>15</v>
          </cell>
          <cell r="AD179">
            <v>10</v>
          </cell>
          <cell r="AE179">
            <v>150</v>
          </cell>
          <cell r="AF179" t="str">
            <v>CD</v>
          </cell>
          <cell r="AG179">
            <v>173</v>
          </cell>
        </row>
        <row r="180">
          <cell r="A180" t="str">
            <v>THUOC &amp; SUC KHOE</v>
          </cell>
          <cell r="B180" t="str">
            <v>10H</v>
          </cell>
          <cell r="K180" t="str">
            <v>THUOC &amp; SUC KHOE</v>
          </cell>
          <cell r="L180" t="str">
            <v>First</v>
          </cell>
          <cell r="M180" t="str">
            <v>FPFC</v>
          </cell>
          <cell r="N180" t="str">
            <v>19X26.5</v>
          </cell>
          <cell r="O180" t="str">
            <v>21.4X28.9</v>
          </cell>
          <cell r="P180">
            <v>37400</v>
          </cell>
          <cell r="AG180">
            <v>174</v>
          </cell>
        </row>
        <row r="181">
          <cell r="A181" t="str">
            <v>P020</v>
          </cell>
          <cell r="B181" t="str">
            <v>THOI TRANG TRE</v>
          </cell>
          <cell r="C181" t="str">
            <v>9952646/7</v>
          </cell>
          <cell r="D181">
            <v>9952645</v>
          </cell>
          <cell r="E181" t="str">
            <v>lau 3, 128 Phan Dang Luu - PN</v>
          </cell>
          <cell r="F181" t="str">
            <v>Mr Tuan 0913908870/ Ms Co 0903883416</v>
          </cell>
          <cell r="G181" t="str">
            <v>5,15,25/ Monthly</v>
          </cell>
          <cell r="H181">
            <v>45000</v>
          </cell>
          <cell r="I181">
            <v>0.2</v>
          </cell>
          <cell r="J181">
            <v>0.15</v>
          </cell>
          <cell r="K181" t="str">
            <v>P020InsideFPFC</v>
          </cell>
          <cell r="L181" t="str">
            <v>Inside</v>
          </cell>
          <cell r="M181" t="str">
            <v>FPFC</v>
          </cell>
          <cell r="N181" t="str">
            <v>19X26.5</v>
          </cell>
          <cell r="O181" t="str">
            <v>21.4X28.9</v>
          </cell>
          <cell r="P181">
            <v>27500.000000000004</v>
          </cell>
          <cell r="Q181">
            <v>0.15</v>
          </cell>
          <cell r="R181">
            <v>0.15</v>
          </cell>
          <cell r="U181">
            <v>0.15</v>
          </cell>
          <cell r="V181">
            <v>0.15</v>
          </cell>
          <cell r="AC181">
            <v>15</v>
          </cell>
          <cell r="AD181">
            <v>10</v>
          </cell>
          <cell r="AE181">
            <v>150</v>
          </cell>
          <cell r="AF181" t="str">
            <v>CD</v>
          </cell>
          <cell r="AG181">
            <v>175</v>
          </cell>
        </row>
        <row r="182">
          <cell r="A182" t="str">
            <v>P020</v>
          </cell>
          <cell r="B182" t="str">
            <v>10H</v>
          </cell>
          <cell r="K182" t="str">
            <v>P020Cover 2FPFC</v>
          </cell>
          <cell r="L182" t="str">
            <v>Cover 2</v>
          </cell>
          <cell r="M182" t="str">
            <v>FPFC</v>
          </cell>
          <cell r="N182" t="str">
            <v>19X26.5</v>
          </cell>
          <cell r="O182" t="str">
            <v>21.4X28.9</v>
          </cell>
          <cell r="P182">
            <v>37400</v>
          </cell>
          <cell r="AG182">
            <v>176</v>
          </cell>
        </row>
        <row r="183">
          <cell r="A183" t="str">
            <v>P020</v>
          </cell>
          <cell r="K183" t="str">
            <v>P020FirstFPFC</v>
          </cell>
          <cell r="L183" t="str">
            <v>First</v>
          </cell>
          <cell r="M183" t="str">
            <v>FPFC</v>
          </cell>
          <cell r="N183" t="str">
            <v>19X26.5</v>
          </cell>
          <cell r="O183" t="str">
            <v>21.4X28.9</v>
          </cell>
          <cell r="P183">
            <v>37400</v>
          </cell>
          <cell r="AG183">
            <v>177</v>
          </cell>
        </row>
        <row r="184">
          <cell r="A184" t="str">
            <v>P020</v>
          </cell>
          <cell r="K184" t="str">
            <v>P020Cover 3FPFC</v>
          </cell>
          <cell r="L184" t="str">
            <v>Cover 3</v>
          </cell>
          <cell r="M184" t="str">
            <v>FPFC</v>
          </cell>
          <cell r="N184" t="str">
            <v>19X26.5</v>
          </cell>
          <cell r="O184" t="str">
            <v>21.4X28.9</v>
          </cell>
          <cell r="P184">
            <v>35750</v>
          </cell>
          <cell r="AG184">
            <v>178</v>
          </cell>
        </row>
        <row r="185">
          <cell r="A185" t="str">
            <v>P020</v>
          </cell>
          <cell r="K185" t="str">
            <v>P020Cover 4FPFC</v>
          </cell>
          <cell r="L185" t="str">
            <v>Cover 4</v>
          </cell>
          <cell r="M185" t="str">
            <v>FPFC</v>
          </cell>
          <cell r="N185" t="str">
            <v>19X26.5</v>
          </cell>
          <cell r="O185" t="str">
            <v>21.4X28.9</v>
          </cell>
          <cell r="P185">
            <v>41800</v>
          </cell>
          <cell r="AG185">
            <v>179</v>
          </cell>
        </row>
        <row r="186">
          <cell r="A186" t="str">
            <v>P020</v>
          </cell>
          <cell r="B186" t="str">
            <v>LAO DONG</v>
          </cell>
          <cell r="C186" t="str">
            <v>04 5330305</v>
          </cell>
          <cell r="E186" t="str">
            <v>167/15 Tay Son, Dong Da, Ha Noi</v>
          </cell>
          <cell r="F186" t="str">
            <v>Ms Quynh Mai- Phong QC</v>
          </cell>
          <cell r="G186" t="str">
            <v>Daily</v>
          </cell>
          <cell r="H186">
            <v>80000</v>
          </cell>
          <cell r="I186">
            <v>0.12</v>
          </cell>
          <cell r="K186" t="str">
            <v>P020InsideHPFC</v>
          </cell>
          <cell r="L186" t="str">
            <v>Inside</v>
          </cell>
          <cell r="M186" t="str">
            <v>HPFC</v>
          </cell>
          <cell r="N186" t="str">
            <v>19X12.5</v>
          </cell>
          <cell r="P186">
            <v>16500</v>
          </cell>
          <cell r="AC186">
            <v>15</v>
          </cell>
          <cell r="AD186">
            <v>10</v>
          </cell>
          <cell r="AE186">
            <v>100</v>
          </cell>
          <cell r="AF186" t="str">
            <v>CD</v>
          </cell>
          <cell r="AG186">
            <v>180</v>
          </cell>
        </row>
        <row r="187">
          <cell r="A187" t="str">
            <v>P020</v>
          </cell>
          <cell r="B187" t="str">
            <v>LAO DONG</v>
          </cell>
          <cell r="C187" t="str">
            <v>04 5330305</v>
          </cell>
          <cell r="E187" t="str">
            <v>167/15 Tay Son, Dong Da, Ha Noi</v>
          </cell>
          <cell r="F187" t="str">
            <v>Ms Quynh Mai- Phong QC</v>
          </cell>
          <cell r="G187" t="str">
            <v>Daily</v>
          </cell>
          <cell r="H187">
            <v>80000</v>
          </cell>
          <cell r="I187">
            <v>0.12</v>
          </cell>
          <cell r="K187" t="str">
            <v>P020InsideVPFC</v>
          </cell>
          <cell r="L187" t="str">
            <v>Inside</v>
          </cell>
          <cell r="M187" t="str">
            <v>VPFC</v>
          </cell>
          <cell r="N187" t="str">
            <v>37.5X52</v>
          </cell>
          <cell r="P187">
            <v>16500</v>
          </cell>
          <cell r="AC187">
            <v>15</v>
          </cell>
          <cell r="AD187">
            <v>10</v>
          </cell>
          <cell r="AE187">
            <v>100</v>
          </cell>
          <cell r="AF187" t="str">
            <v>CD</v>
          </cell>
          <cell r="AG187">
            <v>181</v>
          </cell>
        </row>
        <row r="188">
          <cell r="A188" t="str">
            <v>P020</v>
          </cell>
          <cell r="B188" t="str">
            <v>12H</v>
          </cell>
          <cell r="C188" t="str">
            <v>04 5330305</v>
          </cell>
          <cell r="E188" t="str">
            <v>167/15 Tay Son, Dong Da, Ha Noi</v>
          </cell>
          <cell r="F188" t="str">
            <v>Ms Quynh Mai- Phong QC</v>
          </cell>
          <cell r="G188" t="str">
            <v>Daily</v>
          </cell>
          <cell r="H188">
            <v>80000</v>
          </cell>
          <cell r="I188">
            <v>0.12</v>
          </cell>
          <cell r="K188" t="str">
            <v>P020InsideJPFC</v>
          </cell>
          <cell r="L188" t="str">
            <v>Inside</v>
          </cell>
          <cell r="M188" t="str">
            <v>JPFC</v>
          </cell>
          <cell r="N188" t="str">
            <v>37.5X25.7</v>
          </cell>
          <cell r="P188">
            <v>16500</v>
          </cell>
          <cell r="AC188">
            <v>15</v>
          </cell>
          <cell r="AD188">
            <v>10</v>
          </cell>
          <cell r="AE188">
            <v>100</v>
          </cell>
          <cell r="AF188" t="str">
            <v>CD</v>
          </cell>
          <cell r="AG188">
            <v>182</v>
          </cell>
        </row>
        <row r="189">
          <cell r="A189" t="str">
            <v>P020</v>
          </cell>
          <cell r="B189" t="str">
            <v>12H</v>
          </cell>
          <cell r="K189" t="str">
            <v>P020InsideGatefold</v>
          </cell>
          <cell r="L189" t="str">
            <v>Inside</v>
          </cell>
          <cell r="M189" t="str">
            <v>Gatefold</v>
          </cell>
          <cell r="N189" t="str">
            <v>25X37</v>
          </cell>
          <cell r="P189" t="str">
            <v>90.000*1.1-dis</v>
          </cell>
          <cell r="AG189">
            <v>183</v>
          </cell>
        </row>
        <row r="190">
          <cell r="A190" t="str">
            <v>P020</v>
          </cell>
          <cell r="B190" t="str">
            <v>NGUOI DEP VN</v>
          </cell>
          <cell r="C190">
            <v>8481068</v>
          </cell>
          <cell r="D190">
            <v>8469495</v>
          </cell>
          <cell r="E190" t="str">
            <v>384/54 NKKN Q3 HCM</v>
          </cell>
          <cell r="F190" t="str">
            <v>Ms Nghi 0903844224</v>
          </cell>
          <cell r="G190" t="str">
            <v>1,15/monthly</v>
          </cell>
          <cell r="H190">
            <v>90000</v>
          </cell>
          <cell r="I190">
            <v>0.2</v>
          </cell>
          <cell r="K190" t="str">
            <v>P020</v>
          </cell>
          <cell r="L190" t="str">
            <v>Inside</v>
          </cell>
          <cell r="M190" t="str">
            <v>JPFC</v>
          </cell>
          <cell r="N190" t="str">
            <v>25X37</v>
          </cell>
          <cell r="P190">
            <v>20460</v>
          </cell>
          <cell r="AC190">
            <v>15</v>
          </cell>
          <cell r="AD190">
            <v>10</v>
          </cell>
          <cell r="AE190">
            <v>175</v>
          </cell>
          <cell r="AF190" t="str">
            <v>CD</v>
          </cell>
          <cell r="AG190">
            <v>184</v>
          </cell>
        </row>
        <row r="191">
          <cell r="A191" t="str">
            <v>THOI TRANG TRE</v>
          </cell>
          <cell r="B191" t="str">
            <v>NGUOI DEP VN</v>
          </cell>
          <cell r="C191">
            <v>8481068</v>
          </cell>
          <cell r="D191">
            <v>8469495</v>
          </cell>
          <cell r="E191" t="str">
            <v>384/54 NKKN Q3 HCM</v>
          </cell>
          <cell r="F191" t="str">
            <v>Ms Nghi 0903844224</v>
          </cell>
          <cell r="G191" t="str">
            <v>1,15/monthly</v>
          </cell>
          <cell r="H191">
            <v>90000</v>
          </cell>
          <cell r="I191">
            <v>0.2</v>
          </cell>
          <cell r="K191" t="str">
            <v>THOI TRANG TRE</v>
          </cell>
          <cell r="L191" t="str">
            <v>Cover 4</v>
          </cell>
          <cell r="M191" t="str">
            <v>FPFC</v>
          </cell>
          <cell r="N191" t="str">
            <v>19X26.5</v>
          </cell>
          <cell r="P191">
            <v>18000</v>
          </cell>
          <cell r="AC191">
            <v>15</v>
          </cell>
          <cell r="AD191">
            <v>10</v>
          </cell>
          <cell r="AE191">
            <v>175</v>
          </cell>
          <cell r="AF191" t="str">
            <v>CD</v>
          </cell>
          <cell r="AG191">
            <v>185</v>
          </cell>
        </row>
        <row r="192">
          <cell r="A192" t="str">
            <v>P021</v>
          </cell>
          <cell r="B192" t="str">
            <v>LAO DONG</v>
          </cell>
          <cell r="C192" t="str">
            <v>04 5330305</v>
          </cell>
          <cell r="D192">
            <v>8469495</v>
          </cell>
          <cell r="E192" t="str">
            <v>167/15 Tay Son, Dong Da, Ha Noi</v>
          </cell>
          <cell r="F192" t="str">
            <v>Ms Quynh Mai- Phong QC</v>
          </cell>
          <cell r="G192" t="str">
            <v>Daily</v>
          </cell>
          <cell r="H192">
            <v>80000</v>
          </cell>
          <cell r="I192">
            <v>0.12</v>
          </cell>
          <cell r="K192" t="str">
            <v>P021InsideFPFC</v>
          </cell>
          <cell r="L192" t="str">
            <v>Inside</v>
          </cell>
          <cell r="M192" t="str">
            <v>FPFC</v>
          </cell>
          <cell r="N192" t="str">
            <v>37.5X52</v>
          </cell>
          <cell r="P192">
            <v>34100</v>
          </cell>
          <cell r="AC192">
            <v>15</v>
          </cell>
          <cell r="AD192">
            <v>10</v>
          </cell>
          <cell r="AE192">
            <v>100</v>
          </cell>
          <cell r="AF192" t="str">
            <v>CD</v>
          </cell>
          <cell r="AG192">
            <v>186</v>
          </cell>
        </row>
        <row r="193">
          <cell r="A193" t="str">
            <v>P021</v>
          </cell>
          <cell r="B193" t="str">
            <v>12H</v>
          </cell>
          <cell r="K193" t="str">
            <v>P021InsideHPFC</v>
          </cell>
          <cell r="L193" t="str">
            <v>Inside</v>
          </cell>
          <cell r="M193" t="str">
            <v>HPFC</v>
          </cell>
          <cell r="N193" t="str">
            <v>37.5X25.7</v>
          </cell>
          <cell r="P193">
            <v>17050</v>
          </cell>
          <cell r="AG193">
            <v>187</v>
          </cell>
        </row>
        <row r="194">
          <cell r="A194" t="str">
            <v>P021</v>
          </cell>
          <cell r="K194" t="str">
            <v>P021InsideJPFC</v>
          </cell>
          <cell r="L194" t="str">
            <v>Inside</v>
          </cell>
          <cell r="M194" t="str">
            <v>JPFC</v>
          </cell>
          <cell r="N194" t="str">
            <v>25X37</v>
          </cell>
          <cell r="P194">
            <v>20460</v>
          </cell>
          <cell r="AG194">
            <v>188</v>
          </cell>
        </row>
        <row r="195">
          <cell r="A195" t="str">
            <v>LAO DONG</v>
          </cell>
          <cell r="K195" t="str">
            <v>LAO DONG</v>
          </cell>
          <cell r="L195" t="str">
            <v>Inside</v>
          </cell>
          <cell r="M195" t="str">
            <v>DPFC</v>
          </cell>
          <cell r="N195" t="str">
            <v>19X26.5</v>
          </cell>
          <cell r="P195">
            <v>26000</v>
          </cell>
          <cell r="AG195">
            <v>189</v>
          </cell>
        </row>
        <row r="196">
          <cell r="A196" t="str">
            <v>P022</v>
          </cell>
          <cell r="B196" t="str">
            <v>NGUOI DEP VN</v>
          </cell>
          <cell r="C196">
            <v>8481068</v>
          </cell>
          <cell r="D196">
            <v>8469495</v>
          </cell>
          <cell r="E196" t="str">
            <v>384/54 NKKN Q3 HCM</v>
          </cell>
          <cell r="F196" t="str">
            <v>Ms Nghi 0903844224</v>
          </cell>
          <cell r="G196" t="str">
            <v>1,15/ Monthly</v>
          </cell>
          <cell r="H196">
            <v>90000</v>
          </cell>
          <cell r="I196">
            <v>0.2</v>
          </cell>
          <cell r="K196" t="str">
            <v>P022Cover 4FPFC</v>
          </cell>
          <cell r="L196" t="str">
            <v>Cover 4</v>
          </cell>
          <cell r="M196" t="str">
            <v>FPFC</v>
          </cell>
          <cell r="N196" t="str">
            <v>19X26.5</v>
          </cell>
          <cell r="P196">
            <v>18000</v>
          </cell>
          <cell r="AC196">
            <v>15</v>
          </cell>
          <cell r="AD196">
            <v>10</v>
          </cell>
          <cell r="AE196">
            <v>175</v>
          </cell>
          <cell r="AF196" t="str">
            <v>CD</v>
          </cell>
          <cell r="AG196">
            <v>190</v>
          </cell>
        </row>
        <row r="197">
          <cell r="A197" t="str">
            <v>P022</v>
          </cell>
          <cell r="B197" t="str">
            <v>3G</v>
          </cell>
          <cell r="K197" t="str">
            <v>P022Cover 2FPFC</v>
          </cell>
          <cell r="L197" t="str">
            <v>Cover 2</v>
          </cell>
          <cell r="M197" t="str">
            <v>FPFC</v>
          </cell>
          <cell r="N197" t="str">
            <v>19X26.5</v>
          </cell>
          <cell r="P197">
            <v>16000</v>
          </cell>
          <cell r="AG197">
            <v>191</v>
          </cell>
        </row>
        <row r="198">
          <cell r="A198" t="str">
            <v>P022</v>
          </cell>
          <cell r="K198" t="str">
            <v>P022Cover 3FPFC</v>
          </cell>
          <cell r="L198" t="str">
            <v>Cover 3</v>
          </cell>
          <cell r="M198" t="str">
            <v>FPFC</v>
          </cell>
          <cell r="N198" t="str">
            <v>19X26.5</v>
          </cell>
          <cell r="P198">
            <v>16000</v>
          </cell>
          <cell r="AG198">
            <v>192</v>
          </cell>
        </row>
        <row r="199">
          <cell r="A199" t="str">
            <v>P022</v>
          </cell>
          <cell r="K199" t="str">
            <v>P022FirstFPFC</v>
          </cell>
          <cell r="L199" t="str">
            <v>First</v>
          </cell>
          <cell r="M199" t="str">
            <v>FPFC</v>
          </cell>
          <cell r="N199" t="str">
            <v>19X26.5</v>
          </cell>
          <cell r="P199">
            <v>15000</v>
          </cell>
          <cell r="AG199">
            <v>193</v>
          </cell>
        </row>
        <row r="200">
          <cell r="A200" t="str">
            <v>P022</v>
          </cell>
          <cell r="K200" t="str">
            <v>P022InsideDPFC</v>
          </cell>
          <cell r="L200" t="str">
            <v>Inside</v>
          </cell>
          <cell r="M200" t="str">
            <v>DPFC</v>
          </cell>
          <cell r="N200" t="str">
            <v>6.5X28.5</v>
          </cell>
          <cell r="P200">
            <v>26000</v>
          </cell>
          <cell r="AG200">
            <v>194</v>
          </cell>
        </row>
        <row r="201">
          <cell r="A201" t="str">
            <v>P022</v>
          </cell>
          <cell r="K201" t="str">
            <v>P022InsideFPFC</v>
          </cell>
          <cell r="L201" t="str">
            <v>Inside</v>
          </cell>
          <cell r="M201" t="str">
            <v>FPFC</v>
          </cell>
          <cell r="N201" t="str">
            <v>19X26.5</v>
          </cell>
          <cell r="P201">
            <v>13000</v>
          </cell>
          <cell r="AG201">
            <v>195</v>
          </cell>
        </row>
        <row r="202">
          <cell r="A202" t="str">
            <v>P022</v>
          </cell>
          <cell r="K202" t="str">
            <v>P022InsideJPFC</v>
          </cell>
          <cell r="L202" t="str">
            <v>Inside</v>
          </cell>
          <cell r="M202" t="str">
            <v>JPFC</v>
          </cell>
          <cell r="N202" t="str">
            <v>12.5X18</v>
          </cell>
          <cell r="P202">
            <v>7200</v>
          </cell>
          <cell r="AG202">
            <v>196</v>
          </cell>
        </row>
        <row r="203">
          <cell r="A203" t="str">
            <v>P022</v>
          </cell>
          <cell r="B203" t="str">
            <v>TIEN PHONG CUOI THANG</v>
          </cell>
          <cell r="C203">
            <v>8481068</v>
          </cell>
          <cell r="D203">
            <v>8469495</v>
          </cell>
          <cell r="E203" t="str">
            <v>384/54 NKKN Q3 HCM</v>
          </cell>
          <cell r="F203" t="str">
            <v>Ms Nghi 0903844224</v>
          </cell>
          <cell r="G203" t="str">
            <v>20/ Monthly</v>
          </cell>
          <cell r="H203">
            <v>70000</v>
          </cell>
          <cell r="K203" t="str">
            <v>P022InsideVPFC</v>
          </cell>
          <cell r="L203" t="str">
            <v>Inside</v>
          </cell>
          <cell r="M203" t="str">
            <v>VPFC</v>
          </cell>
          <cell r="N203" t="str">
            <v>9X27.5</v>
          </cell>
          <cell r="P203">
            <v>7200</v>
          </cell>
          <cell r="AC203">
            <v>15</v>
          </cell>
          <cell r="AD203">
            <v>10</v>
          </cell>
          <cell r="AE203">
            <v>175</v>
          </cell>
          <cell r="AF203" t="str">
            <v>CD</v>
          </cell>
          <cell r="AG203">
            <v>197</v>
          </cell>
        </row>
        <row r="204">
          <cell r="A204" t="str">
            <v>P022</v>
          </cell>
          <cell r="B204" t="str">
            <v>TIEN PHONG CUOI THANG</v>
          </cell>
          <cell r="C204">
            <v>8481068</v>
          </cell>
          <cell r="D204">
            <v>8469495</v>
          </cell>
          <cell r="E204" t="str">
            <v>384/54 NKKN Q3 HCM</v>
          </cell>
          <cell r="F204" t="str">
            <v>Ms Nghi 0903844224</v>
          </cell>
          <cell r="G204" t="str">
            <v>20/ Monthly</v>
          </cell>
          <cell r="H204">
            <v>70000</v>
          </cell>
          <cell r="K204" t="str">
            <v>P022InsideHPFC</v>
          </cell>
          <cell r="L204" t="str">
            <v>Inside</v>
          </cell>
          <cell r="M204" t="str">
            <v>HPFC</v>
          </cell>
          <cell r="N204" t="str">
            <v>19X26.5</v>
          </cell>
          <cell r="P204">
            <v>6500</v>
          </cell>
          <cell r="AC204">
            <v>15</v>
          </cell>
          <cell r="AD204">
            <v>10</v>
          </cell>
          <cell r="AE204">
            <v>175</v>
          </cell>
          <cell r="AF204" t="str">
            <v>CD</v>
          </cell>
          <cell r="AG204">
            <v>198</v>
          </cell>
        </row>
        <row r="205">
          <cell r="A205" t="str">
            <v>P022</v>
          </cell>
          <cell r="B205" t="str">
            <v>5G</v>
          </cell>
          <cell r="C205">
            <v>8481068</v>
          </cell>
          <cell r="D205">
            <v>8469495</v>
          </cell>
          <cell r="E205" t="str">
            <v>384/54 NKKN Q3 HCM</v>
          </cell>
          <cell r="F205" t="str">
            <v>Ms Nghi 0903844224</v>
          </cell>
          <cell r="G205" t="str">
            <v>20/ Monthly</v>
          </cell>
          <cell r="H205">
            <v>70000</v>
          </cell>
          <cell r="K205" t="str">
            <v>P022Inside1/3VPFC</v>
          </cell>
          <cell r="L205" t="str">
            <v>Inside</v>
          </cell>
          <cell r="M205" t="str">
            <v>1/3VPFC</v>
          </cell>
          <cell r="N205" t="str">
            <v>6.5X28.5</v>
          </cell>
          <cell r="P205">
            <v>4800</v>
          </cell>
          <cell r="AC205">
            <v>15</v>
          </cell>
          <cell r="AD205">
            <v>14</v>
          </cell>
          <cell r="AE205">
            <v>175</v>
          </cell>
          <cell r="AF205" t="str">
            <v>CD</v>
          </cell>
          <cell r="AG205">
            <v>199</v>
          </cell>
        </row>
        <row r="206">
          <cell r="A206" t="str">
            <v>P022</v>
          </cell>
          <cell r="B206" t="str">
            <v>5G</v>
          </cell>
          <cell r="K206" t="str">
            <v>P022Inside1/3HPFC</v>
          </cell>
          <cell r="L206" t="str">
            <v>Inside</v>
          </cell>
          <cell r="M206" t="str">
            <v>1/3HPFC</v>
          </cell>
          <cell r="N206" t="str">
            <v>19X12.5</v>
          </cell>
          <cell r="P206">
            <v>4800</v>
          </cell>
          <cell r="AG206">
            <v>200</v>
          </cell>
        </row>
        <row r="207">
          <cell r="A207" t="str">
            <v>P022</v>
          </cell>
          <cell r="K207" t="str">
            <v>P022Strip adFC</v>
          </cell>
          <cell r="L207" t="str">
            <v>Strip ad</v>
          </cell>
          <cell r="M207" t="str">
            <v>FC</v>
          </cell>
          <cell r="N207" t="str">
            <v>19X5</v>
          </cell>
          <cell r="P207">
            <v>3600</v>
          </cell>
          <cell r="AG207">
            <v>201</v>
          </cell>
        </row>
        <row r="208">
          <cell r="A208" t="str">
            <v>NGUOI DEP VN</v>
          </cell>
          <cell r="K208" t="str">
            <v>NGUOI DEP VN</v>
          </cell>
          <cell r="L208" t="str">
            <v>Inside</v>
          </cell>
          <cell r="M208" t="str">
            <v>DPFC</v>
          </cell>
          <cell r="N208" t="str">
            <v>19X26.5</v>
          </cell>
          <cell r="P208">
            <v>17000</v>
          </cell>
          <cell r="AG208">
            <v>202</v>
          </cell>
        </row>
        <row r="209">
          <cell r="A209" t="str">
            <v>P023</v>
          </cell>
          <cell r="B209" t="str">
            <v>TIEN PHONG CUOI THANG</v>
          </cell>
          <cell r="C209">
            <v>8481068</v>
          </cell>
          <cell r="D209">
            <v>8469495</v>
          </cell>
          <cell r="E209" t="str">
            <v>384/54 NKKN Q3 HCM</v>
          </cell>
          <cell r="F209" t="str">
            <v>Ms Nghi 0903844224</v>
          </cell>
          <cell r="G209" t="str">
            <v>20/ Monthly</v>
          </cell>
          <cell r="H209">
            <v>70000</v>
          </cell>
          <cell r="K209" t="str">
            <v>P023Cover 4FPFC</v>
          </cell>
          <cell r="L209" t="str">
            <v>Cover 4</v>
          </cell>
          <cell r="M209" t="str">
            <v>FPFC</v>
          </cell>
          <cell r="N209" t="str">
            <v>19X26.5</v>
          </cell>
          <cell r="P209">
            <v>18000</v>
          </cell>
          <cell r="AC209">
            <v>15</v>
          </cell>
          <cell r="AD209">
            <v>14</v>
          </cell>
          <cell r="AE209">
            <v>175</v>
          </cell>
          <cell r="AF209" t="str">
            <v>CD</v>
          </cell>
          <cell r="AG209">
            <v>203</v>
          </cell>
        </row>
        <row r="210">
          <cell r="A210" t="str">
            <v>P023</v>
          </cell>
          <cell r="B210" t="str">
            <v>5G</v>
          </cell>
          <cell r="K210" t="str">
            <v>P023Cover 2FPFC</v>
          </cell>
          <cell r="L210" t="str">
            <v>Cover 2</v>
          </cell>
          <cell r="M210" t="str">
            <v>FPFC</v>
          </cell>
          <cell r="N210" t="str">
            <v>19X26.5</v>
          </cell>
          <cell r="P210">
            <v>12000</v>
          </cell>
          <cell r="AG210">
            <v>204</v>
          </cell>
        </row>
        <row r="211">
          <cell r="A211" t="str">
            <v>P023</v>
          </cell>
          <cell r="K211" t="str">
            <v>P023Cover 3FPFC</v>
          </cell>
          <cell r="L211" t="str">
            <v>Cover 3</v>
          </cell>
          <cell r="M211" t="str">
            <v>FPFC</v>
          </cell>
          <cell r="N211" t="str">
            <v>19X26.5</v>
          </cell>
          <cell r="P211">
            <v>12000</v>
          </cell>
          <cell r="AG211">
            <v>205</v>
          </cell>
        </row>
        <row r="212">
          <cell r="A212" t="str">
            <v>P023</v>
          </cell>
          <cell r="K212" t="str">
            <v>P023FirstFPFC</v>
          </cell>
          <cell r="L212" t="str">
            <v>First</v>
          </cell>
          <cell r="M212" t="str">
            <v>FPFC</v>
          </cell>
          <cell r="N212" t="str">
            <v>19X26.5</v>
          </cell>
          <cell r="P212">
            <v>11000</v>
          </cell>
          <cell r="AG212">
            <v>206</v>
          </cell>
        </row>
        <row r="213">
          <cell r="A213" t="str">
            <v>P023</v>
          </cell>
          <cell r="K213" t="str">
            <v>P023InsideDPFC</v>
          </cell>
          <cell r="L213" t="str">
            <v>Inside</v>
          </cell>
          <cell r="M213" t="str">
            <v>DPFC</v>
          </cell>
          <cell r="N213" t="str">
            <v>6.5X28.5</v>
          </cell>
          <cell r="P213">
            <v>17000</v>
          </cell>
          <cell r="AG213">
            <v>207</v>
          </cell>
        </row>
        <row r="214">
          <cell r="A214" t="str">
            <v>P023</v>
          </cell>
          <cell r="K214" t="str">
            <v>P023InsideFPFC</v>
          </cell>
          <cell r="L214" t="str">
            <v>Inside</v>
          </cell>
          <cell r="M214" t="str">
            <v>FPFC</v>
          </cell>
          <cell r="N214" t="str">
            <v>19X26.5</v>
          </cell>
          <cell r="P214">
            <v>9000</v>
          </cell>
          <cell r="AG214">
            <v>208</v>
          </cell>
        </row>
        <row r="215">
          <cell r="A215" t="str">
            <v>P023</v>
          </cell>
          <cell r="K215" t="str">
            <v>P023InsideJPFC</v>
          </cell>
          <cell r="L215" t="str">
            <v>Inside</v>
          </cell>
          <cell r="M215" t="str">
            <v>JPFC</v>
          </cell>
          <cell r="N215" t="str">
            <v>12.5X18</v>
          </cell>
          <cell r="P215">
            <v>5000</v>
          </cell>
          <cell r="AG215">
            <v>209</v>
          </cell>
        </row>
        <row r="216">
          <cell r="A216" t="str">
            <v>P023</v>
          </cell>
          <cell r="B216" t="str">
            <v>TIEN PHONG Daily</v>
          </cell>
          <cell r="C216">
            <v>8481068</v>
          </cell>
          <cell r="D216">
            <v>8469495</v>
          </cell>
          <cell r="E216" t="str">
            <v>384/54 NKKN Q3 HCM</v>
          </cell>
          <cell r="F216" t="str">
            <v>Ms Nghi 0903844224</v>
          </cell>
          <cell r="G216" t="str">
            <v>Daily</v>
          </cell>
          <cell r="H216">
            <v>100000</v>
          </cell>
          <cell r="K216" t="str">
            <v>P023InsideVPFC</v>
          </cell>
          <cell r="L216" t="str">
            <v>Inside</v>
          </cell>
          <cell r="M216" t="str">
            <v>VPFC</v>
          </cell>
          <cell r="N216" t="str">
            <v>9X27.5</v>
          </cell>
          <cell r="P216">
            <v>5000</v>
          </cell>
          <cell r="AC216">
            <v>15</v>
          </cell>
          <cell r="AD216">
            <v>10</v>
          </cell>
          <cell r="AE216">
            <v>100</v>
          </cell>
          <cell r="AF216" t="str">
            <v>CD</v>
          </cell>
          <cell r="AG216">
            <v>210</v>
          </cell>
        </row>
        <row r="217">
          <cell r="A217" t="str">
            <v>P023</v>
          </cell>
          <cell r="B217" t="str">
            <v>TIEN PHONG Daily</v>
          </cell>
          <cell r="C217">
            <v>8481068</v>
          </cell>
          <cell r="D217">
            <v>8469495</v>
          </cell>
          <cell r="E217" t="str">
            <v>384/54 NKKN Q3 HCM</v>
          </cell>
          <cell r="F217" t="str">
            <v>Ms Nghi 0903844224</v>
          </cell>
          <cell r="G217" t="str">
            <v>Daily</v>
          </cell>
          <cell r="H217">
            <v>100000</v>
          </cell>
          <cell r="K217" t="str">
            <v>P023InsideHPFC</v>
          </cell>
          <cell r="L217" t="str">
            <v>Inside</v>
          </cell>
          <cell r="M217" t="str">
            <v>HPFC</v>
          </cell>
          <cell r="N217" t="str">
            <v>25.5X38.5</v>
          </cell>
          <cell r="P217">
            <v>4500</v>
          </cell>
          <cell r="AC217">
            <v>15</v>
          </cell>
          <cell r="AD217">
            <v>10</v>
          </cell>
          <cell r="AE217">
            <v>100</v>
          </cell>
          <cell r="AF217" t="str">
            <v>CD</v>
          </cell>
          <cell r="AG217">
            <v>211</v>
          </cell>
        </row>
        <row r="218">
          <cell r="A218" t="str">
            <v>P023</v>
          </cell>
          <cell r="B218" t="str">
            <v>5G</v>
          </cell>
          <cell r="C218">
            <v>8481068</v>
          </cell>
          <cell r="D218">
            <v>8469495</v>
          </cell>
          <cell r="E218" t="str">
            <v>384/54 NKKN Q3 HCM</v>
          </cell>
          <cell r="F218" t="str">
            <v>Ms Nghi 0903844224</v>
          </cell>
          <cell r="G218" t="str">
            <v>Daily</v>
          </cell>
          <cell r="H218">
            <v>100000</v>
          </cell>
          <cell r="K218" t="str">
            <v>P023Inside1/3VPFC</v>
          </cell>
          <cell r="L218" t="str">
            <v>Inside</v>
          </cell>
          <cell r="M218" t="str">
            <v>1/3VPFC</v>
          </cell>
          <cell r="N218" t="str">
            <v>6.5X28.5</v>
          </cell>
          <cell r="P218">
            <v>3300</v>
          </cell>
          <cell r="AC218">
            <v>15</v>
          </cell>
          <cell r="AD218">
            <v>10</v>
          </cell>
          <cell r="AE218">
            <v>100</v>
          </cell>
          <cell r="AF218" t="str">
            <v>CD</v>
          </cell>
          <cell r="AG218">
            <v>212</v>
          </cell>
        </row>
        <row r="219">
          <cell r="A219" t="str">
            <v>P023</v>
          </cell>
          <cell r="B219" t="str">
            <v>5G</v>
          </cell>
          <cell r="K219" t="str">
            <v>P023Inside1/3HPFC</v>
          </cell>
          <cell r="L219" t="str">
            <v>Inside</v>
          </cell>
          <cell r="M219" t="str">
            <v>1/3HPFC</v>
          </cell>
          <cell r="N219" t="str">
            <v>19X12.5</v>
          </cell>
          <cell r="P219">
            <v>3300</v>
          </cell>
          <cell r="AG219">
            <v>213</v>
          </cell>
        </row>
        <row r="220">
          <cell r="A220" t="str">
            <v>P023</v>
          </cell>
          <cell r="K220" t="str">
            <v>P023Strip adFC</v>
          </cell>
          <cell r="L220" t="str">
            <v>Strip ad</v>
          </cell>
          <cell r="M220" t="str">
            <v>FC</v>
          </cell>
          <cell r="N220" t="str">
            <v>19X5</v>
          </cell>
          <cell r="P220">
            <v>2600</v>
          </cell>
          <cell r="AG220">
            <v>214</v>
          </cell>
        </row>
        <row r="221">
          <cell r="A221" t="str">
            <v>TIEN PHONG CUOI THANG</v>
          </cell>
          <cell r="K221" t="str">
            <v>TIEN PHONG CUOI THANG</v>
          </cell>
          <cell r="L221" t="str">
            <v>Inside</v>
          </cell>
          <cell r="M221" t="str">
            <v>JPBW</v>
          </cell>
          <cell r="N221" t="str">
            <v>18.5X25.5</v>
          </cell>
          <cell r="P221">
            <v>8400</v>
          </cell>
          <cell r="AG221">
            <v>215</v>
          </cell>
        </row>
        <row r="222">
          <cell r="A222" t="str">
            <v>P024</v>
          </cell>
          <cell r="B222" t="str">
            <v>TIEN PHONG Daily</v>
          </cell>
          <cell r="C222">
            <v>8481068</v>
          </cell>
          <cell r="D222">
            <v>8469495</v>
          </cell>
          <cell r="E222" t="str">
            <v>384/54 NKKN Q3 HCM</v>
          </cell>
          <cell r="F222" t="str">
            <v>Ms Nghi 0903844224</v>
          </cell>
          <cell r="G222" t="str">
            <v>Daily</v>
          </cell>
          <cell r="H222">
            <v>100000</v>
          </cell>
          <cell r="K222" t="str">
            <v>P024LastFPFC</v>
          </cell>
          <cell r="L222" t="str">
            <v>Last</v>
          </cell>
          <cell r="M222" t="str">
            <v>FPFC</v>
          </cell>
          <cell r="N222" t="str">
            <v>25.5X38.5</v>
          </cell>
          <cell r="P222">
            <v>26400</v>
          </cell>
          <cell r="AC222">
            <v>15</v>
          </cell>
          <cell r="AD222">
            <v>10</v>
          </cell>
          <cell r="AE222">
            <v>100</v>
          </cell>
          <cell r="AF222" t="str">
            <v>CD</v>
          </cell>
          <cell r="AG222">
            <v>216</v>
          </cell>
        </row>
        <row r="223">
          <cell r="A223" t="str">
            <v>P024</v>
          </cell>
          <cell r="B223" t="str">
            <v>5G</v>
          </cell>
          <cell r="K223" t="str">
            <v>P024InsideFPFC</v>
          </cell>
          <cell r="L223" t="str">
            <v>Inside</v>
          </cell>
          <cell r="M223" t="str">
            <v>FPFC</v>
          </cell>
          <cell r="N223" t="str">
            <v>25.5X38.5</v>
          </cell>
          <cell r="P223">
            <v>22000</v>
          </cell>
          <cell r="AG223">
            <v>217</v>
          </cell>
        </row>
        <row r="224">
          <cell r="A224" t="str">
            <v>P024</v>
          </cell>
          <cell r="K224" t="str">
            <v>P024InsideFPBW</v>
          </cell>
          <cell r="L224" t="str">
            <v>Inside</v>
          </cell>
          <cell r="M224" t="str">
            <v>FPBW</v>
          </cell>
          <cell r="N224" t="str">
            <v>25.5X38.5</v>
          </cell>
          <cell r="P224">
            <v>14000</v>
          </cell>
          <cell r="AG224">
            <v>218</v>
          </cell>
        </row>
        <row r="225">
          <cell r="A225" t="str">
            <v>P024</v>
          </cell>
          <cell r="K225" t="str">
            <v>P024InsideJPFC</v>
          </cell>
          <cell r="L225" t="str">
            <v>Inside</v>
          </cell>
          <cell r="M225" t="str">
            <v>JPFC</v>
          </cell>
          <cell r="N225" t="str">
            <v>18.5X25.5</v>
          </cell>
          <cell r="P225">
            <v>13200</v>
          </cell>
          <cell r="AG225">
            <v>219</v>
          </cell>
        </row>
        <row r="226">
          <cell r="A226" t="str">
            <v>P024</v>
          </cell>
          <cell r="B226" t="str">
            <v>CONG AN DA NANG News.</v>
          </cell>
          <cell r="C226">
            <v>9967066</v>
          </cell>
          <cell r="D226">
            <v>9967066</v>
          </cell>
          <cell r="E226" t="str">
            <v>40 C5 Chu Van An P 26 Binh Thanh</v>
          </cell>
          <cell r="F226" t="str">
            <v>Mr Mai Phuc 0903924405</v>
          </cell>
          <cell r="G226" t="str">
            <v>2,4,6/ Weekly</v>
          </cell>
          <cell r="H226">
            <v>40000</v>
          </cell>
          <cell r="I226">
            <v>0.15</v>
          </cell>
          <cell r="K226" t="str">
            <v>P024InsideJPBW</v>
          </cell>
          <cell r="L226" t="str">
            <v>Inside</v>
          </cell>
          <cell r="M226" t="str">
            <v>JPBW</v>
          </cell>
          <cell r="N226" t="str">
            <v>18.5X25.5</v>
          </cell>
          <cell r="P226">
            <v>8400</v>
          </cell>
          <cell r="AC226">
            <v>15</v>
          </cell>
          <cell r="AD226">
            <v>10</v>
          </cell>
          <cell r="AE226">
            <v>100</v>
          </cell>
          <cell r="AF226" t="str">
            <v>CD</v>
          </cell>
          <cell r="AG226">
            <v>220</v>
          </cell>
        </row>
        <row r="227">
          <cell r="A227" t="str">
            <v>P024</v>
          </cell>
          <cell r="B227" t="str">
            <v>CONG AN DA NANG News.</v>
          </cell>
          <cell r="C227">
            <v>9967066</v>
          </cell>
          <cell r="D227">
            <v>9967066</v>
          </cell>
          <cell r="E227" t="str">
            <v>40 C5 Chu Van An P 26 Binh Thanh</v>
          </cell>
          <cell r="F227" t="str">
            <v>Mr Mai Phuc 0903924405</v>
          </cell>
          <cell r="G227" t="str">
            <v>2,4,6/ Weekly</v>
          </cell>
          <cell r="H227">
            <v>40000</v>
          </cell>
          <cell r="I227">
            <v>0.15</v>
          </cell>
          <cell r="K227" t="str">
            <v>P024InsideHPFC</v>
          </cell>
          <cell r="L227" t="str">
            <v>Inside</v>
          </cell>
          <cell r="M227" t="str">
            <v>HPFC</v>
          </cell>
          <cell r="N227" t="str">
            <v>25.5X18.5</v>
          </cell>
          <cell r="P227">
            <v>11000</v>
          </cell>
          <cell r="AC227">
            <v>15</v>
          </cell>
          <cell r="AD227">
            <v>10</v>
          </cell>
          <cell r="AE227">
            <v>100</v>
          </cell>
          <cell r="AF227" t="str">
            <v>CD</v>
          </cell>
          <cell r="AG227">
            <v>221</v>
          </cell>
        </row>
        <row r="228">
          <cell r="A228" t="str">
            <v>P024</v>
          </cell>
          <cell r="B228" t="str">
            <v>11G</v>
          </cell>
          <cell r="C228">
            <v>9967066</v>
          </cell>
          <cell r="D228">
            <v>9967066</v>
          </cell>
          <cell r="E228" t="str">
            <v>40 C5 Chu Van An P 26 Binh Thanh</v>
          </cell>
          <cell r="F228" t="str">
            <v>Mr Mai Phuc 0903924405</v>
          </cell>
          <cell r="G228" t="str">
            <v>Mon, Wed, Fri/ Weekly</v>
          </cell>
          <cell r="H228">
            <v>40000</v>
          </cell>
          <cell r="I228">
            <v>0.15</v>
          </cell>
          <cell r="K228" t="str">
            <v>P024InsideHPBW</v>
          </cell>
          <cell r="L228" t="str">
            <v>Inside</v>
          </cell>
          <cell r="M228" t="str">
            <v>HPBW</v>
          </cell>
          <cell r="N228" t="str">
            <v>25.5X18.5</v>
          </cell>
          <cell r="P228">
            <v>7000</v>
          </cell>
          <cell r="Q228">
            <v>0.15</v>
          </cell>
          <cell r="AC228">
            <v>15</v>
          </cell>
          <cell r="AD228">
            <v>10</v>
          </cell>
          <cell r="AE228">
            <v>100</v>
          </cell>
          <cell r="AF228" t="str">
            <v>CD</v>
          </cell>
          <cell r="AG228">
            <v>222</v>
          </cell>
        </row>
        <row r="229">
          <cell r="A229" t="str">
            <v>P024</v>
          </cell>
          <cell r="B229" t="str">
            <v>11G</v>
          </cell>
          <cell r="C229">
            <v>2905337</v>
          </cell>
          <cell r="E229" t="str">
            <v>P309, Lau 3, 180-182 Ly Chinh Thang, P9, Q3</v>
          </cell>
          <cell r="F229" t="str">
            <v>Ms Xuan Anh 0913663227</v>
          </cell>
          <cell r="G229" t="str">
            <v>4,7/ weekly</v>
          </cell>
          <cell r="H229">
            <v>200000</v>
          </cell>
          <cell r="I229">
            <v>7.0000000000000007E-2</v>
          </cell>
          <cell r="K229" t="str">
            <v>P024Strip adFC</v>
          </cell>
          <cell r="L229" t="str">
            <v>Strip ad</v>
          </cell>
          <cell r="M229" t="str">
            <v>FC</v>
          </cell>
          <cell r="N229" t="str">
            <v>25.5X5</v>
          </cell>
          <cell r="P229">
            <v>3300</v>
          </cell>
          <cell r="AC229">
            <v>15</v>
          </cell>
          <cell r="AD229">
            <v>10</v>
          </cell>
          <cell r="AE229">
            <v>100</v>
          </cell>
          <cell r="AF229" t="str">
            <v>CD</v>
          </cell>
          <cell r="AG229">
            <v>223</v>
          </cell>
        </row>
        <row r="230">
          <cell r="A230" t="str">
            <v>P024</v>
          </cell>
          <cell r="B230" t="str">
            <v>AN NINH THE GIOI</v>
          </cell>
          <cell r="C230">
            <v>2905337</v>
          </cell>
          <cell r="E230" t="str">
            <v>P309, Lau 3, 180-182 Ly Chinh Thang, P9, Q3</v>
          </cell>
          <cell r="F230" t="str">
            <v>Ms Xuan Anh 0913663227</v>
          </cell>
          <cell r="G230" t="str">
            <v>4,7/ weekly</v>
          </cell>
          <cell r="H230">
            <v>200000</v>
          </cell>
          <cell r="I230">
            <v>7.0000000000000007E-2</v>
          </cell>
          <cell r="K230" t="str">
            <v>P024Strip adBW</v>
          </cell>
          <cell r="L230" t="str">
            <v>Strip ad</v>
          </cell>
          <cell r="M230" t="str">
            <v>BW</v>
          </cell>
          <cell r="N230" t="str">
            <v>25.5X5</v>
          </cell>
          <cell r="P230">
            <v>2000</v>
          </cell>
          <cell r="AC230">
            <v>15</v>
          </cell>
          <cell r="AD230">
            <v>10</v>
          </cell>
          <cell r="AE230">
            <v>100</v>
          </cell>
          <cell r="AF230" t="str">
            <v>CD</v>
          </cell>
          <cell r="AG230">
            <v>224</v>
          </cell>
        </row>
        <row r="231">
          <cell r="A231" t="str">
            <v>TIEN PHONG Daily</v>
          </cell>
          <cell r="B231" t="str">
            <v>3F</v>
          </cell>
          <cell r="K231" t="str">
            <v>TIEN PHONG Daily</v>
          </cell>
          <cell r="L231" t="str">
            <v>Inside</v>
          </cell>
          <cell r="M231" t="str">
            <v>HPFC</v>
          </cell>
          <cell r="N231" t="str">
            <v>18X13</v>
          </cell>
          <cell r="P231">
            <v>13000</v>
          </cell>
          <cell r="AG231">
            <v>225</v>
          </cell>
        </row>
        <row r="232">
          <cell r="A232" t="str">
            <v>P025</v>
          </cell>
          <cell r="B232" t="str">
            <v>CONG AN DA NANG News.</v>
          </cell>
          <cell r="C232">
            <v>9967066</v>
          </cell>
          <cell r="D232">
            <v>9967066</v>
          </cell>
          <cell r="E232" t="str">
            <v>40 C5 Chu Van An P 26 Binh Thanh</v>
          </cell>
          <cell r="F232" t="str">
            <v>Mr Mai Phuc 0903924405</v>
          </cell>
          <cell r="G232" t="str">
            <v>Mon, Wed, Fri/ Weekly</v>
          </cell>
          <cell r="H232">
            <v>40000</v>
          </cell>
          <cell r="I232">
            <v>0.15</v>
          </cell>
          <cell r="K232" t="str">
            <v>P025InsideFPFC</v>
          </cell>
          <cell r="L232" t="str">
            <v>Inside</v>
          </cell>
          <cell r="M232" t="str">
            <v>FPFC</v>
          </cell>
          <cell r="N232" t="str">
            <v>26X38</v>
          </cell>
          <cell r="P232">
            <v>15000</v>
          </cell>
          <cell r="Q232">
            <v>0.15</v>
          </cell>
          <cell r="AC232">
            <v>15</v>
          </cell>
          <cell r="AD232">
            <v>10</v>
          </cell>
          <cell r="AE232">
            <v>100</v>
          </cell>
          <cell r="AF232" t="str">
            <v>CD</v>
          </cell>
          <cell r="AG232">
            <v>226</v>
          </cell>
        </row>
        <row r="233">
          <cell r="A233" t="str">
            <v>P025</v>
          </cell>
          <cell r="B233" t="str">
            <v>11G</v>
          </cell>
          <cell r="C233">
            <v>9101766</v>
          </cell>
          <cell r="D233">
            <v>9101636</v>
          </cell>
          <cell r="E233" t="str">
            <v>Lau 6, P. 616, Me Linh Point- 2 Ngo Duc Ke, Q.1</v>
          </cell>
          <cell r="F233" t="str">
            <v>Ms Hoang Trang</v>
          </cell>
          <cell r="G233" t="str">
            <v>4/ weekly</v>
          </cell>
          <cell r="H233">
            <v>200000</v>
          </cell>
          <cell r="K233" t="str">
            <v>P025LastFPFC</v>
          </cell>
          <cell r="L233" t="str">
            <v>Last</v>
          </cell>
          <cell r="M233" t="str">
            <v>FPFC</v>
          </cell>
          <cell r="N233" t="str">
            <v>26X38</v>
          </cell>
          <cell r="P233">
            <v>15000</v>
          </cell>
          <cell r="AC233">
            <v>15</v>
          </cell>
          <cell r="AD233">
            <v>10</v>
          </cell>
          <cell r="AE233">
            <v>100</v>
          </cell>
          <cell r="AF233" t="str">
            <v>CD</v>
          </cell>
          <cell r="AG233">
            <v>227</v>
          </cell>
        </row>
        <row r="234">
          <cell r="A234" t="str">
            <v>P025</v>
          </cell>
          <cell r="B234" t="str">
            <v>3B</v>
          </cell>
          <cell r="K234" t="str">
            <v>P025InsideHPFC</v>
          </cell>
          <cell r="L234" t="str">
            <v>Inside</v>
          </cell>
          <cell r="M234" t="str">
            <v>HPFC</v>
          </cell>
          <cell r="N234" t="str">
            <v>26X19</v>
          </cell>
          <cell r="P234">
            <v>8000</v>
          </cell>
          <cell r="AG234">
            <v>228</v>
          </cell>
        </row>
        <row r="235">
          <cell r="A235" t="str">
            <v>CONG AN DA NANG News.</v>
          </cell>
          <cell r="B235" t="str">
            <v>CONG AN TPHCM News.</v>
          </cell>
          <cell r="C235">
            <v>9101766</v>
          </cell>
          <cell r="D235">
            <v>9101636</v>
          </cell>
          <cell r="E235" t="str">
            <v>Lau 6, P. 616, Me Linh Point- 2 Ngo Duc Ke, Q.1</v>
          </cell>
          <cell r="F235" t="str">
            <v>Ms Hoang Trang</v>
          </cell>
          <cell r="G235" t="str">
            <v>Wed/ Weekly</v>
          </cell>
          <cell r="H235">
            <v>200000</v>
          </cell>
          <cell r="K235" t="str">
            <v>CONG AN DA NANG News.</v>
          </cell>
          <cell r="L235" t="str">
            <v>Inside</v>
          </cell>
          <cell r="M235" t="str">
            <v>HPFC</v>
          </cell>
          <cell r="N235" t="str">
            <v>25.1X18.45</v>
          </cell>
          <cell r="P235">
            <v>29000</v>
          </cell>
          <cell r="AC235">
            <v>15</v>
          </cell>
          <cell r="AD235">
            <v>10</v>
          </cell>
          <cell r="AE235">
            <v>100</v>
          </cell>
          <cell r="AF235" t="str">
            <v>CD</v>
          </cell>
          <cell r="AG235">
            <v>229</v>
          </cell>
        </row>
        <row r="236">
          <cell r="A236" t="str">
            <v>P026</v>
          </cell>
          <cell r="B236" t="str">
            <v>AN NINH THE GIOI</v>
          </cell>
          <cell r="C236">
            <v>2905337</v>
          </cell>
          <cell r="D236">
            <v>2905339</v>
          </cell>
          <cell r="E236" t="str">
            <v>P309, Lau 3, 180-182 Ly Chinh Thang, P9, Q3</v>
          </cell>
          <cell r="F236" t="str">
            <v>Ms Xuan Anh 0913663227</v>
          </cell>
          <cell r="G236" t="str">
            <v>Wed, Sat/ Weekly</v>
          </cell>
          <cell r="H236">
            <v>200000</v>
          </cell>
          <cell r="I236">
            <v>7.0000000000000007E-2</v>
          </cell>
          <cell r="K236" t="str">
            <v>P026InsideFPFC</v>
          </cell>
          <cell r="L236" t="str">
            <v>Inside</v>
          </cell>
          <cell r="M236" t="str">
            <v>FPFC</v>
          </cell>
          <cell r="N236" t="str">
            <v>18X26</v>
          </cell>
          <cell r="P236">
            <v>25000</v>
          </cell>
          <cell r="Q236">
            <v>7.0000000000000007E-2</v>
          </cell>
          <cell r="AC236">
            <v>15</v>
          </cell>
          <cell r="AD236">
            <v>10</v>
          </cell>
          <cell r="AE236">
            <v>100</v>
          </cell>
          <cell r="AF236" t="str">
            <v>CD</v>
          </cell>
          <cell r="AG236">
            <v>230</v>
          </cell>
        </row>
        <row r="237">
          <cell r="A237" t="str">
            <v>P026</v>
          </cell>
          <cell r="B237" t="str">
            <v>3F</v>
          </cell>
          <cell r="K237" t="str">
            <v>P026InsideHPFC</v>
          </cell>
          <cell r="L237" t="str">
            <v>Inside</v>
          </cell>
          <cell r="M237" t="str">
            <v>HPFC</v>
          </cell>
          <cell r="N237" t="str">
            <v>18X13</v>
          </cell>
          <cell r="P237">
            <v>13000</v>
          </cell>
          <cell r="AG237">
            <v>231</v>
          </cell>
        </row>
        <row r="238">
          <cell r="A238" t="str">
            <v>AN NINH THE GIOI</v>
          </cell>
          <cell r="K238" t="str">
            <v>AN NINH THE GIOI</v>
          </cell>
          <cell r="L238" t="str">
            <v>Last</v>
          </cell>
          <cell r="M238" t="str">
            <v>FPFC</v>
          </cell>
          <cell r="N238" t="str">
            <v>25.1X37.4</v>
          </cell>
          <cell r="P238">
            <v>55650</v>
          </cell>
          <cell r="AG238">
            <v>232</v>
          </cell>
        </row>
        <row r="239">
          <cell r="A239" t="str">
            <v>P027</v>
          </cell>
          <cell r="B239" t="str">
            <v>CONG AN TPHCM News.</v>
          </cell>
          <cell r="C239">
            <v>9101766</v>
          </cell>
          <cell r="D239">
            <v>9101636</v>
          </cell>
          <cell r="E239" t="str">
            <v>Lau 6, P. 616, Me Linh Point- 2 Ngo Duc Ke, Q.1</v>
          </cell>
          <cell r="F239" t="str">
            <v>Ms Hoang Trang</v>
          </cell>
          <cell r="G239" t="str">
            <v>Wed/ Weekly</v>
          </cell>
          <cell r="H239">
            <v>200000</v>
          </cell>
          <cell r="I239">
            <v>0.1</v>
          </cell>
          <cell r="K239" t="str">
            <v>P027FirstFPFC</v>
          </cell>
          <cell r="L239" t="str">
            <v>First</v>
          </cell>
          <cell r="M239" t="str">
            <v>FPFC</v>
          </cell>
          <cell r="N239" t="str">
            <v>25.1X33.1</v>
          </cell>
          <cell r="P239">
            <v>58300.000000000007</v>
          </cell>
          <cell r="AC239">
            <v>15</v>
          </cell>
          <cell r="AD239">
            <v>10</v>
          </cell>
          <cell r="AE239">
            <v>100</v>
          </cell>
          <cell r="AF239" t="str">
            <v>CD</v>
          </cell>
          <cell r="AG239">
            <v>233</v>
          </cell>
        </row>
        <row r="240">
          <cell r="A240" t="str">
            <v>P027</v>
          </cell>
          <cell r="B240" t="str">
            <v>3B</v>
          </cell>
          <cell r="C240">
            <v>8468715</v>
          </cell>
          <cell r="D240">
            <v>9316723</v>
          </cell>
          <cell r="E240" t="str">
            <v>188 Ly Chinh Thang, Q.3, Tp. HCM</v>
          </cell>
          <cell r="F240" t="str">
            <v>Ms Ngoc Lan 0903773206</v>
          </cell>
          <cell r="G240" t="str">
            <v>3,6/week</v>
          </cell>
          <cell r="I240">
            <v>0.1</v>
          </cell>
          <cell r="K240" t="str">
            <v>P027InsideFPFC</v>
          </cell>
          <cell r="L240" t="str">
            <v>Inside</v>
          </cell>
          <cell r="M240" t="str">
            <v>FPFC</v>
          </cell>
          <cell r="N240" t="str">
            <v>25.1X37.4</v>
          </cell>
          <cell r="P240">
            <v>53000</v>
          </cell>
          <cell r="AC240">
            <v>15</v>
          </cell>
          <cell r="AD240">
            <v>10</v>
          </cell>
          <cell r="AE240">
            <v>100</v>
          </cell>
          <cell r="AF240" t="str">
            <v>CD</v>
          </cell>
          <cell r="AG240">
            <v>234</v>
          </cell>
        </row>
        <row r="241">
          <cell r="A241" t="str">
            <v>P027</v>
          </cell>
          <cell r="B241" t="str">
            <v>7F</v>
          </cell>
          <cell r="K241" t="str">
            <v>P027InsideHPFC</v>
          </cell>
          <cell r="L241" t="str">
            <v>Inside</v>
          </cell>
          <cell r="M241" t="str">
            <v>HPFC</v>
          </cell>
          <cell r="N241" t="str">
            <v>25.1X18.45</v>
          </cell>
          <cell r="P241">
            <v>29000</v>
          </cell>
          <cell r="AG241">
            <v>235</v>
          </cell>
        </row>
        <row r="242">
          <cell r="A242" t="str">
            <v>P027</v>
          </cell>
          <cell r="B242" t="str">
            <v>PHU NU HCM</v>
          </cell>
          <cell r="C242">
            <v>8468715</v>
          </cell>
          <cell r="D242">
            <v>8468523</v>
          </cell>
          <cell r="E242" t="str">
            <v>188 Ly Chinh Thang, Q.3, Tp. HCM</v>
          </cell>
          <cell r="F242" t="str">
            <v>Ms Ngoc Lan 0903773206</v>
          </cell>
          <cell r="G242" t="str">
            <v>Tue, Fri/ Week</v>
          </cell>
          <cell r="I242">
            <v>0.1</v>
          </cell>
          <cell r="K242" t="str">
            <v>P027FirstHPFC</v>
          </cell>
          <cell r="L242" t="str">
            <v>First</v>
          </cell>
          <cell r="M242" t="str">
            <v>HPFC</v>
          </cell>
          <cell r="N242" t="str">
            <v>25.1X16.3</v>
          </cell>
          <cell r="P242">
            <v>29000</v>
          </cell>
          <cell r="Q242">
            <v>0.1</v>
          </cell>
          <cell r="AC242">
            <v>15</v>
          </cell>
          <cell r="AD242">
            <v>10</v>
          </cell>
          <cell r="AE242">
            <v>100</v>
          </cell>
          <cell r="AF242" t="str">
            <v>CD</v>
          </cell>
          <cell r="AG242">
            <v>236</v>
          </cell>
        </row>
        <row r="243">
          <cell r="A243" t="str">
            <v>P027</v>
          </cell>
          <cell r="B243" t="str">
            <v>7F</v>
          </cell>
          <cell r="K243" t="str">
            <v>P027InsideQPFC</v>
          </cell>
          <cell r="L243" t="str">
            <v>Inside</v>
          </cell>
          <cell r="M243" t="str">
            <v>QPFC</v>
          </cell>
          <cell r="N243" t="str">
            <v>12.3X18.45</v>
          </cell>
          <cell r="P243">
            <v>16000</v>
          </cell>
          <cell r="AG243">
            <v>237</v>
          </cell>
        </row>
        <row r="244">
          <cell r="A244" t="str">
            <v>P027</v>
          </cell>
          <cell r="K244" t="str">
            <v>P027LastFPFC</v>
          </cell>
          <cell r="L244" t="str">
            <v>Last</v>
          </cell>
          <cell r="M244" t="str">
            <v>FPFC</v>
          </cell>
          <cell r="N244" t="str">
            <v>25.1X37.4</v>
          </cell>
          <cell r="P244">
            <v>55650</v>
          </cell>
          <cell r="AG244">
            <v>238</v>
          </cell>
        </row>
        <row r="245">
          <cell r="A245" t="str">
            <v>CONG AN TPHCM News.</v>
          </cell>
          <cell r="B245" t="str">
            <v>PHU NU CN- COST WILL BE INCREASED FROM OCT'06</v>
          </cell>
          <cell r="C245">
            <v>8468715</v>
          </cell>
          <cell r="D245">
            <v>9316723</v>
          </cell>
          <cell r="E245" t="str">
            <v>188 Ly Chinh Thang, Q.3, Tp. HCM</v>
          </cell>
          <cell r="F245" t="str">
            <v>Ms Ngoc Lan 0903773206</v>
          </cell>
          <cell r="G245" t="str">
            <v>weekly</v>
          </cell>
          <cell r="H245">
            <v>152000</v>
          </cell>
          <cell r="I245">
            <v>0.1</v>
          </cell>
          <cell r="K245" t="str">
            <v>CONG AN TPHCM News.</v>
          </cell>
          <cell r="L245" t="str">
            <v>Inside</v>
          </cell>
          <cell r="M245" t="str">
            <v>HPFC</v>
          </cell>
          <cell r="N245" t="str">
            <v>24.5X18</v>
          </cell>
          <cell r="O245" t="str">
            <v>20.5X28.5</v>
          </cell>
          <cell r="P245">
            <v>11000</v>
          </cell>
          <cell r="AC245">
            <v>15</v>
          </cell>
          <cell r="AD245">
            <v>10</v>
          </cell>
          <cell r="AE245">
            <v>100</v>
          </cell>
          <cell r="AF245" t="str">
            <v>CD</v>
          </cell>
          <cell r="AG245">
            <v>239</v>
          </cell>
        </row>
        <row r="246">
          <cell r="A246" t="str">
            <v>P028</v>
          </cell>
          <cell r="B246" t="str">
            <v>PHU NU HCM</v>
          </cell>
          <cell r="C246">
            <v>8468715</v>
          </cell>
          <cell r="D246">
            <v>8468523</v>
          </cell>
          <cell r="E246" t="str">
            <v>188 Ly Chinh Thang, Q.3, Tp. HCM</v>
          </cell>
          <cell r="F246" t="str">
            <v>Ms Ngoc Lan 0903773206</v>
          </cell>
          <cell r="G246" t="str">
            <v>Tue, Fri/ Week</v>
          </cell>
          <cell r="H246">
            <v>152000</v>
          </cell>
          <cell r="I246">
            <v>0.1</v>
          </cell>
          <cell r="K246" t="str">
            <v>P028InsideFPFC</v>
          </cell>
          <cell r="L246" t="str">
            <v>Inside</v>
          </cell>
          <cell r="M246" t="str">
            <v>FPFC</v>
          </cell>
          <cell r="N246" t="str">
            <v>24.5X36.5</v>
          </cell>
          <cell r="O246" t="str">
            <v>20.5X28.5</v>
          </cell>
          <cell r="P246">
            <v>21000</v>
          </cell>
          <cell r="Q246">
            <v>0.1</v>
          </cell>
          <cell r="AC246">
            <v>15</v>
          </cell>
          <cell r="AD246">
            <v>10</v>
          </cell>
          <cell r="AE246">
            <v>100</v>
          </cell>
          <cell r="AF246" t="str">
            <v>CD</v>
          </cell>
          <cell r="AG246">
            <v>240</v>
          </cell>
        </row>
        <row r="247">
          <cell r="A247" t="str">
            <v>P028</v>
          </cell>
          <cell r="B247" t="str">
            <v>7F</v>
          </cell>
          <cell r="K247" t="str">
            <v>P028FirstFPFC</v>
          </cell>
          <cell r="L247" t="str">
            <v>First</v>
          </cell>
          <cell r="M247" t="str">
            <v>FPFC</v>
          </cell>
          <cell r="N247" t="str">
            <v>24.5X36.5</v>
          </cell>
          <cell r="P247">
            <v>25200</v>
          </cell>
          <cell r="AG247">
            <v>241</v>
          </cell>
        </row>
        <row r="248">
          <cell r="A248" t="str">
            <v>P028</v>
          </cell>
          <cell r="K248" t="str">
            <v>P028LastFPFC</v>
          </cell>
          <cell r="L248" t="str">
            <v>Last</v>
          </cell>
          <cell r="M248" t="str">
            <v>FPFC</v>
          </cell>
          <cell r="N248" t="str">
            <v>24.5X36.5</v>
          </cell>
          <cell r="P248">
            <v>25200</v>
          </cell>
          <cell r="AG248">
            <v>242</v>
          </cell>
        </row>
        <row r="249">
          <cell r="A249" t="str">
            <v>P028</v>
          </cell>
          <cell r="B249" t="str">
            <v>PHU NU CN</v>
          </cell>
          <cell r="C249">
            <v>8468715</v>
          </cell>
          <cell r="D249">
            <v>9316723</v>
          </cell>
          <cell r="E249" t="str">
            <v>188 Ly Chinh Thang, Q.3, Tp. HCM</v>
          </cell>
          <cell r="F249" t="str">
            <v>Ms Ngoc Lan 0903773206</v>
          </cell>
          <cell r="G249" t="str">
            <v>Weekly</v>
          </cell>
          <cell r="H249">
            <v>152000</v>
          </cell>
          <cell r="I249">
            <v>0.1</v>
          </cell>
          <cell r="K249" t="str">
            <v>P028InsideHPFC</v>
          </cell>
          <cell r="L249" t="str">
            <v>Inside</v>
          </cell>
          <cell r="M249" t="str">
            <v>HPFC</v>
          </cell>
          <cell r="N249" t="str">
            <v>24.5X18</v>
          </cell>
          <cell r="O249" t="str">
            <v>20.5X28.5</v>
          </cell>
          <cell r="P249">
            <v>11000</v>
          </cell>
          <cell r="AC249">
            <v>15</v>
          </cell>
          <cell r="AD249">
            <v>10</v>
          </cell>
          <cell r="AE249">
            <v>100</v>
          </cell>
          <cell r="AF249" t="str">
            <v>CD</v>
          </cell>
          <cell r="AG249">
            <v>243</v>
          </cell>
        </row>
        <row r="250">
          <cell r="A250" t="str">
            <v>P028</v>
          </cell>
          <cell r="B250" t="str">
            <v>7F</v>
          </cell>
          <cell r="K250" t="str">
            <v>P028First- AppendixFPFC</v>
          </cell>
          <cell r="L250" t="str">
            <v>First- Appendix</v>
          </cell>
          <cell r="M250" t="str">
            <v>FPFC</v>
          </cell>
          <cell r="N250" t="str">
            <v>24.5X33</v>
          </cell>
          <cell r="P250">
            <v>4950</v>
          </cell>
          <cell r="AG250">
            <v>244</v>
          </cell>
        </row>
        <row r="251">
          <cell r="A251" t="str">
            <v>P028</v>
          </cell>
          <cell r="K251" t="str">
            <v>P028Advertorial200 words</v>
          </cell>
          <cell r="L251" t="str">
            <v>Advertorial</v>
          </cell>
          <cell r="M251" t="str">
            <v>200 words</v>
          </cell>
          <cell r="N251" t="str">
            <v>18X26</v>
          </cell>
          <cell r="P251">
            <v>2530</v>
          </cell>
          <cell r="AG251">
            <v>245</v>
          </cell>
        </row>
        <row r="252">
          <cell r="A252" t="str">
            <v>PHU NU HCM</v>
          </cell>
          <cell r="K252" t="str">
            <v>PHU NU HCM</v>
          </cell>
          <cell r="L252" t="str">
            <v>Strip ad</v>
          </cell>
          <cell r="M252" t="str">
            <v>FPFC</v>
          </cell>
          <cell r="N252" t="str">
            <v>17X3</v>
          </cell>
          <cell r="P252">
            <v>1760</v>
          </cell>
          <cell r="AG252">
            <v>246</v>
          </cell>
        </row>
        <row r="253">
          <cell r="A253" t="str">
            <v>P029</v>
          </cell>
          <cell r="B253" t="str">
            <v>PHU NU CN</v>
          </cell>
          <cell r="C253">
            <v>8468715</v>
          </cell>
          <cell r="D253">
            <v>9316723</v>
          </cell>
          <cell r="E253" t="str">
            <v>188 Ly Chinh Thang, Q.3, Tp. HCM</v>
          </cell>
          <cell r="F253" t="str">
            <v>Ms Ngoc Lan 0903773206</v>
          </cell>
          <cell r="G253" t="str">
            <v>Weekly</v>
          </cell>
          <cell r="H253">
            <v>152000</v>
          </cell>
          <cell r="I253">
            <v>0.1</v>
          </cell>
          <cell r="K253" t="str">
            <v>P029InsideFPFC</v>
          </cell>
          <cell r="L253" t="str">
            <v>Inside</v>
          </cell>
          <cell r="M253" t="str">
            <v>FPFC</v>
          </cell>
          <cell r="N253" t="str">
            <v>18X26</v>
          </cell>
          <cell r="O253" t="str">
            <v>20.5X28.5</v>
          </cell>
          <cell r="P253">
            <v>12000</v>
          </cell>
          <cell r="Q253">
            <v>0.4</v>
          </cell>
          <cell r="AC253">
            <v>15</v>
          </cell>
          <cell r="AD253">
            <v>10</v>
          </cell>
          <cell r="AE253">
            <v>100</v>
          </cell>
          <cell r="AF253" t="str">
            <v>CD</v>
          </cell>
          <cell r="AG253">
            <v>247</v>
          </cell>
        </row>
        <row r="254">
          <cell r="A254" t="str">
            <v>P029</v>
          </cell>
          <cell r="B254" t="str">
            <v>7F</v>
          </cell>
          <cell r="C254">
            <v>8238198</v>
          </cell>
          <cell r="D254">
            <v>8238200</v>
          </cell>
          <cell r="E254" t="str">
            <v>18 Ter Nguyen Thi Minh Khai, Q.1, Tp. HCM</v>
          </cell>
          <cell r="F254" t="str">
            <v>Ngoc Anh 0908496247 (ext 107)</v>
          </cell>
          <cell r="G254" t="str">
            <v>Fri/ Weekly</v>
          </cell>
          <cell r="H254">
            <v>30000</v>
          </cell>
          <cell r="I254">
            <v>0.4</v>
          </cell>
          <cell r="K254" t="str">
            <v>P029Cover 4FPFC</v>
          </cell>
          <cell r="L254" t="str">
            <v>Cover 4</v>
          </cell>
          <cell r="M254" t="str">
            <v>FPFC</v>
          </cell>
          <cell r="N254" t="str">
            <v>18X26</v>
          </cell>
          <cell r="P254">
            <v>17000</v>
          </cell>
          <cell r="Q254">
            <v>0.4</v>
          </cell>
          <cell r="AC254">
            <v>15</v>
          </cell>
          <cell r="AD254">
            <v>10</v>
          </cell>
          <cell r="AE254" t="str">
            <v>300 DPI</v>
          </cell>
          <cell r="AF254" t="str">
            <v>CD</v>
          </cell>
          <cell r="AG254">
            <v>248</v>
          </cell>
        </row>
        <row r="255">
          <cell r="A255" t="str">
            <v>P029</v>
          </cell>
          <cell r="B255" t="str">
            <v>5E</v>
          </cell>
          <cell r="K255" t="str">
            <v>P029Cover 2FPFC</v>
          </cell>
          <cell r="L255" t="str">
            <v>Cover 2</v>
          </cell>
          <cell r="M255" t="str">
            <v>FPFC</v>
          </cell>
          <cell r="N255" t="str">
            <v>18X26</v>
          </cell>
          <cell r="P255">
            <v>14000</v>
          </cell>
          <cell r="AG255">
            <v>249</v>
          </cell>
        </row>
        <row r="256">
          <cell r="A256" t="str">
            <v>P029</v>
          </cell>
          <cell r="K256" t="str">
            <v>P029Cover 3FPFC</v>
          </cell>
          <cell r="L256" t="str">
            <v>Cover 3</v>
          </cell>
          <cell r="M256" t="str">
            <v>FPFC</v>
          </cell>
          <cell r="N256" t="str">
            <v>18X26</v>
          </cell>
          <cell r="P256">
            <v>14000</v>
          </cell>
          <cell r="AG256">
            <v>250</v>
          </cell>
        </row>
        <row r="257">
          <cell r="A257" t="str">
            <v>P029</v>
          </cell>
          <cell r="B257" t="str">
            <v>SAI GON DOANH NHAN CUOI TUAN</v>
          </cell>
          <cell r="C257">
            <v>8238198</v>
          </cell>
          <cell r="D257">
            <v>8238200</v>
          </cell>
          <cell r="E257" t="str">
            <v>18 Ter Nguyen Thi Minh Khai, Q.1, Tp. HCM</v>
          </cell>
          <cell r="F257" t="str">
            <v>Ngoc Anh 0908496247 (ext 107)</v>
          </cell>
          <cell r="G257" t="str">
            <v>Fri/ Weekly</v>
          </cell>
          <cell r="H257">
            <v>30000</v>
          </cell>
          <cell r="I257">
            <v>0.4</v>
          </cell>
          <cell r="K257" t="str">
            <v>P029InsideHPFC</v>
          </cell>
          <cell r="L257" t="str">
            <v>Inside</v>
          </cell>
          <cell r="M257" t="str">
            <v>HPFC</v>
          </cell>
          <cell r="N257" t="str">
            <v>18X12.5</v>
          </cell>
          <cell r="P257">
            <v>6500</v>
          </cell>
          <cell r="Q257">
            <v>0.4</v>
          </cell>
          <cell r="AC257">
            <v>15</v>
          </cell>
          <cell r="AD257">
            <v>10</v>
          </cell>
          <cell r="AE257" t="str">
            <v>300 DPI</v>
          </cell>
          <cell r="AF257" t="str">
            <v>CD</v>
          </cell>
          <cell r="AG257">
            <v>251</v>
          </cell>
        </row>
        <row r="258">
          <cell r="A258" t="str">
            <v>P029</v>
          </cell>
          <cell r="B258" t="str">
            <v>5E</v>
          </cell>
          <cell r="K258" t="str">
            <v>P029Advertorial200 words</v>
          </cell>
          <cell r="L258" t="str">
            <v>Advertorial</v>
          </cell>
          <cell r="M258" t="str">
            <v>200 words</v>
          </cell>
          <cell r="N258" t="str">
            <v>27.5X35</v>
          </cell>
          <cell r="P258">
            <v>3000</v>
          </cell>
          <cell r="AG258">
            <v>252</v>
          </cell>
        </row>
        <row r="259">
          <cell r="A259" t="str">
            <v>P029</v>
          </cell>
          <cell r="K259" t="str">
            <v>P029Strip ad</v>
          </cell>
          <cell r="L259" t="str">
            <v>Strip ad</v>
          </cell>
          <cell r="M259" t="str">
            <v>JPFC</v>
          </cell>
          <cell r="N259" t="str">
            <v>17X3</v>
          </cell>
          <cell r="P259">
            <v>2500</v>
          </cell>
          <cell r="AG259">
            <v>253</v>
          </cell>
        </row>
        <row r="260">
          <cell r="A260" t="str">
            <v>PHU NU CN</v>
          </cell>
          <cell r="K260" t="str">
            <v>PHU NU CN</v>
          </cell>
          <cell r="L260" t="str">
            <v>Inside</v>
          </cell>
          <cell r="M260" t="str">
            <v>DPFC</v>
          </cell>
          <cell r="N260" t="str">
            <v>54.7X33</v>
          </cell>
          <cell r="P260">
            <v>42000</v>
          </cell>
          <cell r="AG260">
            <v>254</v>
          </cell>
        </row>
        <row r="261">
          <cell r="A261" t="str">
            <v>P030</v>
          </cell>
          <cell r="B261" t="str">
            <v>SAI GON DOANH NHAN CUOI TUAN</v>
          </cell>
          <cell r="C261">
            <v>8238198</v>
          </cell>
          <cell r="D261">
            <v>8238200</v>
          </cell>
          <cell r="E261" t="str">
            <v>18 Ter Nguyen Thi Minh Khai, Q.1, Tp. HCM</v>
          </cell>
          <cell r="F261" t="str">
            <v>Ngoc Anh 0908496247 (ext 107)</v>
          </cell>
          <cell r="G261" t="str">
            <v>Fri/ Weekly</v>
          </cell>
          <cell r="H261">
            <v>30000</v>
          </cell>
          <cell r="I261">
            <v>0.4</v>
          </cell>
          <cell r="K261" t="str">
            <v>P030Cover 4FPFC</v>
          </cell>
          <cell r="L261" t="str">
            <v>Cover 4</v>
          </cell>
          <cell r="M261" t="str">
            <v>FPFC</v>
          </cell>
          <cell r="N261" t="str">
            <v>27.5X35</v>
          </cell>
          <cell r="P261">
            <v>26400</v>
          </cell>
          <cell r="Q261">
            <v>0.4</v>
          </cell>
          <cell r="AC261">
            <v>15</v>
          </cell>
          <cell r="AD261">
            <v>10</v>
          </cell>
          <cell r="AE261" t="str">
            <v>300 DPI</v>
          </cell>
          <cell r="AF261" t="str">
            <v>CD</v>
          </cell>
          <cell r="AG261">
            <v>255</v>
          </cell>
        </row>
        <row r="262">
          <cell r="A262" t="str">
            <v>P030</v>
          </cell>
          <cell r="B262" t="str">
            <v>5E</v>
          </cell>
          <cell r="K262" t="str">
            <v>P030Cover 2FPFC</v>
          </cell>
          <cell r="L262" t="str">
            <v>Cover 2</v>
          </cell>
          <cell r="M262" t="str">
            <v>FPFC</v>
          </cell>
          <cell r="N262" t="str">
            <v>27.5X35</v>
          </cell>
          <cell r="O262" t="str">
            <v>21.2X29.4</v>
          </cell>
          <cell r="P262">
            <v>24000</v>
          </cell>
          <cell r="AC262">
            <v>15</v>
          </cell>
          <cell r="AD262">
            <v>10</v>
          </cell>
          <cell r="AE262" t="str">
            <v>300 DPI</v>
          </cell>
          <cell r="AF262" t="str">
            <v>CD</v>
          </cell>
          <cell r="AG262">
            <v>256</v>
          </cell>
        </row>
        <row r="263">
          <cell r="A263" t="str">
            <v>P030</v>
          </cell>
          <cell r="B263" t="str">
            <v>10F</v>
          </cell>
          <cell r="K263" t="str">
            <v>P030Cover 3FPFC</v>
          </cell>
          <cell r="L263" t="str">
            <v>Cover 3</v>
          </cell>
          <cell r="M263" t="str">
            <v>FPFC</v>
          </cell>
          <cell r="N263" t="str">
            <v>27.5X35</v>
          </cell>
          <cell r="O263" t="str">
            <v>21.2X29.4</v>
          </cell>
          <cell r="P263">
            <v>24000</v>
          </cell>
          <cell r="AC263">
            <v>15</v>
          </cell>
          <cell r="AD263">
            <v>10</v>
          </cell>
          <cell r="AE263" t="str">
            <v>300 DPI</v>
          </cell>
          <cell r="AF263" t="str">
            <v>CD</v>
          </cell>
          <cell r="AG263">
            <v>257</v>
          </cell>
        </row>
        <row r="264">
          <cell r="A264" t="str">
            <v>P030</v>
          </cell>
          <cell r="B264" t="str">
            <v>10F</v>
          </cell>
          <cell r="K264" t="str">
            <v>P030InsideFPFC</v>
          </cell>
          <cell r="L264" t="str">
            <v>Inside</v>
          </cell>
          <cell r="M264" t="str">
            <v>FPFC</v>
          </cell>
          <cell r="N264" t="str">
            <v>27.5X35</v>
          </cell>
          <cell r="O264" t="str">
            <v>21.2X29.4</v>
          </cell>
          <cell r="P264">
            <v>21600</v>
          </cell>
          <cell r="AG264">
            <v>258</v>
          </cell>
        </row>
        <row r="265">
          <cell r="A265" t="str">
            <v>P030</v>
          </cell>
          <cell r="K265" t="str">
            <v>P030FirstFPFC</v>
          </cell>
          <cell r="L265" t="str">
            <v>First</v>
          </cell>
          <cell r="M265" t="str">
            <v>FPFC</v>
          </cell>
          <cell r="N265" t="str">
            <v>20X28</v>
          </cell>
          <cell r="O265" t="str">
            <v>21.2X29.4</v>
          </cell>
          <cell r="P265">
            <v>25920</v>
          </cell>
          <cell r="AG265">
            <v>259</v>
          </cell>
        </row>
        <row r="266">
          <cell r="A266" t="str">
            <v>P030</v>
          </cell>
          <cell r="B266" t="str">
            <v>SANH DIEU</v>
          </cell>
          <cell r="C266">
            <v>5173073</v>
          </cell>
          <cell r="D266">
            <v>5173110</v>
          </cell>
          <cell r="E266" t="str">
            <v>12 Lo C 10B Nhieu Loc 1, F2, PN</v>
          </cell>
          <cell r="F266" t="str">
            <v>Ms Trinh 0908182487</v>
          </cell>
          <cell r="G266" t="str">
            <v>5/ Monthly</v>
          </cell>
          <cell r="H266">
            <v>40000</v>
          </cell>
          <cell r="I266">
            <v>0.5</v>
          </cell>
          <cell r="K266" t="str">
            <v>P030InsideJPFC</v>
          </cell>
          <cell r="L266" t="str">
            <v>Inside</v>
          </cell>
          <cell r="M266" t="str">
            <v>JPFC</v>
          </cell>
          <cell r="N266" t="str">
            <v>19X27.5</v>
          </cell>
          <cell r="O266" t="str">
            <v>21.2X29.4</v>
          </cell>
          <cell r="P266">
            <v>14400</v>
          </cell>
          <cell r="Q266">
            <v>0.5</v>
          </cell>
          <cell r="AC266">
            <v>15</v>
          </cell>
          <cell r="AD266">
            <v>10</v>
          </cell>
          <cell r="AE266" t="str">
            <v>300 DPI</v>
          </cell>
          <cell r="AF266" t="str">
            <v>CD</v>
          </cell>
          <cell r="AG266">
            <v>260</v>
          </cell>
        </row>
        <row r="267">
          <cell r="A267" t="str">
            <v>P030</v>
          </cell>
          <cell r="B267" t="str">
            <v>10F</v>
          </cell>
          <cell r="K267" t="str">
            <v>P030InsideDPFC</v>
          </cell>
          <cell r="L267" t="str">
            <v>Inside</v>
          </cell>
          <cell r="M267" t="str">
            <v>DPFC</v>
          </cell>
          <cell r="N267" t="str">
            <v>54.7X33</v>
          </cell>
          <cell r="O267" t="str">
            <v>21.2X29.4</v>
          </cell>
          <cell r="P267">
            <v>42000</v>
          </cell>
          <cell r="AG267">
            <v>261</v>
          </cell>
        </row>
        <row r="268">
          <cell r="A268" t="str">
            <v>P030</v>
          </cell>
          <cell r="K268" t="str">
            <v>P030Strip ad</v>
          </cell>
          <cell r="L268" t="str">
            <v>Strip ad</v>
          </cell>
          <cell r="M268" t="str">
            <v>FPFC</v>
          </cell>
          <cell r="N268" t="str">
            <v>25.7X4</v>
          </cell>
          <cell r="O268" t="str">
            <v>21.2X29.4</v>
          </cell>
          <cell r="P268">
            <v>3000</v>
          </cell>
          <cell r="AG268">
            <v>262</v>
          </cell>
        </row>
        <row r="269">
          <cell r="A269" t="str">
            <v>SAI GON DOANH NHAN CUOI TUAN</v>
          </cell>
          <cell r="K269" t="str">
            <v>SAI GON DOANH NHAN CUOI TUAN</v>
          </cell>
          <cell r="L269" t="str">
            <v>Inside</v>
          </cell>
          <cell r="M269" t="str">
            <v>HPFC</v>
          </cell>
          <cell r="N269" t="str">
            <v>19.5X13</v>
          </cell>
          <cell r="O269" t="str">
            <v>21.2X29.4</v>
          </cell>
          <cell r="P269">
            <v>17600</v>
          </cell>
          <cell r="AG269">
            <v>263</v>
          </cell>
        </row>
        <row r="270">
          <cell r="A270" t="str">
            <v>P031</v>
          </cell>
          <cell r="B270" t="str">
            <v>SANH DIEU</v>
          </cell>
          <cell r="C270">
            <v>5173073</v>
          </cell>
          <cell r="D270">
            <v>5173110</v>
          </cell>
          <cell r="E270" t="str">
            <v>12 Lo C 10B Nhieu Loc 1, F2, PN</v>
          </cell>
          <cell r="F270" t="str">
            <v>Ms Trinh 0908182487</v>
          </cell>
          <cell r="G270" t="str">
            <v>5/ Monthly</v>
          </cell>
          <cell r="H270">
            <v>40000</v>
          </cell>
          <cell r="I270">
            <v>0.5</v>
          </cell>
          <cell r="K270" t="str">
            <v>P031InsideFPFC</v>
          </cell>
          <cell r="L270" t="str">
            <v>Inside</v>
          </cell>
          <cell r="M270" t="str">
            <v>FPFC</v>
          </cell>
          <cell r="N270" t="str">
            <v>20X28</v>
          </cell>
          <cell r="O270" t="str">
            <v>21.2X29.4</v>
          </cell>
          <cell r="P270">
            <v>29700.000000000004</v>
          </cell>
          <cell r="Q270">
            <v>0.5</v>
          </cell>
          <cell r="AC270">
            <v>15</v>
          </cell>
          <cell r="AD270">
            <v>10</v>
          </cell>
          <cell r="AE270" t="str">
            <v>300 DPI</v>
          </cell>
          <cell r="AF270" t="str">
            <v>CD</v>
          </cell>
          <cell r="AG270">
            <v>264</v>
          </cell>
        </row>
        <row r="271">
          <cell r="A271" t="str">
            <v>P031</v>
          </cell>
          <cell r="B271" t="str">
            <v>10F</v>
          </cell>
          <cell r="K271" t="str">
            <v>P031Cover 2FPFC</v>
          </cell>
          <cell r="L271" t="str">
            <v>Cover 2</v>
          </cell>
          <cell r="M271" t="str">
            <v>FPFC</v>
          </cell>
          <cell r="N271" t="str">
            <v>20X28</v>
          </cell>
          <cell r="O271" t="str">
            <v>21.2X29.4</v>
          </cell>
          <cell r="P271">
            <v>51700.000000000007</v>
          </cell>
          <cell r="AG271">
            <v>265</v>
          </cell>
        </row>
        <row r="272">
          <cell r="A272" t="str">
            <v>P031</v>
          </cell>
          <cell r="K272" t="str">
            <v>P031Cover 3FPFC</v>
          </cell>
          <cell r="L272" t="str">
            <v>Cover 3</v>
          </cell>
          <cell r="M272" t="str">
            <v>FPFC</v>
          </cell>
          <cell r="N272" t="str">
            <v>20X28</v>
          </cell>
          <cell r="O272" t="str">
            <v>21.2X29.4</v>
          </cell>
          <cell r="P272">
            <v>37400</v>
          </cell>
          <cell r="AG272">
            <v>266</v>
          </cell>
        </row>
        <row r="273">
          <cell r="A273" t="str">
            <v>P031</v>
          </cell>
          <cell r="K273" t="str">
            <v>P031Cover 4FPFC</v>
          </cell>
          <cell r="L273" t="str">
            <v>Cover 4</v>
          </cell>
          <cell r="M273" t="str">
            <v>FPFC</v>
          </cell>
          <cell r="N273" t="str">
            <v>20X28</v>
          </cell>
          <cell r="O273" t="str">
            <v>21.2X29.4</v>
          </cell>
          <cell r="P273">
            <v>66000</v>
          </cell>
          <cell r="AG273">
            <v>267</v>
          </cell>
        </row>
        <row r="274">
          <cell r="A274" t="str">
            <v>P031</v>
          </cell>
          <cell r="K274" t="str">
            <v>P031FirstFPFC</v>
          </cell>
          <cell r="L274" t="str">
            <v>First</v>
          </cell>
          <cell r="M274" t="str">
            <v>FPFC</v>
          </cell>
          <cell r="N274" t="str">
            <v>20X28</v>
          </cell>
          <cell r="O274" t="str">
            <v>21.2X29.4</v>
          </cell>
          <cell r="P274">
            <v>41800</v>
          </cell>
          <cell r="AG274">
            <v>268</v>
          </cell>
        </row>
        <row r="275">
          <cell r="A275" t="str">
            <v>P031</v>
          </cell>
          <cell r="B275" t="str">
            <v>DAT MUI</v>
          </cell>
          <cell r="C275">
            <v>8578163</v>
          </cell>
          <cell r="D275">
            <v>8538500</v>
          </cell>
          <cell r="E275" t="str">
            <v>161/B1 Nguyen Tri Phuong, P8, Q5</v>
          </cell>
          <cell r="F275" t="str">
            <v>Ms Anh Thu 0903713688</v>
          </cell>
          <cell r="G275" t="str">
            <v>Thu/ weekly</v>
          </cell>
          <cell r="H275">
            <v>40000</v>
          </cell>
          <cell r="I275">
            <v>0.2</v>
          </cell>
          <cell r="K275" t="str">
            <v>P031SecondFPFC</v>
          </cell>
          <cell r="L275" t="str">
            <v>Second</v>
          </cell>
          <cell r="M275" t="str">
            <v>FPFC</v>
          </cell>
          <cell r="N275" t="str">
            <v>20X28</v>
          </cell>
          <cell r="O275" t="str">
            <v>21.2X29.4</v>
          </cell>
          <cell r="P275">
            <v>37400</v>
          </cell>
          <cell r="AC275">
            <v>15</v>
          </cell>
          <cell r="AD275">
            <v>10</v>
          </cell>
          <cell r="AE275">
            <v>150</v>
          </cell>
          <cell r="AF275" t="str">
            <v>CD</v>
          </cell>
          <cell r="AG275">
            <v>269</v>
          </cell>
        </row>
        <row r="276">
          <cell r="A276" t="str">
            <v>P031</v>
          </cell>
          <cell r="B276" t="str">
            <v>DAT MUI</v>
          </cell>
          <cell r="C276">
            <v>8578163</v>
          </cell>
          <cell r="D276">
            <v>8538500</v>
          </cell>
          <cell r="E276" t="str">
            <v>161/B1 Nguyen Tri Phuong, P8, Q5</v>
          </cell>
          <cell r="F276" t="str">
            <v>Ms Anh Thu 0903713688</v>
          </cell>
          <cell r="G276" t="str">
            <v>Thu/ weekly</v>
          </cell>
          <cell r="H276">
            <v>40000</v>
          </cell>
          <cell r="I276">
            <v>0.2</v>
          </cell>
          <cell r="K276" t="str">
            <v>P031InsideHPFC</v>
          </cell>
          <cell r="L276" t="str">
            <v>Inside</v>
          </cell>
          <cell r="M276" t="str">
            <v>HPFC</v>
          </cell>
          <cell r="N276" t="str">
            <v>19.5X13</v>
          </cell>
          <cell r="P276">
            <v>17600</v>
          </cell>
          <cell r="AC276">
            <v>15</v>
          </cell>
          <cell r="AD276">
            <v>10</v>
          </cell>
          <cell r="AE276">
            <v>150</v>
          </cell>
          <cell r="AF276" t="str">
            <v>CD</v>
          </cell>
          <cell r="AG276">
            <v>270</v>
          </cell>
        </row>
        <row r="277">
          <cell r="A277" t="str">
            <v>P031</v>
          </cell>
          <cell r="B277" t="str">
            <v>4E</v>
          </cell>
          <cell r="K277" t="str">
            <v>P031InsideVPFC</v>
          </cell>
          <cell r="L277" t="str">
            <v>Inside</v>
          </cell>
          <cell r="M277" t="str">
            <v>VPFC</v>
          </cell>
          <cell r="N277" t="str">
            <v>9.4X28</v>
          </cell>
          <cell r="O277" t="str">
            <v>42.4X29.4</v>
          </cell>
          <cell r="P277">
            <v>17600</v>
          </cell>
          <cell r="AG277">
            <v>271</v>
          </cell>
        </row>
        <row r="278">
          <cell r="A278" t="str">
            <v>P031</v>
          </cell>
          <cell r="K278" t="str">
            <v>P031Inside1/3HPFC</v>
          </cell>
          <cell r="L278" t="str">
            <v>Inside</v>
          </cell>
          <cell r="M278" t="str">
            <v>1/3HPFC</v>
          </cell>
          <cell r="N278" t="str">
            <v>19.5X8.8</v>
          </cell>
          <cell r="P278">
            <v>14300.000000000002</v>
          </cell>
          <cell r="AG278">
            <v>272</v>
          </cell>
        </row>
        <row r="279">
          <cell r="A279" t="str">
            <v>P031</v>
          </cell>
          <cell r="B279" t="str">
            <v>DAT MUI</v>
          </cell>
          <cell r="C279">
            <v>8578163</v>
          </cell>
          <cell r="D279">
            <v>8538500</v>
          </cell>
          <cell r="E279" t="str">
            <v>161/B1 Nguyen Tri Phuong, P8, Q5</v>
          </cell>
          <cell r="F279" t="str">
            <v>Ms Anh Thu 0903713688</v>
          </cell>
          <cell r="G279" t="str">
            <v>Thu/ Weekly</v>
          </cell>
          <cell r="H279">
            <v>40000</v>
          </cell>
          <cell r="I279">
            <v>0.2</v>
          </cell>
          <cell r="K279" t="str">
            <v>P031Inside1/3VPFC</v>
          </cell>
          <cell r="L279" t="str">
            <v>Inside</v>
          </cell>
          <cell r="M279" t="str">
            <v>1/3VPFC</v>
          </cell>
          <cell r="N279" t="str">
            <v>6X28</v>
          </cell>
          <cell r="P279">
            <v>14300.000000000002</v>
          </cell>
          <cell r="Q279">
            <v>0.2</v>
          </cell>
          <cell r="AC279">
            <v>15</v>
          </cell>
          <cell r="AD279">
            <v>10</v>
          </cell>
          <cell r="AE279">
            <v>150</v>
          </cell>
          <cell r="AF279" t="str">
            <v>CD</v>
          </cell>
          <cell r="AG279">
            <v>273</v>
          </cell>
        </row>
        <row r="280">
          <cell r="A280" t="str">
            <v>P031</v>
          </cell>
          <cell r="B280" t="str">
            <v>4E</v>
          </cell>
          <cell r="K280" t="str">
            <v>P031Inside2/3VPFC</v>
          </cell>
          <cell r="L280" t="str">
            <v>Inside</v>
          </cell>
          <cell r="M280" t="str">
            <v>2/3VPFC</v>
          </cell>
          <cell r="N280" t="str">
            <v>12X28</v>
          </cell>
          <cell r="P280">
            <v>24200.000000000004</v>
          </cell>
          <cell r="AG280">
            <v>274</v>
          </cell>
        </row>
        <row r="281">
          <cell r="A281" t="str">
            <v>P031</v>
          </cell>
          <cell r="K281" t="str">
            <v>P031InsideDPFC</v>
          </cell>
          <cell r="L281" t="str">
            <v>Inside</v>
          </cell>
          <cell r="M281" t="str">
            <v>DPFC</v>
          </cell>
          <cell r="N281" t="str">
            <v>41X28</v>
          </cell>
          <cell r="O281" t="str">
            <v>42.4X29.4</v>
          </cell>
          <cell r="P281">
            <v>60500.000000000007</v>
          </cell>
          <cell r="AG281">
            <v>275</v>
          </cell>
        </row>
        <row r="282">
          <cell r="A282" t="str">
            <v>SAI GON DOANH NHAN CUOI TUAN</v>
          </cell>
          <cell r="B282" t="str">
            <v>BAC SI GIA DINH</v>
          </cell>
          <cell r="E282" t="str">
            <v>50C Dang Dung, Q.1</v>
          </cell>
          <cell r="F282" t="str">
            <v>Ms Tam 0908171837</v>
          </cell>
          <cell r="G282" t="str">
            <v>Mon/ Monthly</v>
          </cell>
          <cell r="I282">
            <v>0.2</v>
          </cell>
          <cell r="K282" t="str">
            <v>SAI GON DOANH NHAN CUOI TUAN</v>
          </cell>
          <cell r="L282" t="str">
            <v>Inside</v>
          </cell>
          <cell r="M282" t="str">
            <v>FPFC</v>
          </cell>
          <cell r="N282" t="str">
            <v>18.5X26.5</v>
          </cell>
          <cell r="P282">
            <v>17500</v>
          </cell>
          <cell r="AC282">
            <v>15</v>
          </cell>
          <cell r="AD282">
            <v>10</v>
          </cell>
          <cell r="AE282">
            <v>175</v>
          </cell>
          <cell r="AF282" t="str">
            <v>CD</v>
          </cell>
          <cell r="AG282">
            <v>276</v>
          </cell>
        </row>
        <row r="283">
          <cell r="A283" t="str">
            <v>P032</v>
          </cell>
          <cell r="B283" t="str">
            <v>DAT MUI</v>
          </cell>
          <cell r="C283">
            <v>8578163</v>
          </cell>
          <cell r="D283">
            <v>8538500</v>
          </cell>
          <cell r="E283" t="str">
            <v>161/B1 Nguyen Tri Phuong, P8, Q5</v>
          </cell>
          <cell r="F283" t="str">
            <v>Ms Anh Thu 0903713688</v>
          </cell>
          <cell r="G283" t="str">
            <v>Thu/ Weekly</v>
          </cell>
          <cell r="H283">
            <v>40000</v>
          </cell>
          <cell r="I283">
            <v>0.2</v>
          </cell>
          <cell r="K283" t="str">
            <v>P032Cover 4FPFC</v>
          </cell>
          <cell r="L283" t="str">
            <v>Cover 4</v>
          </cell>
          <cell r="M283" t="str">
            <v>FPFC</v>
          </cell>
          <cell r="N283" t="str">
            <v>18.5X26.5</v>
          </cell>
          <cell r="P283">
            <v>26000</v>
          </cell>
          <cell r="Q283">
            <v>0.2</v>
          </cell>
          <cell r="AC283">
            <v>15</v>
          </cell>
          <cell r="AD283">
            <v>10</v>
          </cell>
          <cell r="AE283">
            <v>150</v>
          </cell>
          <cell r="AF283" t="str">
            <v>CD</v>
          </cell>
          <cell r="AG283">
            <v>277</v>
          </cell>
        </row>
        <row r="284">
          <cell r="A284" t="str">
            <v>P032</v>
          </cell>
          <cell r="B284" t="str">
            <v>4E</v>
          </cell>
          <cell r="K284" t="str">
            <v>P032Cover 2FPFC</v>
          </cell>
          <cell r="L284" t="str">
            <v>Cover 2</v>
          </cell>
          <cell r="M284" t="str">
            <v>FPFC</v>
          </cell>
          <cell r="N284" t="str">
            <v>18.5X26.5</v>
          </cell>
          <cell r="P284">
            <v>22000</v>
          </cell>
          <cell r="AG284">
            <v>278</v>
          </cell>
        </row>
        <row r="285">
          <cell r="A285" t="str">
            <v>P032</v>
          </cell>
          <cell r="K285" t="str">
            <v>P032Cover 3FPFC</v>
          </cell>
          <cell r="L285" t="str">
            <v>Cover 3</v>
          </cell>
          <cell r="M285" t="str">
            <v>FPFC</v>
          </cell>
          <cell r="N285" t="str">
            <v>18.5X26.5</v>
          </cell>
          <cell r="P285">
            <v>22000</v>
          </cell>
          <cell r="AG285">
            <v>279</v>
          </cell>
        </row>
        <row r="286">
          <cell r="A286" t="str">
            <v>P032</v>
          </cell>
          <cell r="B286" t="str">
            <v>BAC SI GIA DINH</v>
          </cell>
          <cell r="E286" t="str">
            <v>50C Dang Dung, Q.1</v>
          </cell>
          <cell r="F286" t="str">
            <v>Ms Tam 0908171837</v>
          </cell>
          <cell r="G286" t="str">
            <v>5/ Monthly</v>
          </cell>
          <cell r="I286">
            <v>0.2</v>
          </cell>
          <cell r="K286" t="str">
            <v>P032InsideFPFC</v>
          </cell>
          <cell r="L286" t="str">
            <v>Inside</v>
          </cell>
          <cell r="M286" t="str">
            <v>FPFC</v>
          </cell>
          <cell r="N286" t="str">
            <v>18.5X26.5</v>
          </cell>
          <cell r="P286">
            <v>17500</v>
          </cell>
          <cell r="AC286">
            <v>15</v>
          </cell>
          <cell r="AD286">
            <v>14</v>
          </cell>
          <cell r="AE286">
            <v>175</v>
          </cell>
          <cell r="AF286" t="str">
            <v>CD</v>
          </cell>
          <cell r="AG286">
            <v>280</v>
          </cell>
        </row>
        <row r="287">
          <cell r="A287" t="str">
            <v>P032</v>
          </cell>
          <cell r="B287" t="str">
            <v>8E</v>
          </cell>
          <cell r="K287" t="str">
            <v>P032InsideVPFC</v>
          </cell>
          <cell r="L287" t="str">
            <v>Inside</v>
          </cell>
          <cell r="M287" t="str">
            <v>VPFC</v>
          </cell>
          <cell r="N287" t="str">
            <v>12X17.5</v>
          </cell>
          <cell r="P287">
            <v>10000</v>
          </cell>
          <cell r="AG287">
            <v>281</v>
          </cell>
        </row>
        <row r="288">
          <cell r="A288" t="str">
            <v>P032</v>
          </cell>
          <cell r="K288" t="str">
            <v>P032InsideHPFC</v>
          </cell>
          <cell r="L288" t="str">
            <v>Inside</v>
          </cell>
          <cell r="M288" t="str">
            <v>HPFC</v>
          </cell>
          <cell r="N288" t="str">
            <v>18.5X13</v>
          </cell>
          <cell r="P288">
            <v>10000</v>
          </cell>
          <cell r="AG288">
            <v>282</v>
          </cell>
        </row>
        <row r="289">
          <cell r="A289" t="str">
            <v>DAT MUI</v>
          </cell>
          <cell r="B289" t="str">
            <v>PHU NU AP BAC</v>
          </cell>
          <cell r="C289">
            <v>8223040</v>
          </cell>
          <cell r="D289">
            <v>8232296</v>
          </cell>
          <cell r="E289" t="str">
            <v>94A Nguyen Thi Minh Khai Q3 TPHCM</v>
          </cell>
          <cell r="F289" t="str">
            <v>Mr Duc 0903724442</v>
          </cell>
          <cell r="G289" t="str">
            <v>26-30/ monthly</v>
          </cell>
          <cell r="H289">
            <v>130000</v>
          </cell>
          <cell r="K289" t="str">
            <v>DAT MUI</v>
          </cell>
          <cell r="L289" t="str">
            <v>Inside</v>
          </cell>
          <cell r="M289" t="str">
            <v>FPFC</v>
          </cell>
          <cell r="N289" t="str">
            <v>18X25</v>
          </cell>
          <cell r="P289">
            <v>13750.000000000002</v>
          </cell>
          <cell r="AC289">
            <v>15</v>
          </cell>
          <cell r="AD289">
            <v>10</v>
          </cell>
          <cell r="AE289">
            <v>150</v>
          </cell>
          <cell r="AF289" t="str">
            <v>CD</v>
          </cell>
          <cell r="AG289">
            <v>283</v>
          </cell>
        </row>
        <row r="290">
          <cell r="A290" t="str">
            <v>P033</v>
          </cell>
          <cell r="B290" t="str">
            <v>BAC SI GIA DINH</v>
          </cell>
          <cell r="C290">
            <v>8223040</v>
          </cell>
          <cell r="D290">
            <v>8232296</v>
          </cell>
          <cell r="E290" t="str">
            <v>50C Dang Dung, Q.1</v>
          </cell>
          <cell r="F290" t="str">
            <v>Ms Tam 0908171837</v>
          </cell>
          <cell r="G290" t="str">
            <v>5/ Monthly</v>
          </cell>
          <cell r="H290">
            <v>130000</v>
          </cell>
          <cell r="I290">
            <v>0.2</v>
          </cell>
          <cell r="K290" t="str">
            <v>P033Cover 4FPFC</v>
          </cell>
          <cell r="L290" t="str">
            <v>Cover 4</v>
          </cell>
          <cell r="M290" t="str">
            <v>FPFC</v>
          </cell>
          <cell r="N290" t="str">
            <v>18X25</v>
          </cell>
          <cell r="P290">
            <v>15400.000000000002</v>
          </cell>
          <cell r="AC290">
            <v>15</v>
          </cell>
          <cell r="AD290">
            <v>14</v>
          </cell>
          <cell r="AE290">
            <v>175</v>
          </cell>
          <cell r="AF290" t="str">
            <v>CD</v>
          </cell>
          <cell r="AG290">
            <v>284</v>
          </cell>
        </row>
        <row r="291">
          <cell r="A291" t="str">
            <v>P033</v>
          </cell>
          <cell r="B291" t="str">
            <v>8E</v>
          </cell>
          <cell r="K291" t="str">
            <v>P033Cover 2FPFC</v>
          </cell>
          <cell r="L291" t="str">
            <v>Cover 2</v>
          </cell>
          <cell r="M291" t="str">
            <v>FPFC</v>
          </cell>
          <cell r="N291" t="str">
            <v>18X25</v>
          </cell>
          <cell r="P291">
            <v>15400.000000000002</v>
          </cell>
          <cell r="AG291">
            <v>285</v>
          </cell>
        </row>
        <row r="292">
          <cell r="A292" t="str">
            <v>P033</v>
          </cell>
          <cell r="K292" t="str">
            <v>P033Cover 3FPFC</v>
          </cell>
          <cell r="L292" t="str">
            <v>Cover 3</v>
          </cell>
          <cell r="M292" t="str">
            <v>FPFC</v>
          </cell>
          <cell r="N292" t="str">
            <v>18X25</v>
          </cell>
          <cell r="P292">
            <v>15400.000000000002</v>
          </cell>
          <cell r="AG292">
            <v>286</v>
          </cell>
        </row>
        <row r="293">
          <cell r="A293" t="str">
            <v>P033</v>
          </cell>
          <cell r="B293" t="str">
            <v>PHU NU AP BAC</v>
          </cell>
          <cell r="C293">
            <v>8223040</v>
          </cell>
          <cell r="D293">
            <v>8232296</v>
          </cell>
          <cell r="E293" t="str">
            <v>94A Nguyen Thi Minh Khai Q3 TPHCM</v>
          </cell>
          <cell r="F293" t="str">
            <v>Mr Duc 0903724442</v>
          </cell>
          <cell r="G293" t="str">
            <v>26-30/ Monthly</v>
          </cell>
          <cell r="H293">
            <v>130000</v>
          </cell>
          <cell r="K293" t="str">
            <v>P033InsideFPFC</v>
          </cell>
          <cell r="L293" t="str">
            <v>Inside</v>
          </cell>
          <cell r="M293" t="str">
            <v>FPFC</v>
          </cell>
          <cell r="N293" t="str">
            <v>18X25</v>
          </cell>
          <cell r="P293">
            <v>13750.000000000002</v>
          </cell>
          <cell r="AC293">
            <v>15</v>
          </cell>
          <cell r="AD293">
            <v>10</v>
          </cell>
          <cell r="AE293">
            <v>150</v>
          </cell>
          <cell r="AF293" t="str">
            <v>CD</v>
          </cell>
          <cell r="AG293">
            <v>287</v>
          </cell>
        </row>
        <row r="294">
          <cell r="A294" t="str">
            <v>P033</v>
          </cell>
          <cell r="B294" t="str">
            <v>9E</v>
          </cell>
          <cell r="K294" t="str">
            <v>P033InsideQPFC</v>
          </cell>
          <cell r="L294" t="str">
            <v>Inside</v>
          </cell>
          <cell r="M294" t="str">
            <v>QPFC</v>
          </cell>
          <cell r="N294" t="str">
            <v>17X3</v>
          </cell>
          <cell r="P294">
            <v>2750</v>
          </cell>
          <cell r="AG294">
            <v>288</v>
          </cell>
        </row>
        <row r="295">
          <cell r="A295" t="str">
            <v>P033</v>
          </cell>
          <cell r="B295" t="str">
            <v>AN NINH THU DO</v>
          </cell>
          <cell r="C295" t="str">
            <v>04 9426355</v>
          </cell>
          <cell r="D295">
            <v>49426354</v>
          </cell>
          <cell r="E295" t="str">
            <v>82 Ly Thuong Kiet- Hoan Kiem HN</v>
          </cell>
          <cell r="F295" t="str">
            <v>Mr Hung 0903209895</v>
          </cell>
          <cell r="G295" t="str">
            <v>T2-T7</v>
          </cell>
          <cell r="H295">
            <v>80000</v>
          </cell>
          <cell r="I295">
            <v>0.25</v>
          </cell>
          <cell r="K295" t="str">
            <v>P033AdvertorialFPFC</v>
          </cell>
          <cell r="L295" t="str">
            <v>Advertorial</v>
          </cell>
          <cell r="M295" t="str">
            <v>FPFC</v>
          </cell>
          <cell r="N295" t="str">
            <v>18X25</v>
          </cell>
          <cell r="P295">
            <v>8250</v>
          </cell>
          <cell r="AC295">
            <v>15</v>
          </cell>
          <cell r="AD295">
            <v>10</v>
          </cell>
          <cell r="AE295">
            <v>150</v>
          </cell>
          <cell r="AF295" t="str">
            <v>CD</v>
          </cell>
          <cell r="AG295">
            <v>289</v>
          </cell>
        </row>
        <row r="296">
          <cell r="A296" t="str">
            <v>BAC SI GIA DINH</v>
          </cell>
          <cell r="B296" t="str">
            <v>AN NINH THU DO</v>
          </cell>
          <cell r="C296" t="str">
            <v>04 9426355</v>
          </cell>
          <cell r="D296">
            <v>49426354</v>
          </cell>
          <cell r="E296" t="str">
            <v>82 Ly Thuong Kiet- Hoan Kiem HN</v>
          </cell>
          <cell r="F296" t="str">
            <v>Mr Hung 0903209895</v>
          </cell>
          <cell r="G296" t="str">
            <v>T2-T7</v>
          </cell>
          <cell r="H296">
            <v>80000</v>
          </cell>
          <cell r="I296">
            <v>0.25</v>
          </cell>
          <cell r="K296" t="str">
            <v>BAC SI GIA DINH</v>
          </cell>
          <cell r="L296" t="str">
            <v>Inside</v>
          </cell>
          <cell r="M296" t="str">
            <v>FPFC</v>
          </cell>
          <cell r="N296" t="str">
            <v>26X38</v>
          </cell>
          <cell r="P296">
            <v>16000</v>
          </cell>
          <cell r="Q296">
            <v>0.25</v>
          </cell>
          <cell r="AC296">
            <v>15</v>
          </cell>
          <cell r="AD296">
            <v>10</v>
          </cell>
          <cell r="AE296">
            <v>150</v>
          </cell>
          <cell r="AF296" t="str">
            <v>CD</v>
          </cell>
          <cell r="AG296">
            <v>290</v>
          </cell>
        </row>
        <row r="297">
          <cell r="A297" t="str">
            <v>P034</v>
          </cell>
          <cell r="B297" t="str">
            <v>PHU NU AP BAC</v>
          </cell>
          <cell r="C297">
            <v>8223040</v>
          </cell>
          <cell r="D297">
            <v>8232296</v>
          </cell>
          <cell r="E297" t="str">
            <v>94A Nguyen Thi Minh Khai Q3 TPHCM</v>
          </cell>
          <cell r="F297" t="str">
            <v>Mr Duc 0903724442</v>
          </cell>
          <cell r="G297" t="str">
            <v>26-30/ Monthly</v>
          </cell>
          <cell r="H297">
            <v>130000</v>
          </cell>
          <cell r="K297" t="str">
            <v>P034Cover 4FPFC</v>
          </cell>
          <cell r="L297" t="str">
            <v>Cover 4</v>
          </cell>
          <cell r="M297" t="str">
            <v>FPFC</v>
          </cell>
          <cell r="N297" t="str">
            <v>13X24</v>
          </cell>
          <cell r="P297">
            <v>15400.000000000002</v>
          </cell>
          <cell r="AC297">
            <v>15</v>
          </cell>
          <cell r="AD297">
            <v>10</v>
          </cell>
          <cell r="AE297">
            <v>150</v>
          </cell>
          <cell r="AF297" t="str">
            <v>CD</v>
          </cell>
          <cell r="AG297">
            <v>291</v>
          </cell>
        </row>
        <row r="298">
          <cell r="A298" t="str">
            <v>P034</v>
          </cell>
          <cell r="B298" t="str">
            <v>9E</v>
          </cell>
          <cell r="K298" t="str">
            <v>P034Cover 2FPFC</v>
          </cell>
          <cell r="L298" t="str">
            <v>Cover 2</v>
          </cell>
          <cell r="M298" t="str">
            <v>FPFC</v>
          </cell>
          <cell r="N298" t="str">
            <v>13X24</v>
          </cell>
          <cell r="P298">
            <v>12100.000000000002</v>
          </cell>
          <cell r="AG298">
            <v>292</v>
          </cell>
        </row>
        <row r="299">
          <cell r="A299" t="str">
            <v>P034</v>
          </cell>
          <cell r="B299" t="str">
            <v>AN NINH THU DO</v>
          </cell>
          <cell r="C299" t="str">
            <v>04 9426355</v>
          </cell>
          <cell r="D299">
            <v>49426354</v>
          </cell>
          <cell r="E299" t="str">
            <v>82 Ly Thuong Kiet- Hoan Kiem HN</v>
          </cell>
          <cell r="F299" t="str">
            <v>Mr Hung 0903209895</v>
          </cell>
          <cell r="G299" t="str">
            <v>Mon- Sat</v>
          </cell>
          <cell r="H299">
            <v>80000</v>
          </cell>
          <cell r="I299">
            <v>0.25</v>
          </cell>
          <cell r="K299" t="str">
            <v>P034Cover 3FPFC</v>
          </cell>
          <cell r="L299" t="str">
            <v>Cover 3</v>
          </cell>
          <cell r="M299" t="str">
            <v>FPFC</v>
          </cell>
          <cell r="N299" t="str">
            <v>13X24</v>
          </cell>
          <cell r="P299">
            <v>12100.000000000002</v>
          </cell>
          <cell r="Q299">
            <v>0.25</v>
          </cell>
          <cell r="AC299">
            <v>15</v>
          </cell>
          <cell r="AD299">
            <v>10</v>
          </cell>
          <cell r="AE299">
            <v>150</v>
          </cell>
          <cell r="AF299" t="str">
            <v>CD</v>
          </cell>
          <cell r="AG299">
            <v>293</v>
          </cell>
        </row>
        <row r="300">
          <cell r="A300" t="str">
            <v>P034</v>
          </cell>
          <cell r="B300" t="str">
            <v>10E</v>
          </cell>
          <cell r="C300">
            <v>8232420</v>
          </cell>
          <cell r="E300" t="str">
            <v>259 Hai Ba Trung, Q1, Tp.HCM</v>
          </cell>
          <cell r="F300" t="str">
            <v>Ms Thuy 0909 350540</v>
          </cell>
          <cell r="G300" t="str">
            <v>Thu/ Weekly</v>
          </cell>
          <cell r="I300">
            <v>0.4</v>
          </cell>
          <cell r="J300">
            <v>0.15</v>
          </cell>
          <cell r="K300" t="str">
            <v>P034InsideFPFC</v>
          </cell>
          <cell r="L300" t="str">
            <v>Inside</v>
          </cell>
          <cell r="M300" t="str">
            <v>FPFC</v>
          </cell>
          <cell r="N300" t="str">
            <v>13X24</v>
          </cell>
          <cell r="O300" t="str">
            <v>23.3X29.6</v>
          </cell>
          <cell r="P300">
            <v>8800</v>
          </cell>
          <cell r="Q300">
            <v>0.3</v>
          </cell>
          <cell r="R300">
            <v>0.15</v>
          </cell>
          <cell r="AC300">
            <v>15</v>
          </cell>
          <cell r="AD300">
            <v>10</v>
          </cell>
          <cell r="AE300" t="str">
            <v>300 DPI</v>
          </cell>
          <cell r="AF300" t="str">
            <v>CD- DPF/ CMYK</v>
          </cell>
          <cell r="AG300">
            <v>294</v>
          </cell>
        </row>
        <row r="301">
          <cell r="A301" t="str">
            <v>P034</v>
          </cell>
          <cell r="B301" t="str">
            <v>THE GIOI VAN HOA</v>
          </cell>
          <cell r="C301">
            <v>8232420</v>
          </cell>
          <cell r="E301" t="str">
            <v>259 Hai Ba Trung, Q1, Tp.HCM</v>
          </cell>
          <cell r="F301" t="str">
            <v>Ms Thuy 0909 350540</v>
          </cell>
          <cell r="G301" t="str">
            <v>Thu/ Weekly</v>
          </cell>
          <cell r="I301">
            <v>0.4</v>
          </cell>
          <cell r="J301">
            <v>0.15</v>
          </cell>
          <cell r="K301" t="str">
            <v>P034InsideHPFC</v>
          </cell>
          <cell r="L301" t="str">
            <v>Inside</v>
          </cell>
          <cell r="M301" t="str">
            <v>HPFC</v>
          </cell>
          <cell r="N301" t="str">
            <v>12X11</v>
          </cell>
          <cell r="O301" t="str">
            <v>23.3X29.6</v>
          </cell>
          <cell r="P301">
            <v>4620</v>
          </cell>
          <cell r="Q301">
            <v>0.3</v>
          </cell>
          <cell r="R301">
            <v>0.15</v>
          </cell>
          <cell r="AC301">
            <v>15</v>
          </cell>
          <cell r="AD301">
            <v>10</v>
          </cell>
          <cell r="AE301" t="str">
            <v>300 DPI</v>
          </cell>
          <cell r="AF301" t="str">
            <v>CD- DPF/ CMYK</v>
          </cell>
          <cell r="AG301">
            <v>295</v>
          </cell>
        </row>
        <row r="302">
          <cell r="A302" t="str">
            <v>PHU NU AP BAC</v>
          </cell>
          <cell r="B302" t="str">
            <v>11E</v>
          </cell>
          <cell r="K302" t="str">
            <v>PHU NU AP BAC</v>
          </cell>
          <cell r="L302" t="str">
            <v>Cover 3</v>
          </cell>
          <cell r="M302" t="str">
            <v>FPFC</v>
          </cell>
          <cell r="N302" t="str">
            <v>21X27</v>
          </cell>
          <cell r="O302" t="str">
            <v>23.3X29.6</v>
          </cell>
          <cell r="P302">
            <v>34100</v>
          </cell>
          <cell r="AG302">
            <v>296</v>
          </cell>
        </row>
        <row r="303">
          <cell r="A303" t="str">
            <v>P035</v>
          </cell>
          <cell r="B303" t="str">
            <v>AN NINH THU DO</v>
          </cell>
          <cell r="C303" t="str">
            <v>04 9426355</v>
          </cell>
          <cell r="D303">
            <v>49426354</v>
          </cell>
          <cell r="E303" t="str">
            <v>82 Ly Thuong Kiet- Hoan Kiem HN</v>
          </cell>
          <cell r="F303" t="str">
            <v>Mr Hung 0903209895</v>
          </cell>
          <cell r="G303" t="str">
            <v>Mon- Sat</v>
          </cell>
          <cell r="H303">
            <v>80000</v>
          </cell>
          <cell r="I303">
            <v>0.25</v>
          </cell>
          <cell r="K303" t="str">
            <v>P035InsideFPFC</v>
          </cell>
          <cell r="L303" t="str">
            <v>Inside</v>
          </cell>
          <cell r="M303" t="str">
            <v>FPFC</v>
          </cell>
          <cell r="N303" t="str">
            <v>26X38</v>
          </cell>
          <cell r="O303" t="str">
            <v>23.3X29.6</v>
          </cell>
          <cell r="P303">
            <v>16000</v>
          </cell>
          <cell r="Q303">
            <v>0.25</v>
          </cell>
          <cell r="AC303">
            <v>15</v>
          </cell>
          <cell r="AD303">
            <v>10</v>
          </cell>
          <cell r="AE303">
            <v>150</v>
          </cell>
          <cell r="AF303" t="str">
            <v>CD</v>
          </cell>
          <cell r="AG303">
            <v>297</v>
          </cell>
        </row>
        <row r="304">
          <cell r="A304" t="str">
            <v>P035</v>
          </cell>
          <cell r="B304" t="str">
            <v>10E</v>
          </cell>
          <cell r="C304">
            <v>8232420</v>
          </cell>
          <cell r="E304" t="str">
            <v>259 Hai Ba Trung, Q1, Tp.HCM</v>
          </cell>
          <cell r="F304" t="str">
            <v>Ms Thuy 0909 350540</v>
          </cell>
          <cell r="G304" t="str">
            <v>Thu/ Weekly</v>
          </cell>
          <cell r="I304">
            <v>0.4</v>
          </cell>
          <cell r="J304">
            <v>0.15</v>
          </cell>
          <cell r="K304" t="str">
            <v>P035LastFPFC</v>
          </cell>
          <cell r="L304" t="str">
            <v>Last</v>
          </cell>
          <cell r="M304" t="str">
            <v>FPFC</v>
          </cell>
          <cell r="N304" t="str">
            <v>26X38</v>
          </cell>
          <cell r="O304" t="str">
            <v>23.3X29.6</v>
          </cell>
          <cell r="P304">
            <v>16000</v>
          </cell>
          <cell r="Q304">
            <v>0.3</v>
          </cell>
          <cell r="R304">
            <v>0.15</v>
          </cell>
          <cell r="AC304">
            <v>15</v>
          </cell>
          <cell r="AD304">
            <v>10</v>
          </cell>
          <cell r="AE304" t="str">
            <v>300 DPI</v>
          </cell>
          <cell r="AF304" t="str">
            <v>CD- DPF/ CMYK</v>
          </cell>
          <cell r="AG304">
            <v>298</v>
          </cell>
        </row>
        <row r="305">
          <cell r="A305" t="str">
            <v>P035</v>
          </cell>
          <cell r="B305" t="str">
            <v>11E</v>
          </cell>
          <cell r="K305" t="str">
            <v>P035InsideHPFC</v>
          </cell>
          <cell r="L305" t="str">
            <v>Inside</v>
          </cell>
          <cell r="M305" t="str">
            <v>HPFC</v>
          </cell>
          <cell r="N305" t="str">
            <v>26X18.5</v>
          </cell>
          <cell r="O305" t="str">
            <v>23.3X29.6</v>
          </cell>
          <cell r="P305">
            <v>8500</v>
          </cell>
          <cell r="AG305">
            <v>299</v>
          </cell>
        </row>
        <row r="306">
          <cell r="A306" t="str">
            <v>P035</v>
          </cell>
          <cell r="K306" t="str">
            <v>P035InsideJPFC</v>
          </cell>
          <cell r="L306" t="str">
            <v>Inside</v>
          </cell>
          <cell r="M306" t="str">
            <v>JPFC</v>
          </cell>
          <cell r="N306" t="str">
            <v>18.5X26</v>
          </cell>
          <cell r="O306" t="str">
            <v>23.3X29.6</v>
          </cell>
          <cell r="P306">
            <v>10000</v>
          </cell>
          <cell r="AG306">
            <v>300</v>
          </cell>
        </row>
        <row r="307">
          <cell r="A307" t="str">
            <v>AN NINH THU DO</v>
          </cell>
          <cell r="K307" t="str">
            <v>AN NINH THU DO</v>
          </cell>
          <cell r="L307" t="str">
            <v>Inside</v>
          </cell>
          <cell r="M307" t="str">
            <v>2/3VPFC</v>
          </cell>
          <cell r="N307" t="str">
            <v>13.6X27</v>
          </cell>
          <cell r="O307" t="str">
            <v>23.3X29.6</v>
          </cell>
          <cell r="P307">
            <v>31900.000000000004</v>
          </cell>
          <cell r="AG307">
            <v>301</v>
          </cell>
        </row>
        <row r="308">
          <cell r="A308" t="str">
            <v>P036</v>
          </cell>
          <cell r="B308" t="str">
            <v>THE GIOI VAN HOA</v>
          </cell>
          <cell r="C308">
            <v>8232420</v>
          </cell>
          <cell r="E308" t="str">
            <v>259 Hai Ba Trung, Q1, Tp.HCM</v>
          </cell>
          <cell r="F308" t="str">
            <v>Ms Thuy 0909 350540</v>
          </cell>
          <cell r="G308" t="str">
            <v>Thu/ Weekly</v>
          </cell>
          <cell r="I308">
            <v>0.4</v>
          </cell>
          <cell r="J308">
            <v>0.15</v>
          </cell>
          <cell r="K308" t="str">
            <v>P036Cover 2FPFC</v>
          </cell>
          <cell r="L308" t="str">
            <v>Cover 2</v>
          </cell>
          <cell r="M308" t="str">
            <v>FPFC</v>
          </cell>
          <cell r="N308" t="str">
            <v>21X27</v>
          </cell>
          <cell r="O308" t="str">
            <v>23.3X29.6</v>
          </cell>
          <cell r="P308">
            <v>38500</v>
          </cell>
          <cell r="Q308">
            <v>0.3</v>
          </cell>
          <cell r="R308">
            <v>0.15</v>
          </cell>
          <cell r="AC308">
            <v>15</v>
          </cell>
          <cell r="AD308">
            <v>10</v>
          </cell>
          <cell r="AE308" t="str">
            <v>300 DPI</v>
          </cell>
          <cell r="AF308" t="str">
            <v>CD- DPF/ CMYK</v>
          </cell>
          <cell r="AG308">
            <v>302</v>
          </cell>
        </row>
        <row r="309">
          <cell r="A309" t="str">
            <v>P036</v>
          </cell>
          <cell r="B309" t="str">
            <v>11E</v>
          </cell>
          <cell r="K309" t="str">
            <v>P036Cover 3FPFC</v>
          </cell>
          <cell r="L309" t="str">
            <v>Cover 3</v>
          </cell>
          <cell r="M309" t="str">
            <v>FPFC</v>
          </cell>
          <cell r="N309" t="str">
            <v>21X27</v>
          </cell>
          <cell r="O309" t="str">
            <v>23.3X29.6</v>
          </cell>
          <cell r="P309">
            <v>34100</v>
          </cell>
          <cell r="AG309">
            <v>303</v>
          </cell>
        </row>
        <row r="310">
          <cell r="A310" t="str">
            <v>P036</v>
          </cell>
          <cell r="K310" t="str">
            <v>P036Cover 4FPFC</v>
          </cell>
          <cell r="L310" t="str">
            <v>Cover 4</v>
          </cell>
          <cell r="M310" t="str">
            <v>FPFC</v>
          </cell>
          <cell r="N310" t="str">
            <v>21X27</v>
          </cell>
          <cell r="O310" t="str">
            <v>23.3X29.6</v>
          </cell>
          <cell r="P310">
            <v>46200.000000000007</v>
          </cell>
          <cell r="AG310">
            <v>304</v>
          </cell>
        </row>
        <row r="311">
          <cell r="A311" t="str">
            <v>P036</v>
          </cell>
          <cell r="K311" t="str">
            <v>P036InsideFPFC</v>
          </cell>
          <cell r="L311" t="str">
            <v>Inside</v>
          </cell>
          <cell r="M311" t="str">
            <v>FPFC</v>
          </cell>
          <cell r="N311" t="str">
            <v>21X27</v>
          </cell>
          <cell r="O311" t="str">
            <v>23.3X29.6</v>
          </cell>
          <cell r="P311">
            <v>31900.000000000004</v>
          </cell>
          <cell r="AG311">
            <v>305</v>
          </cell>
        </row>
        <row r="312">
          <cell r="A312" t="str">
            <v>P036</v>
          </cell>
          <cell r="K312" t="str">
            <v>P036FirstFPFC</v>
          </cell>
          <cell r="L312" t="str">
            <v>First</v>
          </cell>
          <cell r="M312" t="str">
            <v>FPFC</v>
          </cell>
          <cell r="N312" t="str">
            <v>21X27</v>
          </cell>
          <cell r="O312" t="str">
            <v>23.3X29.6</v>
          </cell>
          <cell r="P312">
            <v>38280</v>
          </cell>
          <cell r="AG312">
            <v>306</v>
          </cell>
        </row>
        <row r="313">
          <cell r="A313" t="str">
            <v>P036</v>
          </cell>
          <cell r="K313" t="str">
            <v>P036Inside2/3HPFC</v>
          </cell>
          <cell r="L313" t="str">
            <v>Inside</v>
          </cell>
          <cell r="M313" t="str">
            <v>2/3HPFC</v>
          </cell>
          <cell r="N313" t="str">
            <v>21X17.6</v>
          </cell>
          <cell r="O313" t="str">
            <v>44.6X29.6</v>
          </cell>
          <cell r="P313">
            <v>31900.000000000004</v>
          </cell>
          <cell r="AG313">
            <v>307</v>
          </cell>
        </row>
        <row r="314">
          <cell r="A314" t="str">
            <v>P036</v>
          </cell>
          <cell r="B314" t="str">
            <v>Phu Nu VN</v>
          </cell>
          <cell r="C314">
            <v>9302117</v>
          </cell>
          <cell r="D314">
            <v>9303430</v>
          </cell>
          <cell r="E314" t="str">
            <v>38 vo VanTan Q3</v>
          </cell>
          <cell r="F314" t="str">
            <v>Ms Thu 0913722394</v>
          </cell>
          <cell r="G314" t="str">
            <v>2,4,6/ Weekly</v>
          </cell>
          <cell r="H314">
            <v>100000</v>
          </cell>
          <cell r="I314">
            <v>0.2</v>
          </cell>
          <cell r="K314" t="str">
            <v>P036Inside2/3VPFC</v>
          </cell>
          <cell r="L314" t="str">
            <v>Inside</v>
          </cell>
          <cell r="M314" t="str">
            <v>2/3VPFC</v>
          </cell>
          <cell r="N314" t="str">
            <v>13.6X27</v>
          </cell>
          <cell r="P314">
            <v>31900.000000000004</v>
          </cell>
          <cell r="AC314">
            <v>15</v>
          </cell>
          <cell r="AD314">
            <v>10</v>
          </cell>
          <cell r="AE314">
            <v>150</v>
          </cell>
          <cell r="AF314" t="str">
            <v>CD</v>
          </cell>
          <cell r="AG314">
            <v>308</v>
          </cell>
        </row>
        <row r="315">
          <cell r="A315" t="str">
            <v>P036</v>
          </cell>
          <cell r="B315" t="str">
            <v>Phu Nu VN</v>
          </cell>
          <cell r="C315">
            <v>9302117</v>
          </cell>
          <cell r="D315">
            <v>9303430</v>
          </cell>
          <cell r="E315" t="str">
            <v>38 vo VanTan Q3</v>
          </cell>
          <cell r="F315" t="str">
            <v>Ms Thu 0913722394</v>
          </cell>
          <cell r="G315" t="str">
            <v>2,4,6/ Weekly</v>
          </cell>
          <cell r="H315">
            <v>100000</v>
          </cell>
          <cell r="I315">
            <v>0.2</v>
          </cell>
          <cell r="K315" t="str">
            <v>P036InsideHPFC</v>
          </cell>
          <cell r="L315" t="str">
            <v>Inside</v>
          </cell>
          <cell r="M315" t="str">
            <v>HPFC</v>
          </cell>
          <cell r="N315" t="str">
            <v>21X13</v>
          </cell>
          <cell r="P315">
            <v>20900</v>
          </cell>
          <cell r="AC315">
            <v>15</v>
          </cell>
          <cell r="AD315">
            <v>10</v>
          </cell>
          <cell r="AE315">
            <v>150</v>
          </cell>
          <cell r="AF315" t="str">
            <v>CD</v>
          </cell>
          <cell r="AG315">
            <v>309</v>
          </cell>
        </row>
        <row r="316">
          <cell r="A316" t="str">
            <v>P036</v>
          </cell>
          <cell r="B316" t="str">
            <v>6D</v>
          </cell>
          <cell r="K316" t="str">
            <v>P036InsideVPFC</v>
          </cell>
          <cell r="L316" t="str">
            <v>Inside</v>
          </cell>
          <cell r="M316" t="str">
            <v>VPFC</v>
          </cell>
          <cell r="N316" t="str">
            <v>10X27</v>
          </cell>
          <cell r="O316" t="str">
            <v>44.6X29.6</v>
          </cell>
          <cell r="P316">
            <v>20900</v>
          </cell>
          <cell r="AG316">
            <v>310</v>
          </cell>
        </row>
        <row r="317">
          <cell r="A317" t="str">
            <v>P036</v>
          </cell>
          <cell r="K317" t="str">
            <v>P036Inside1/3HPFC</v>
          </cell>
          <cell r="L317" t="str">
            <v>Inside</v>
          </cell>
          <cell r="M317" t="str">
            <v>1/3HPFC</v>
          </cell>
          <cell r="N317" t="str">
            <v>21X8.4</v>
          </cell>
          <cell r="P317">
            <v>16500</v>
          </cell>
          <cell r="AG317">
            <v>311</v>
          </cell>
        </row>
        <row r="318">
          <cell r="A318" t="str">
            <v>P036</v>
          </cell>
          <cell r="B318" t="str">
            <v>Phu Nu VN</v>
          </cell>
          <cell r="C318">
            <v>9302117</v>
          </cell>
          <cell r="D318">
            <v>9303430</v>
          </cell>
          <cell r="E318" t="str">
            <v>38 vo VanTan Q3</v>
          </cell>
          <cell r="F318" t="str">
            <v>Ms Thu 0913722394</v>
          </cell>
          <cell r="G318" t="str">
            <v>Mon, Wed, Fri/ Weekly</v>
          </cell>
          <cell r="H318">
            <v>100000</v>
          </cell>
          <cell r="I318">
            <v>0.2</v>
          </cell>
          <cell r="K318" t="str">
            <v>P036Inside1/3VPFC</v>
          </cell>
          <cell r="L318" t="str">
            <v>Inside</v>
          </cell>
          <cell r="M318" t="str">
            <v>1/3VPFC</v>
          </cell>
          <cell r="N318" t="str">
            <v>6.4X27</v>
          </cell>
          <cell r="P318">
            <v>16500</v>
          </cell>
          <cell r="AC318">
            <v>15</v>
          </cell>
          <cell r="AD318">
            <v>10</v>
          </cell>
          <cell r="AE318">
            <v>150</v>
          </cell>
          <cell r="AF318" t="str">
            <v>CD</v>
          </cell>
          <cell r="AG318">
            <v>312</v>
          </cell>
        </row>
        <row r="319">
          <cell r="A319" t="str">
            <v>P036</v>
          </cell>
          <cell r="B319" t="str">
            <v>Phu Nu VN Mag.</v>
          </cell>
          <cell r="C319">
            <v>9302117</v>
          </cell>
          <cell r="D319">
            <v>9303430</v>
          </cell>
          <cell r="E319" t="str">
            <v>38 vo VanTan Q3</v>
          </cell>
          <cell r="F319" t="str">
            <v>Ms Thu 0913722394</v>
          </cell>
          <cell r="G319" t="str">
            <v>2,4,6/ Weekly</v>
          </cell>
          <cell r="H319">
            <v>80000</v>
          </cell>
          <cell r="I319">
            <v>0.2</v>
          </cell>
          <cell r="K319" t="str">
            <v>P036Inside1/4HPFC</v>
          </cell>
          <cell r="L319" t="str">
            <v>Inside</v>
          </cell>
          <cell r="M319" t="str">
            <v>1/4HPFC</v>
          </cell>
          <cell r="N319" t="str">
            <v>21X6</v>
          </cell>
          <cell r="P319">
            <v>13200.000000000002</v>
          </cell>
          <cell r="AC319">
            <v>15</v>
          </cell>
          <cell r="AD319">
            <v>10</v>
          </cell>
          <cell r="AE319">
            <v>150</v>
          </cell>
          <cell r="AF319" t="str">
            <v>CD</v>
          </cell>
          <cell r="AG319">
            <v>313</v>
          </cell>
        </row>
        <row r="320">
          <cell r="A320" t="str">
            <v>P036</v>
          </cell>
          <cell r="B320" t="str">
            <v>6D</v>
          </cell>
          <cell r="K320" t="str">
            <v>P036InsideDPFC</v>
          </cell>
          <cell r="L320" t="str">
            <v>Inside</v>
          </cell>
          <cell r="M320" t="str">
            <v>DPFC</v>
          </cell>
          <cell r="N320" t="str">
            <v>44X27</v>
          </cell>
          <cell r="O320" t="str">
            <v>44.6X29.6</v>
          </cell>
          <cell r="P320">
            <v>58300.000000000007</v>
          </cell>
          <cell r="AG320">
            <v>314</v>
          </cell>
        </row>
        <row r="321">
          <cell r="A321" t="str">
            <v>P036</v>
          </cell>
          <cell r="K321" t="str">
            <v>P036InsideGatefold</v>
          </cell>
          <cell r="L321" t="str">
            <v>Inside</v>
          </cell>
          <cell r="M321" t="str">
            <v>Gatefold</v>
          </cell>
          <cell r="N321" t="str">
            <v>44X27</v>
          </cell>
          <cell r="O321" t="str">
            <v>46.1X29.6</v>
          </cell>
          <cell r="P321" t="str">
            <v>FPFC-dis+FPFC*2</v>
          </cell>
          <cell r="AG321">
            <v>315</v>
          </cell>
        </row>
        <row r="322">
          <cell r="A322" t="str">
            <v>THE GIOI VAN HOA</v>
          </cell>
          <cell r="B322" t="str">
            <v>Phu Nu VN</v>
          </cell>
          <cell r="C322">
            <v>9302117</v>
          </cell>
          <cell r="D322">
            <v>9303430</v>
          </cell>
          <cell r="E322" t="str">
            <v>38 vo VanTan Q3</v>
          </cell>
          <cell r="F322" t="str">
            <v>Ms Thu 0913722394</v>
          </cell>
          <cell r="G322" t="str">
            <v>Mon, Wed, Fri/ Weekly</v>
          </cell>
          <cell r="H322">
            <v>100000</v>
          </cell>
          <cell r="I322">
            <v>0.2</v>
          </cell>
          <cell r="K322" t="str">
            <v>THE GIOI VAN HOA</v>
          </cell>
          <cell r="L322" t="str">
            <v>Inside</v>
          </cell>
          <cell r="M322" t="str">
            <v>FPFC</v>
          </cell>
          <cell r="N322" t="str">
            <v>26X38</v>
          </cell>
          <cell r="P322">
            <v>14000</v>
          </cell>
          <cell r="AC322">
            <v>15</v>
          </cell>
          <cell r="AD322">
            <v>10</v>
          </cell>
          <cell r="AE322">
            <v>150</v>
          </cell>
          <cell r="AF322" t="str">
            <v>CD</v>
          </cell>
          <cell r="AG322">
            <v>316</v>
          </cell>
        </row>
        <row r="323">
          <cell r="A323" t="str">
            <v>P037</v>
          </cell>
          <cell r="B323" t="str">
            <v>Phu Nu VN</v>
          </cell>
          <cell r="C323">
            <v>9302117</v>
          </cell>
          <cell r="D323">
            <v>9303430</v>
          </cell>
          <cell r="E323" t="str">
            <v>38 vo VanTan Q3</v>
          </cell>
          <cell r="F323" t="str">
            <v>Ms Thu 0913722394</v>
          </cell>
          <cell r="G323" t="str">
            <v>Mon, Wed, Fri/ Weekly</v>
          </cell>
          <cell r="H323">
            <v>100000</v>
          </cell>
          <cell r="I323">
            <v>0.2</v>
          </cell>
          <cell r="K323" t="str">
            <v>P037InsideFPFC</v>
          </cell>
          <cell r="L323" t="str">
            <v>Inside</v>
          </cell>
          <cell r="M323" t="str">
            <v>FPFC</v>
          </cell>
          <cell r="N323" t="str">
            <v>26X38</v>
          </cell>
          <cell r="P323">
            <v>14000</v>
          </cell>
          <cell r="AC323">
            <v>15</v>
          </cell>
          <cell r="AD323">
            <v>10</v>
          </cell>
          <cell r="AE323">
            <v>150</v>
          </cell>
          <cell r="AF323" t="str">
            <v>CD</v>
          </cell>
          <cell r="AG323">
            <v>317</v>
          </cell>
        </row>
        <row r="324">
          <cell r="A324" t="str">
            <v>P037</v>
          </cell>
          <cell r="B324" t="str">
            <v>6D</v>
          </cell>
          <cell r="C324">
            <v>9305921</v>
          </cell>
          <cell r="D324">
            <v>9303332</v>
          </cell>
          <cell r="E324" t="str">
            <v>221 Phan Van Han P17, Binh Thanh</v>
          </cell>
          <cell r="F324" t="str">
            <v>Ms Hien 098 8883754</v>
          </cell>
          <cell r="G324" t="str">
            <v>Tue, Fri, Sat</v>
          </cell>
          <cell r="H324">
            <v>230000</v>
          </cell>
          <cell r="I324">
            <v>0.25</v>
          </cell>
          <cell r="K324" t="str">
            <v>P037InsideHPFC</v>
          </cell>
          <cell r="L324" t="str">
            <v>Inside</v>
          </cell>
          <cell r="M324" t="str">
            <v>HPFC</v>
          </cell>
          <cell r="N324" t="str">
            <v>26X18.5</v>
          </cell>
          <cell r="P324">
            <v>7000</v>
          </cell>
          <cell r="AC324">
            <v>15</v>
          </cell>
          <cell r="AD324">
            <v>10</v>
          </cell>
          <cell r="AE324">
            <v>120</v>
          </cell>
          <cell r="AF324" t="str">
            <v>CD</v>
          </cell>
          <cell r="AG324">
            <v>318</v>
          </cell>
        </row>
        <row r="325">
          <cell r="A325" t="str">
            <v>P037</v>
          </cell>
          <cell r="B325" t="str">
            <v>THE THAO VAN HOA</v>
          </cell>
          <cell r="C325">
            <v>9305921</v>
          </cell>
          <cell r="D325">
            <v>9303332</v>
          </cell>
          <cell r="E325" t="str">
            <v>221 Phan Van Han P17, Binh Thanh</v>
          </cell>
          <cell r="F325" t="str">
            <v>Ms Hien 098 8883754</v>
          </cell>
          <cell r="G325" t="str">
            <v>Tue, Fri, Sat</v>
          </cell>
          <cell r="H325">
            <v>230000</v>
          </cell>
          <cell r="I325">
            <v>0.25</v>
          </cell>
          <cell r="K325" t="str">
            <v>P037FirstFPFC</v>
          </cell>
          <cell r="L325" t="str">
            <v>First</v>
          </cell>
          <cell r="M325" t="str">
            <v>FPFC</v>
          </cell>
          <cell r="N325" t="str">
            <v>26X18.5</v>
          </cell>
          <cell r="P325">
            <v>15400.000000000002</v>
          </cell>
          <cell r="AC325">
            <v>15</v>
          </cell>
          <cell r="AD325">
            <v>10</v>
          </cell>
          <cell r="AE325">
            <v>120</v>
          </cell>
          <cell r="AF325" t="str">
            <v>CD</v>
          </cell>
          <cell r="AG325">
            <v>319</v>
          </cell>
        </row>
        <row r="326">
          <cell r="A326" t="str">
            <v>Phu Nu VN</v>
          </cell>
          <cell r="B326" t="str">
            <v>Phu Nu VN Mag.</v>
          </cell>
          <cell r="C326">
            <v>9302117</v>
          </cell>
          <cell r="D326">
            <v>9303430</v>
          </cell>
          <cell r="E326" t="str">
            <v>38 vo VanTan Q3</v>
          </cell>
          <cell r="F326" t="str">
            <v>Ms Thu 0913722394</v>
          </cell>
          <cell r="G326" t="str">
            <v>Mon, Wed, Fri/ Weekly</v>
          </cell>
          <cell r="H326">
            <v>80000</v>
          </cell>
          <cell r="I326">
            <v>0.2</v>
          </cell>
          <cell r="K326" t="str">
            <v>Phu Nu VN</v>
          </cell>
          <cell r="L326" t="str">
            <v>Inside</v>
          </cell>
          <cell r="M326" t="str">
            <v>FPFC</v>
          </cell>
          <cell r="N326" t="str">
            <v>18X26.5</v>
          </cell>
          <cell r="P326">
            <v>7000</v>
          </cell>
          <cell r="AC326">
            <v>15</v>
          </cell>
          <cell r="AD326">
            <v>10</v>
          </cell>
          <cell r="AE326">
            <v>150</v>
          </cell>
          <cell r="AF326" t="str">
            <v>CD</v>
          </cell>
          <cell r="AG326">
            <v>320</v>
          </cell>
        </row>
        <row r="327">
          <cell r="A327" t="str">
            <v>P038</v>
          </cell>
          <cell r="B327" t="str">
            <v>Phu Nu VN Mag.</v>
          </cell>
          <cell r="C327">
            <v>9302117</v>
          </cell>
          <cell r="D327">
            <v>9303430</v>
          </cell>
          <cell r="E327" t="str">
            <v>38 vo VanTan Q3</v>
          </cell>
          <cell r="F327" t="str">
            <v>Ms Thu 0913722394</v>
          </cell>
          <cell r="G327" t="str">
            <v>Mon, Wed, Fri/ Weekly</v>
          </cell>
          <cell r="H327">
            <v>80000</v>
          </cell>
          <cell r="I327">
            <v>0.2</v>
          </cell>
          <cell r="K327" t="str">
            <v>P038InsideFPFC</v>
          </cell>
          <cell r="L327" t="str">
            <v>Inside</v>
          </cell>
          <cell r="M327" t="str">
            <v>FPFC</v>
          </cell>
          <cell r="N327" t="str">
            <v>18X26.5</v>
          </cell>
          <cell r="P327">
            <v>7000</v>
          </cell>
          <cell r="AC327">
            <v>15</v>
          </cell>
          <cell r="AD327">
            <v>10</v>
          </cell>
          <cell r="AE327">
            <v>150</v>
          </cell>
          <cell r="AF327" t="str">
            <v>CD</v>
          </cell>
          <cell r="AG327">
            <v>321</v>
          </cell>
        </row>
        <row r="328">
          <cell r="A328" t="str">
            <v>P038</v>
          </cell>
          <cell r="B328" t="str">
            <v>6D</v>
          </cell>
          <cell r="C328">
            <v>9305921</v>
          </cell>
          <cell r="D328">
            <v>9303332</v>
          </cell>
          <cell r="E328" t="str">
            <v>221 Phan Van Han P17, Binh Thanh</v>
          </cell>
          <cell r="F328" t="str">
            <v>Ms Hien 098 8883754</v>
          </cell>
          <cell r="G328" t="str">
            <v>Tue, Fri, Sat/ Weekly</v>
          </cell>
          <cell r="H328">
            <v>230000</v>
          </cell>
          <cell r="I328">
            <v>0.25</v>
          </cell>
          <cell r="K328" t="str">
            <v>P038Cover 4FPFC</v>
          </cell>
          <cell r="L328" t="str">
            <v>Cover 4</v>
          </cell>
          <cell r="M328" t="str">
            <v>FPFC</v>
          </cell>
          <cell r="N328" t="str">
            <v>18X26.5</v>
          </cell>
          <cell r="P328">
            <v>8000</v>
          </cell>
          <cell r="Q328">
            <v>0.2</v>
          </cell>
          <cell r="AC328">
            <v>15</v>
          </cell>
          <cell r="AD328">
            <v>10</v>
          </cell>
          <cell r="AE328">
            <v>120</v>
          </cell>
          <cell r="AF328" t="str">
            <v>CD</v>
          </cell>
          <cell r="AG328">
            <v>322</v>
          </cell>
        </row>
        <row r="329">
          <cell r="A329" t="str">
            <v>P038</v>
          </cell>
          <cell r="B329" t="str">
            <v>8D</v>
          </cell>
          <cell r="K329" t="str">
            <v>P038Cover 2FPFC</v>
          </cell>
          <cell r="L329" t="str">
            <v>Cover 2</v>
          </cell>
          <cell r="M329" t="str">
            <v>FPFC</v>
          </cell>
          <cell r="N329" t="str">
            <v>18X26.5</v>
          </cell>
          <cell r="P329">
            <v>7500</v>
          </cell>
          <cell r="AG329">
            <v>323</v>
          </cell>
        </row>
        <row r="330">
          <cell r="A330" t="str">
            <v>P038</v>
          </cell>
          <cell r="K330" t="str">
            <v>P038Cover 3FPFC</v>
          </cell>
          <cell r="L330" t="str">
            <v>Cover 3</v>
          </cell>
          <cell r="M330" t="str">
            <v>FPFC</v>
          </cell>
          <cell r="N330" t="str">
            <v>18X26.5</v>
          </cell>
          <cell r="P330">
            <v>7500</v>
          </cell>
          <cell r="AG330">
            <v>324</v>
          </cell>
        </row>
        <row r="331">
          <cell r="A331" t="str">
            <v>P038</v>
          </cell>
          <cell r="K331" t="str">
            <v>P038FirstFPFC</v>
          </cell>
          <cell r="L331" t="str">
            <v>First</v>
          </cell>
          <cell r="M331" t="str">
            <v>FPFC</v>
          </cell>
          <cell r="N331" t="str">
            <v>18X26.5</v>
          </cell>
          <cell r="P331">
            <v>7700.0000000000009</v>
          </cell>
          <cell r="AG331">
            <v>325</v>
          </cell>
        </row>
        <row r="332">
          <cell r="A332" t="str">
            <v>Phu Nu VN Mag.</v>
          </cell>
          <cell r="B332" t="str">
            <v>THE THAO VAN HOA</v>
          </cell>
          <cell r="C332">
            <v>9305921</v>
          </cell>
          <cell r="D332">
            <v>9303332</v>
          </cell>
          <cell r="E332" t="str">
            <v>221 Phan Van Han P17, Binh Thanh</v>
          </cell>
          <cell r="F332" t="str">
            <v>Ms Hien 098 8883754</v>
          </cell>
          <cell r="G332" t="str">
            <v>Tue, Fri, Sat/ Weekly</v>
          </cell>
          <cell r="H332">
            <v>230000</v>
          </cell>
          <cell r="I332">
            <v>0.25</v>
          </cell>
          <cell r="J332">
            <v>0.15</v>
          </cell>
          <cell r="K332" t="str">
            <v>Phu Nu VN Mag.</v>
          </cell>
          <cell r="L332" t="str">
            <v>Cover 4</v>
          </cell>
          <cell r="M332" t="str">
            <v>FPFC</v>
          </cell>
          <cell r="N332" t="str">
            <v>18X26</v>
          </cell>
          <cell r="O332" t="str">
            <v>23.3X29.6</v>
          </cell>
          <cell r="P332">
            <v>12000</v>
          </cell>
          <cell r="Q332">
            <v>0.2</v>
          </cell>
          <cell r="R332">
            <v>0.15</v>
          </cell>
          <cell r="AC332">
            <v>15</v>
          </cell>
          <cell r="AD332">
            <v>10</v>
          </cell>
          <cell r="AE332">
            <v>120</v>
          </cell>
          <cell r="AF332" t="str">
            <v>CD</v>
          </cell>
          <cell r="AG332">
            <v>326</v>
          </cell>
        </row>
        <row r="333">
          <cell r="A333" t="str">
            <v>P039</v>
          </cell>
          <cell r="B333" t="str">
            <v>THE THAO VAN HOA</v>
          </cell>
          <cell r="C333">
            <v>9305921</v>
          </cell>
          <cell r="D333">
            <v>9303332</v>
          </cell>
          <cell r="E333" t="str">
            <v>221 Phan Van Han P17, Binh Thanh</v>
          </cell>
          <cell r="F333" t="str">
            <v>Ms Hien 098 8883754</v>
          </cell>
          <cell r="G333" t="str">
            <v>Tue, Fri, Sat/ Weekly</v>
          </cell>
          <cell r="H333">
            <v>230000</v>
          </cell>
          <cell r="I333">
            <v>0.25</v>
          </cell>
          <cell r="J333">
            <v>0.15</v>
          </cell>
          <cell r="K333" t="str">
            <v>P039Cover 4FPFC</v>
          </cell>
          <cell r="L333" t="str">
            <v>Cover 4</v>
          </cell>
          <cell r="M333" t="str">
            <v>FPFC</v>
          </cell>
          <cell r="N333" t="str">
            <v>18X26</v>
          </cell>
          <cell r="O333" t="str">
            <v>23.3X29.6</v>
          </cell>
          <cell r="P333">
            <v>12000</v>
          </cell>
          <cell r="Q333">
            <v>0.2</v>
          </cell>
          <cell r="R333">
            <v>0.15</v>
          </cell>
          <cell r="AC333">
            <v>15</v>
          </cell>
          <cell r="AD333">
            <v>10</v>
          </cell>
          <cell r="AE333">
            <v>120</v>
          </cell>
          <cell r="AF333" t="str">
            <v>CD</v>
          </cell>
          <cell r="AG333">
            <v>327</v>
          </cell>
        </row>
        <row r="334">
          <cell r="A334" t="str">
            <v>P039</v>
          </cell>
          <cell r="B334" t="str">
            <v>8D</v>
          </cell>
          <cell r="K334" t="str">
            <v>P039InsideFPFC</v>
          </cell>
          <cell r="L334" t="str">
            <v>Inside</v>
          </cell>
          <cell r="M334" t="str">
            <v>FPFC</v>
          </cell>
          <cell r="N334" t="str">
            <v>18X26</v>
          </cell>
          <cell r="O334" t="str">
            <v>23.3X29.6</v>
          </cell>
          <cell r="P334">
            <v>10000</v>
          </cell>
          <cell r="AG334">
            <v>328</v>
          </cell>
        </row>
        <row r="335">
          <cell r="A335" t="str">
            <v>P039</v>
          </cell>
          <cell r="K335" t="str">
            <v>P039InsideHPFC</v>
          </cell>
          <cell r="L335" t="str">
            <v>Inside</v>
          </cell>
          <cell r="M335" t="str">
            <v>HPFC</v>
          </cell>
          <cell r="N335" t="str">
            <v>18X13</v>
          </cell>
          <cell r="O335" t="str">
            <v>23.3X29.6</v>
          </cell>
          <cell r="P335">
            <v>5000</v>
          </cell>
          <cell r="AG335">
            <v>329</v>
          </cell>
        </row>
        <row r="336">
          <cell r="A336" t="str">
            <v>P039</v>
          </cell>
          <cell r="B336" t="str">
            <v>TIEP THI &amp; GIA DINH M</v>
          </cell>
          <cell r="C336">
            <v>8232417</v>
          </cell>
          <cell r="E336" t="str">
            <v>259 Hai Ba Trung, Q1, Tp.HCM</v>
          </cell>
          <cell r="F336" t="str">
            <v>Ms Lan Anh 0913866440</v>
          </cell>
          <cell r="G336" t="str">
            <v>25/ Monthly</v>
          </cell>
          <cell r="I336">
            <v>0.4</v>
          </cell>
          <cell r="J336">
            <v>0.15</v>
          </cell>
          <cell r="K336" t="str">
            <v>P039InsideVPFC</v>
          </cell>
          <cell r="L336" t="str">
            <v>Inside</v>
          </cell>
          <cell r="M336" t="str">
            <v>VPFC</v>
          </cell>
          <cell r="N336" t="str">
            <v>9X26</v>
          </cell>
          <cell r="O336" t="str">
            <v>23.3X29.6</v>
          </cell>
          <cell r="P336">
            <v>5000</v>
          </cell>
          <cell r="Q336">
            <v>0.3</v>
          </cell>
          <cell r="R336">
            <v>0.15</v>
          </cell>
          <cell r="AC336">
            <v>15</v>
          </cell>
          <cell r="AD336">
            <v>14</v>
          </cell>
          <cell r="AE336" t="str">
            <v>350 DPI</v>
          </cell>
          <cell r="AF336" t="str">
            <v>CD- DPF/ EPF</v>
          </cell>
          <cell r="AG336">
            <v>330</v>
          </cell>
        </row>
        <row r="337">
          <cell r="A337" t="str">
            <v>P039</v>
          </cell>
          <cell r="B337" t="str">
            <v>10D</v>
          </cell>
          <cell r="K337" t="str">
            <v>P039InsideQPFC</v>
          </cell>
          <cell r="L337" t="str">
            <v>Inside</v>
          </cell>
          <cell r="M337" t="str">
            <v>QPFC</v>
          </cell>
          <cell r="N337" t="str">
            <v>9X13</v>
          </cell>
          <cell r="O337" t="str">
            <v>23.3X29.6</v>
          </cell>
          <cell r="P337">
            <v>3000</v>
          </cell>
          <cell r="AG337">
            <v>331</v>
          </cell>
        </row>
        <row r="338">
          <cell r="A338" t="str">
            <v>P039</v>
          </cell>
          <cell r="K338" t="str">
            <v>P039Strip ad</v>
          </cell>
          <cell r="L338" t="str">
            <v>Strip ad</v>
          </cell>
          <cell r="M338" t="str">
            <v>FPFC</v>
          </cell>
          <cell r="N338" t="str">
            <v>18X3</v>
          </cell>
          <cell r="O338" t="str">
            <v>23.3X29.6</v>
          </cell>
          <cell r="P338">
            <v>1200</v>
          </cell>
          <cell r="AG338">
            <v>332</v>
          </cell>
        </row>
        <row r="339">
          <cell r="A339" t="str">
            <v>P039</v>
          </cell>
          <cell r="K339" t="str">
            <v>P039FirstFPFC</v>
          </cell>
          <cell r="L339" t="str">
            <v>First</v>
          </cell>
          <cell r="M339" t="str">
            <v>FPFC</v>
          </cell>
          <cell r="N339" t="str">
            <v>18X26</v>
          </cell>
          <cell r="O339" t="str">
            <v>23.3X29.6</v>
          </cell>
          <cell r="P339">
            <v>12000</v>
          </cell>
          <cell r="AG339">
            <v>333</v>
          </cell>
        </row>
        <row r="340">
          <cell r="A340" t="str">
            <v>THE THAO VAN HOA</v>
          </cell>
          <cell r="B340" t="str">
            <v>TIEP THI &amp; GIA DINH M</v>
          </cell>
          <cell r="C340">
            <v>8232417</v>
          </cell>
          <cell r="E340" t="str">
            <v>259 Hai Ba Trung, Q1, Tp.HCM</v>
          </cell>
          <cell r="F340" t="str">
            <v>Ms Lan Anh 0913866440</v>
          </cell>
          <cell r="G340" t="str">
            <v>25/ Monthly</v>
          </cell>
          <cell r="I340">
            <v>0.4</v>
          </cell>
          <cell r="J340">
            <v>0.15</v>
          </cell>
          <cell r="K340" t="str">
            <v>THE THAO VAN HOA</v>
          </cell>
          <cell r="L340" t="str">
            <v>Inside</v>
          </cell>
          <cell r="M340" t="str">
            <v>VPFC</v>
          </cell>
          <cell r="N340" t="str">
            <v>10X27</v>
          </cell>
          <cell r="O340" t="str">
            <v>23.3X29.6</v>
          </cell>
          <cell r="P340">
            <v>26400.000000000004</v>
          </cell>
          <cell r="Q340">
            <v>0.3</v>
          </cell>
          <cell r="R340">
            <v>0.15</v>
          </cell>
          <cell r="AC340">
            <v>15</v>
          </cell>
          <cell r="AD340">
            <v>14</v>
          </cell>
          <cell r="AE340" t="str">
            <v>350 DPI</v>
          </cell>
          <cell r="AF340" t="str">
            <v>CD- DPF/ EPF</v>
          </cell>
          <cell r="AG340">
            <v>334</v>
          </cell>
        </row>
        <row r="341">
          <cell r="A341" t="str">
            <v>P040</v>
          </cell>
          <cell r="B341" t="str">
            <v>TIEP THI &amp; GIA DINH M</v>
          </cell>
          <cell r="C341">
            <v>8232417</v>
          </cell>
          <cell r="E341" t="str">
            <v>259 Hai Ba Trung, Q1, Tp.HCM</v>
          </cell>
          <cell r="F341" t="str">
            <v>Ms Lan Anh 0913866440</v>
          </cell>
          <cell r="G341" t="str">
            <v>25/ Monthly</v>
          </cell>
          <cell r="I341">
            <v>0.4</v>
          </cell>
          <cell r="J341">
            <v>0.15</v>
          </cell>
          <cell r="K341" t="str">
            <v>P040Cover 2FPFC</v>
          </cell>
          <cell r="L341" t="str">
            <v>Cover 2</v>
          </cell>
          <cell r="M341" t="str">
            <v>FPFC</v>
          </cell>
          <cell r="N341" t="str">
            <v>21X27</v>
          </cell>
          <cell r="O341" t="str">
            <v>23.3X29.6</v>
          </cell>
          <cell r="P341">
            <v>47300.000000000007</v>
          </cell>
          <cell r="Q341">
            <v>0.3</v>
          </cell>
          <cell r="R341">
            <v>0.15</v>
          </cell>
          <cell r="AC341">
            <v>15</v>
          </cell>
          <cell r="AD341">
            <v>14</v>
          </cell>
          <cell r="AE341" t="str">
            <v>350 DPI</v>
          </cell>
          <cell r="AF341" t="str">
            <v>CD- DPF/ EPF</v>
          </cell>
          <cell r="AG341">
            <v>335</v>
          </cell>
        </row>
        <row r="342">
          <cell r="A342" t="str">
            <v>P040</v>
          </cell>
          <cell r="B342" t="str">
            <v>10D</v>
          </cell>
          <cell r="K342" t="str">
            <v>P040Cover 3FPFC</v>
          </cell>
          <cell r="L342" t="str">
            <v>Cover 3</v>
          </cell>
          <cell r="M342" t="str">
            <v>FPFC</v>
          </cell>
          <cell r="N342" t="str">
            <v>21X27</v>
          </cell>
          <cell r="O342" t="str">
            <v>23.3X29.6</v>
          </cell>
          <cell r="P342">
            <v>41800</v>
          </cell>
          <cell r="AG342">
            <v>336</v>
          </cell>
        </row>
        <row r="343">
          <cell r="A343" t="str">
            <v>P040</v>
          </cell>
          <cell r="K343" t="str">
            <v>P040Cover 4FPFC</v>
          </cell>
          <cell r="L343" t="str">
            <v>Cover 4</v>
          </cell>
          <cell r="M343" t="str">
            <v>FPFC</v>
          </cell>
          <cell r="N343" t="str">
            <v>21X27</v>
          </cell>
          <cell r="O343" t="str">
            <v>23.3X29.6</v>
          </cell>
          <cell r="P343">
            <v>57200.000000000007</v>
          </cell>
          <cell r="AG343">
            <v>337</v>
          </cell>
        </row>
        <row r="344">
          <cell r="A344" t="str">
            <v>P040</v>
          </cell>
          <cell r="K344" t="str">
            <v>P040InsideFPFC</v>
          </cell>
          <cell r="L344" t="str">
            <v>Inside</v>
          </cell>
          <cell r="M344" t="str">
            <v>FPFC</v>
          </cell>
          <cell r="N344" t="str">
            <v>21X27</v>
          </cell>
          <cell r="O344" t="str">
            <v>23.3X29.6</v>
          </cell>
          <cell r="P344">
            <v>39600</v>
          </cell>
          <cell r="AG344">
            <v>338</v>
          </cell>
        </row>
        <row r="345">
          <cell r="A345" t="str">
            <v>P040</v>
          </cell>
          <cell r="K345" t="str">
            <v>P040Inside2/3VPFC</v>
          </cell>
          <cell r="L345" t="str">
            <v>Inside</v>
          </cell>
          <cell r="M345" t="str">
            <v>2/3VPFC</v>
          </cell>
          <cell r="N345" t="str">
            <v>13.6X27</v>
          </cell>
          <cell r="O345" t="str">
            <v>46.6X29.6</v>
          </cell>
          <cell r="P345">
            <v>39600</v>
          </cell>
          <cell r="AG345">
            <v>339</v>
          </cell>
        </row>
        <row r="346">
          <cell r="A346" t="str">
            <v>P040</v>
          </cell>
          <cell r="K346" t="str">
            <v>P040Inside2/3HPFC</v>
          </cell>
          <cell r="L346" t="str">
            <v>Inside</v>
          </cell>
          <cell r="M346" t="str">
            <v>2/3HPFC</v>
          </cell>
          <cell r="N346" t="str">
            <v>21X17.6</v>
          </cell>
          <cell r="O346" t="str">
            <v>23.3X29.6</v>
          </cell>
          <cell r="P346">
            <v>39600</v>
          </cell>
          <cell r="AG346">
            <v>340</v>
          </cell>
        </row>
        <row r="347">
          <cell r="A347" t="str">
            <v>P040</v>
          </cell>
          <cell r="B347" t="str">
            <v>CAM NANG MUA SAM</v>
          </cell>
          <cell r="C347">
            <v>8634953</v>
          </cell>
          <cell r="D347">
            <v>8634954</v>
          </cell>
          <cell r="E347" t="str">
            <v>781/A12 Le Hong Phong, P12, Q10</v>
          </cell>
          <cell r="F347" t="str">
            <v>Ms Huong 0908474047</v>
          </cell>
          <cell r="G347" t="str">
            <v>5,15,25/ Month</v>
          </cell>
          <cell r="I347">
            <v>0.25</v>
          </cell>
          <cell r="K347" t="str">
            <v>P040InsideHPFC</v>
          </cell>
          <cell r="L347" t="str">
            <v>Inside</v>
          </cell>
          <cell r="M347" t="str">
            <v>HPFC</v>
          </cell>
          <cell r="N347" t="str">
            <v>21X13</v>
          </cell>
          <cell r="P347">
            <v>26400.000000000004</v>
          </cell>
          <cell r="AC347">
            <v>15</v>
          </cell>
          <cell r="AD347">
            <v>10</v>
          </cell>
          <cell r="AE347" t="str">
            <v>350 DPI</v>
          </cell>
          <cell r="AF347" t="str">
            <v>CD</v>
          </cell>
          <cell r="AG347">
            <v>341</v>
          </cell>
        </row>
        <row r="348">
          <cell r="A348" t="str">
            <v>P040</v>
          </cell>
          <cell r="B348" t="str">
            <v>CAM NANG MUA SAM</v>
          </cell>
          <cell r="C348">
            <v>8634953</v>
          </cell>
          <cell r="D348">
            <v>8634954</v>
          </cell>
          <cell r="E348" t="str">
            <v>781/A12 Le Hong Phong, P12, Q10</v>
          </cell>
          <cell r="F348" t="str">
            <v>Ms Huong 0908474047</v>
          </cell>
          <cell r="G348" t="str">
            <v>5,15,25/ Month</v>
          </cell>
          <cell r="I348">
            <v>0.25</v>
          </cell>
          <cell r="K348" t="str">
            <v>P040InsideVPFC</v>
          </cell>
          <cell r="L348" t="str">
            <v>Inside</v>
          </cell>
          <cell r="M348" t="str">
            <v>VPFC</v>
          </cell>
          <cell r="N348" t="str">
            <v>10X27</v>
          </cell>
          <cell r="O348" t="str">
            <v>46.6X29.6</v>
          </cell>
          <cell r="P348">
            <v>26400.000000000004</v>
          </cell>
          <cell r="AC348">
            <v>15</v>
          </cell>
          <cell r="AD348">
            <v>10</v>
          </cell>
          <cell r="AE348" t="str">
            <v>350 DPI</v>
          </cell>
          <cell r="AF348" t="str">
            <v>CD</v>
          </cell>
          <cell r="AG348">
            <v>342</v>
          </cell>
        </row>
        <row r="349">
          <cell r="A349" t="str">
            <v>P040</v>
          </cell>
          <cell r="B349" t="str">
            <v>12D</v>
          </cell>
          <cell r="K349" t="str">
            <v>P040Inside1/3HPFC</v>
          </cell>
          <cell r="L349" t="str">
            <v>Inside</v>
          </cell>
          <cell r="M349" t="str">
            <v>1/3HPFC</v>
          </cell>
          <cell r="N349" t="str">
            <v>21X8.4</v>
          </cell>
          <cell r="O349" t="str">
            <v>23.3X29.6</v>
          </cell>
          <cell r="P349">
            <v>19800</v>
          </cell>
          <cell r="AG349">
            <v>343</v>
          </cell>
        </row>
        <row r="350">
          <cell r="A350" t="str">
            <v>P040</v>
          </cell>
          <cell r="K350" t="str">
            <v>P040Inside1/3VPFC</v>
          </cell>
          <cell r="L350" t="str">
            <v>Inside</v>
          </cell>
          <cell r="M350" t="str">
            <v>1/3VPFC</v>
          </cell>
          <cell r="N350" t="str">
            <v>6.4X27</v>
          </cell>
          <cell r="P350">
            <v>19800</v>
          </cell>
          <cell r="AG350">
            <v>344</v>
          </cell>
        </row>
        <row r="351">
          <cell r="A351" t="str">
            <v>P040</v>
          </cell>
          <cell r="B351" t="str">
            <v>CAM NANG MUA SAM</v>
          </cell>
          <cell r="C351">
            <v>8634953</v>
          </cell>
          <cell r="D351">
            <v>8634954</v>
          </cell>
          <cell r="E351" t="str">
            <v>781/A12 Le Hong Phong, P12, Q10</v>
          </cell>
          <cell r="F351" t="str">
            <v>Ms Huong 0908474047</v>
          </cell>
          <cell r="G351" t="str">
            <v>5,15,25/ Month</v>
          </cell>
          <cell r="I351">
            <v>0.25</v>
          </cell>
          <cell r="K351" t="str">
            <v>P040Inside1/4HPFC</v>
          </cell>
          <cell r="L351" t="str">
            <v>Inside</v>
          </cell>
          <cell r="M351" t="str">
            <v>1/4HPFC</v>
          </cell>
          <cell r="N351" t="str">
            <v>21X6</v>
          </cell>
          <cell r="P351">
            <v>15950.000000000002</v>
          </cell>
          <cell r="Q351">
            <v>0.2</v>
          </cell>
          <cell r="R351">
            <v>0.15</v>
          </cell>
          <cell r="AC351">
            <v>15</v>
          </cell>
          <cell r="AD351">
            <v>10</v>
          </cell>
          <cell r="AE351" t="str">
            <v>350 DPI</v>
          </cell>
          <cell r="AF351" t="str">
            <v>CD</v>
          </cell>
          <cell r="AG351">
            <v>345</v>
          </cell>
        </row>
        <row r="352">
          <cell r="A352" t="str">
            <v>P040</v>
          </cell>
          <cell r="B352" t="str">
            <v>12D</v>
          </cell>
          <cell r="K352" t="str">
            <v>P040InsideQPFC</v>
          </cell>
          <cell r="L352" t="str">
            <v>Inside</v>
          </cell>
          <cell r="M352" t="str">
            <v>QPFC</v>
          </cell>
          <cell r="N352" t="str">
            <v>10X13</v>
          </cell>
          <cell r="O352" t="str">
            <v>46.6X29.6</v>
          </cell>
          <cell r="P352">
            <v>15950.000000000002</v>
          </cell>
          <cell r="AG352">
            <v>346</v>
          </cell>
        </row>
        <row r="353">
          <cell r="A353" t="str">
            <v>P040</v>
          </cell>
          <cell r="K353" t="str">
            <v>P040InsideDPFC</v>
          </cell>
          <cell r="L353" t="str">
            <v>Inside</v>
          </cell>
          <cell r="M353" t="str">
            <v>DPFC</v>
          </cell>
          <cell r="N353" t="str">
            <v>44X27</v>
          </cell>
          <cell r="O353" t="str">
            <v>46.6X29.6</v>
          </cell>
          <cell r="P353">
            <v>71500</v>
          </cell>
          <cell r="AG353">
            <v>347</v>
          </cell>
        </row>
        <row r="354">
          <cell r="A354" t="str">
            <v>P040</v>
          </cell>
          <cell r="K354" t="str">
            <v>P040FirstFPFC</v>
          </cell>
          <cell r="L354" t="str">
            <v>First</v>
          </cell>
          <cell r="M354" t="str">
            <v>FPFC</v>
          </cell>
          <cell r="N354" t="str">
            <v>21X27</v>
          </cell>
          <cell r="O354" t="str">
            <v>23.3X29.6</v>
          </cell>
          <cell r="P354">
            <v>47520</v>
          </cell>
          <cell r="AG354">
            <v>348</v>
          </cell>
        </row>
        <row r="355">
          <cell r="A355" t="str">
            <v>TIEP THI &amp; GIA DINH M</v>
          </cell>
          <cell r="B355" t="str">
            <v>CAM NANG MUA SAM</v>
          </cell>
          <cell r="C355">
            <v>8634953</v>
          </cell>
          <cell r="D355">
            <v>8634954</v>
          </cell>
          <cell r="E355" t="str">
            <v>781/A12 Le Hong Phong, P12, Q10</v>
          </cell>
          <cell r="F355" t="str">
            <v>Ms Huong 0908474047</v>
          </cell>
          <cell r="G355" t="str">
            <v>5,15,25/ Monthly</v>
          </cell>
          <cell r="I355">
            <v>0.25</v>
          </cell>
          <cell r="K355" t="str">
            <v>TIEP THI &amp; GIA DINH M</v>
          </cell>
          <cell r="L355" t="str">
            <v>Cover 2</v>
          </cell>
          <cell r="M355" t="str">
            <v>FPFC</v>
          </cell>
          <cell r="N355" t="str">
            <v>23X27</v>
          </cell>
          <cell r="P355">
            <v>39000</v>
          </cell>
          <cell r="Q355">
            <v>0.2</v>
          </cell>
          <cell r="R355">
            <v>0.15</v>
          </cell>
          <cell r="AC355">
            <v>15</v>
          </cell>
          <cell r="AD355">
            <v>10</v>
          </cell>
          <cell r="AE355" t="str">
            <v>350 DPI</v>
          </cell>
          <cell r="AF355" t="str">
            <v>CD</v>
          </cell>
          <cell r="AG355">
            <v>349</v>
          </cell>
        </row>
        <row r="356">
          <cell r="A356" t="str">
            <v>P041</v>
          </cell>
          <cell r="B356" t="str">
            <v>CAM NANG MUA SAM</v>
          </cell>
          <cell r="C356">
            <v>8634953</v>
          </cell>
          <cell r="D356">
            <v>8634954</v>
          </cell>
          <cell r="E356" t="str">
            <v>781/A12 Le Hong Phong, P12, Q10</v>
          </cell>
          <cell r="F356" t="str">
            <v>Ms Huong 0908474047</v>
          </cell>
          <cell r="G356" t="str">
            <v>5,15,25/ Monthly</v>
          </cell>
          <cell r="I356">
            <v>0.25</v>
          </cell>
          <cell r="K356" t="str">
            <v>P041Cover 2FPFC</v>
          </cell>
          <cell r="L356" t="str">
            <v>Cover 2</v>
          </cell>
          <cell r="M356" t="str">
            <v>FPFC</v>
          </cell>
          <cell r="N356" t="str">
            <v>23X27</v>
          </cell>
          <cell r="P356">
            <v>39000</v>
          </cell>
          <cell r="Q356">
            <v>0.2</v>
          </cell>
          <cell r="R356">
            <v>0.15</v>
          </cell>
          <cell r="AC356">
            <v>15</v>
          </cell>
          <cell r="AD356">
            <v>10</v>
          </cell>
          <cell r="AE356" t="str">
            <v>350 DPI</v>
          </cell>
          <cell r="AF356" t="str">
            <v>CD</v>
          </cell>
          <cell r="AG356">
            <v>350</v>
          </cell>
        </row>
        <row r="357">
          <cell r="A357" t="str">
            <v>P041</v>
          </cell>
          <cell r="B357" t="str">
            <v>12D</v>
          </cell>
          <cell r="K357" t="str">
            <v>P041Cover 3FPFC</v>
          </cell>
          <cell r="L357" t="str">
            <v>Cover 3</v>
          </cell>
          <cell r="M357" t="str">
            <v>FPFC</v>
          </cell>
          <cell r="N357" t="str">
            <v>23X27</v>
          </cell>
          <cell r="P357">
            <v>36000</v>
          </cell>
          <cell r="AG357">
            <v>351</v>
          </cell>
        </row>
        <row r="358">
          <cell r="A358" t="str">
            <v>P041</v>
          </cell>
          <cell r="K358" t="str">
            <v>P041Cover 4FPFC</v>
          </cell>
          <cell r="L358" t="str">
            <v>Cover 4</v>
          </cell>
          <cell r="M358" t="str">
            <v>FPFC</v>
          </cell>
          <cell r="N358" t="str">
            <v>23X27</v>
          </cell>
          <cell r="P358">
            <v>49000</v>
          </cell>
          <cell r="AG358">
            <v>352</v>
          </cell>
        </row>
        <row r="359">
          <cell r="A359" t="str">
            <v>P041</v>
          </cell>
          <cell r="K359" t="str">
            <v>P041FirstFPFC</v>
          </cell>
          <cell r="L359" t="str">
            <v>First</v>
          </cell>
          <cell r="M359" t="str">
            <v>FPFC</v>
          </cell>
          <cell r="N359" t="str">
            <v>21.4X25.2</v>
          </cell>
          <cell r="P359">
            <v>25000</v>
          </cell>
          <cell r="AG359">
            <v>353</v>
          </cell>
        </row>
        <row r="360">
          <cell r="A360" t="str">
            <v>P041</v>
          </cell>
          <cell r="K360" t="str">
            <v>P041InsideFPFC</v>
          </cell>
          <cell r="L360" t="str">
            <v>Inside</v>
          </cell>
          <cell r="M360" t="str">
            <v>FPFC</v>
          </cell>
          <cell r="N360" t="str">
            <v>21.4X25.2</v>
          </cell>
          <cell r="P360">
            <v>16000</v>
          </cell>
          <cell r="AG360">
            <v>354</v>
          </cell>
        </row>
        <row r="361">
          <cell r="A361" t="str">
            <v>P041</v>
          </cell>
          <cell r="B361" t="str">
            <v>HANOI MOI</v>
          </cell>
          <cell r="C361" t="str">
            <v>04 7545379</v>
          </cell>
          <cell r="D361" t="str">
            <v>04 7545378</v>
          </cell>
          <cell r="E361" t="str">
            <v>Vcom: Lau 3, 221B Tran Dang Ninh, cau Giay, HN</v>
          </cell>
          <cell r="F361" t="str">
            <v>Ms Thao 0989585415</v>
          </cell>
          <cell r="G361" t="str">
            <v>Daily</v>
          </cell>
          <cell r="H361">
            <v>52000</v>
          </cell>
          <cell r="I361">
            <v>0.05</v>
          </cell>
          <cell r="K361" t="str">
            <v>P041InsideDPFC</v>
          </cell>
          <cell r="L361" t="str">
            <v>Inside</v>
          </cell>
          <cell r="M361" t="str">
            <v>DPFC</v>
          </cell>
          <cell r="N361" t="str">
            <v>46X27</v>
          </cell>
          <cell r="P361">
            <v>31000</v>
          </cell>
          <cell r="AC361">
            <v>15</v>
          </cell>
          <cell r="AD361">
            <v>10</v>
          </cell>
          <cell r="AE361">
            <v>100</v>
          </cell>
          <cell r="AF361" t="str">
            <v>CD</v>
          </cell>
          <cell r="AG361">
            <v>355</v>
          </cell>
        </row>
        <row r="362">
          <cell r="A362" t="str">
            <v>P041</v>
          </cell>
          <cell r="B362" t="str">
            <v>HANOI MOI</v>
          </cell>
          <cell r="C362" t="str">
            <v>04 7545379</v>
          </cell>
          <cell r="D362" t="str">
            <v>04 7545378</v>
          </cell>
          <cell r="E362" t="str">
            <v>Vcom: Lau 3, 221B Tran Dang Ninh, cau Giay, HN</v>
          </cell>
          <cell r="F362" t="str">
            <v>Ms Thao 0989585415</v>
          </cell>
          <cell r="G362" t="str">
            <v>Daily</v>
          </cell>
          <cell r="H362">
            <v>52000</v>
          </cell>
          <cell r="I362">
            <v>0.05</v>
          </cell>
          <cell r="K362" t="str">
            <v>P041Inside2/3VPFC</v>
          </cell>
          <cell r="L362" t="str">
            <v>Inside</v>
          </cell>
          <cell r="M362" t="str">
            <v>2/3VPFC</v>
          </cell>
          <cell r="N362" t="str">
            <v>14.1X25.2</v>
          </cell>
          <cell r="P362">
            <v>11000</v>
          </cell>
          <cell r="AC362">
            <v>15</v>
          </cell>
          <cell r="AD362">
            <v>10</v>
          </cell>
          <cell r="AE362">
            <v>100</v>
          </cell>
          <cell r="AF362" t="str">
            <v>CD</v>
          </cell>
          <cell r="AG362">
            <v>356</v>
          </cell>
        </row>
        <row r="363">
          <cell r="A363" t="str">
            <v>P041</v>
          </cell>
          <cell r="B363" t="str">
            <v>1C</v>
          </cell>
          <cell r="K363" t="str">
            <v>P041InsideHPFC</v>
          </cell>
          <cell r="L363" t="str">
            <v>Inside</v>
          </cell>
          <cell r="M363" t="str">
            <v>HPFC</v>
          </cell>
          <cell r="N363" t="str">
            <v>21.4X12.3</v>
          </cell>
          <cell r="P363">
            <v>9000</v>
          </cell>
          <cell r="AG363">
            <v>357</v>
          </cell>
        </row>
        <row r="364">
          <cell r="A364" t="str">
            <v>P041</v>
          </cell>
          <cell r="K364" t="str">
            <v>P041InsideVPFC</v>
          </cell>
          <cell r="L364" t="str">
            <v>Inside</v>
          </cell>
          <cell r="M364" t="str">
            <v>VPFC</v>
          </cell>
          <cell r="N364" t="str">
            <v>10.4X25.5</v>
          </cell>
          <cell r="P364">
            <v>9000</v>
          </cell>
          <cell r="AG364">
            <v>358</v>
          </cell>
        </row>
        <row r="365">
          <cell r="A365" t="str">
            <v>P041</v>
          </cell>
          <cell r="B365" t="str">
            <v>HANOI MOI</v>
          </cell>
          <cell r="C365" t="str">
            <v>04 7545379</v>
          </cell>
          <cell r="D365" t="str">
            <v>04 7545378</v>
          </cell>
          <cell r="E365" t="str">
            <v>Vcom: Lau 3, 221B Tran Dang Ninh, cau Giay, HN</v>
          </cell>
          <cell r="F365" t="str">
            <v>Ms Thao 0989585415</v>
          </cell>
          <cell r="G365" t="str">
            <v>Daily</v>
          </cell>
          <cell r="H365">
            <v>52000</v>
          </cell>
          <cell r="I365">
            <v>0.05</v>
          </cell>
          <cell r="K365" t="str">
            <v>P041InsideQPFC</v>
          </cell>
          <cell r="L365" t="str">
            <v>Inside</v>
          </cell>
          <cell r="M365" t="str">
            <v>QPFC</v>
          </cell>
          <cell r="N365" t="str">
            <v>10.4X12.3</v>
          </cell>
          <cell r="P365">
            <v>5000</v>
          </cell>
          <cell r="Q365">
            <v>0.08</v>
          </cell>
          <cell r="AC365">
            <v>15</v>
          </cell>
          <cell r="AD365">
            <v>10</v>
          </cell>
          <cell r="AE365">
            <v>100</v>
          </cell>
          <cell r="AF365" t="str">
            <v>CD</v>
          </cell>
          <cell r="AG365">
            <v>359</v>
          </cell>
        </row>
        <row r="366">
          <cell r="A366" t="str">
            <v>P041</v>
          </cell>
          <cell r="B366" t="str">
            <v>1C</v>
          </cell>
          <cell r="K366" t="str">
            <v>P041Strip ad</v>
          </cell>
          <cell r="L366" t="str">
            <v>Strip ad</v>
          </cell>
          <cell r="M366" t="str">
            <v>1/3HPFC</v>
          </cell>
          <cell r="N366" t="str">
            <v>2.5X23</v>
          </cell>
          <cell r="P366">
            <v>3300</v>
          </cell>
          <cell r="AG366">
            <v>360</v>
          </cell>
        </row>
        <row r="367">
          <cell r="A367" t="str">
            <v>P041</v>
          </cell>
          <cell r="K367" t="str">
            <v>P041Inside1/3HPFC</v>
          </cell>
          <cell r="L367" t="str">
            <v>Inside</v>
          </cell>
          <cell r="M367" t="str">
            <v>1/3HPFC</v>
          </cell>
          <cell r="N367" t="str">
            <v>21.4X8</v>
          </cell>
          <cell r="P367">
            <v>6600</v>
          </cell>
          <cell r="AG367">
            <v>361</v>
          </cell>
        </row>
        <row r="368">
          <cell r="A368" t="str">
            <v>P041</v>
          </cell>
          <cell r="B368" t="str">
            <v>THI TRUONG TIEU DUNG</v>
          </cell>
          <cell r="C368">
            <v>49332728</v>
          </cell>
          <cell r="D368">
            <v>49332729</v>
          </cell>
          <cell r="E368" t="str">
            <v>2A Tran Hung Dao -HN</v>
          </cell>
          <cell r="F368" t="str">
            <v>Ms Giang 0903461009</v>
          </cell>
          <cell r="G368" t="str">
            <v>1,15/ Month</v>
          </cell>
          <cell r="H368">
            <v>20000</v>
          </cell>
          <cell r="I368">
            <v>0.3</v>
          </cell>
          <cell r="K368" t="str">
            <v>P041Inside1/3VPFC</v>
          </cell>
          <cell r="L368" t="str">
            <v>Inside</v>
          </cell>
          <cell r="M368" t="str">
            <v>1/3VPFC</v>
          </cell>
          <cell r="N368" t="str">
            <v>6.8X25.2</v>
          </cell>
          <cell r="P368">
            <v>6600</v>
          </cell>
          <cell r="AC368">
            <v>15</v>
          </cell>
          <cell r="AD368">
            <v>10</v>
          </cell>
          <cell r="AE368">
            <v>150</v>
          </cell>
          <cell r="AF368" t="str">
            <v>CD</v>
          </cell>
          <cell r="AG368">
            <v>362</v>
          </cell>
        </row>
        <row r="369">
          <cell r="A369" t="str">
            <v>CAM NANG MUA SAM</v>
          </cell>
          <cell r="B369" t="str">
            <v>HANOI MOI</v>
          </cell>
          <cell r="C369" t="str">
            <v>04 7545379</v>
          </cell>
          <cell r="D369" t="str">
            <v>04 7545378</v>
          </cell>
          <cell r="E369" t="str">
            <v>Vcom: Lau 3, 221B Tran Dang Ninh, cau Giay, HN</v>
          </cell>
          <cell r="F369" t="str">
            <v>Ms Thao 0989585415</v>
          </cell>
          <cell r="G369" t="str">
            <v>Daily</v>
          </cell>
          <cell r="H369">
            <v>52000</v>
          </cell>
          <cell r="I369">
            <v>0.05</v>
          </cell>
          <cell r="K369" t="str">
            <v>CAM NANG MUA SAM</v>
          </cell>
          <cell r="L369" t="str">
            <v>Inside</v>
          </cell>
          <cell r="M369" t="str">
            <v>FPFC</v>
          </cell>
          <cell r="N369" t="str">
            <v>38X52</v>
          </cell>
          <cell r="P369">
            <v>32000</v>
          </cell>
          <cell r="Q369">
            <v>0.08</v>
          </cell>
          <cell r="AC369">
            <v>15</v>
          </cell>
          <cell r="AD369">
            <v>10</v>
          </cell>
          <cell r="AE369">
            <v>100</v>
          </cell>
          <cell r="AF369" t="str">
            <v>CD</v>
          </cell>
          <cell r="AG369">
            <v>363</v>
          </cell>
        </row>
        <row r="370">
          <cell r="A370" t="str">
            <v>P042</v>
          </cell>
          <cell r="B370" t="str">
            <v>HANOI MOI</v>
          </cell>
          <cell r="C370" t="str">
            <v>04 7545379</v>
          </cell>
          <cell r="D370" t="str">
            <v>04 7545378</v>
          </cell>
          <cell r="E370" t="str">
            <v>Vcom: Lau 3, 221B Tran Dang Ninh, cau Giay, HN</v>
          </cell>
          <cell r="F370" t="str">
            <v>Ms Thao 0989585415</v>
          </cell>
          <cell r="G370" t="str">
            <v>Daily</v>
          </cell>
          <cell r="H370">
            <v>52000</v>
          </cell>
          <cell r="I370">
            <v>0.05</v>
          </cell>
          <cell r="K370" t="str">
            <v>P042InsideFPFC</v>
          </cell>
          <cell r="L370" t="str">
            <v>Inside</v>
          </cell>
          <cell r="M370" t="str">
            <v>FPFC</v>
          </cell>
          <cell r="N370" t="str">
            <v>38X52</v>
          </cell>
          <cell r="P370">
            <v>32000</v>
          </cell>
          <cell r="Q370">
            <v>0.08</v>
          </cell>
          <cell r="AC370">
            <v>15</v>
          </cell>
          <cell r="AD370">
            <v>10</v>
          </cell>
          <cell r="AE370">
            <v>100</v>
          </cell>
          <cell r="AF370" t="str">
            <v>CD</v>
          </cell>
          <cell r="AG370">
            <v>364</v>
          </cell>
        </row>
        <row r="371">
          <cell r="A371" t="str">
            <v>P042</v>
          </cell>
          <cell r="B371" t="str">
            <v>1C</v>
          </cell>
          <cell r="K371" t="str">
            <v>P042InsideHPFC</v>
          </cell>
          <cell r="L371" t="str">
            <v>Inside</v>
          </cell>
          <cell r="M371" t="str">
            <v>HPFC</v>
          </cell>
          <cell r="N371" t="str">
            <v>38X26</v>
          </cell>
          <cell r="P371">
            <v>16500</v>
          </cell>
          <cell r="AG371">
            <v>365</v>
          </cell>
        </row>
        <row r="372">
          <cell r="A372" t="str">
            <v>P042</v>
          </cell>
          <cell r="B372" t="str">
            <v>THI TRUONG TIEU DUNG</v>
          </cell>
          <cell r="C372">
            <v>49332728</v>
          </cell>
          <cell r="D372">
            <v>49332729</v>
          </cell>
          <cell r="E372" t="str">
            <v>2A Tran Hung Dao -HN</v>
          </cell>
          <cell r="F372" t="str">
            <v>Ms Giang 0903461009</v>
          </cell>
          <cell r="G372" t="str">
            <v>1,15/ Month</v>
          </cell>
          <cell r="H372">
            <v>20000</v>
          </cell>
          <cell r="I372">
            <v>0.3</v>
          </cell>
          <cell r="K372" t="str">
            <v>P042InsideVPFC</v>
          </cell>
          <cell r="L372" t="str">
            <v>Inside</v>
          </cell>
          <cell r="M372" t="str">
            <v>VPFC</v>
          </cell>
          <cell r="N372" t="str">
            <v>24X37</v>
          </cell>
          <cell r="P372">
            <v>20000</v>
          </cell>
          <cell r="Q372">
            <v>0.3</v>
          </cell>
          <cell r="AC372">
            <v>15</v>
          </cell>
          <cell r="AD372">
            <v>10</v>
          </cell>
          <cell r="AE372">
            <v>150</v>
          </cell>
          <cell r="AF372" t="str">
            <v>CD</v>
          </cell>
          <cell r="AG372">
            <v>366</v>
          </cell>
        </row>
        <row r="373">
          <cell r="A373" t="str">
            <v>P042</v>
          </cell>
          <cell r="B373" t="str">
            <v>3C</v>
          </cell>
          <cell r="K373" t="str">
            <v>P042Inside1/4VPFC</v>
          </cell>
          <cell r="L373" t="str">
            <v>Inside</v>
          </cell>
          <cell r="M373" t="str">
            <v>1/4VPFC</v>
          </cell>
          <cell r="N373" t="str">
            <v>19X26</v>
          </cell>
          <cell r="P373">
            <v>4600</v>
          </cell>
          <cell r="AG373">
            <v>367</v>
          </cell>
        </row>
        <row r="374">
          <cell r="A374" t="str">
            <v>P042</v>
          </cell>
          <cell r="K374" t="str">
            <v>P042Inside1/4HPFC</v>
          </cell>
          <cell r="L374" t="str">
            <v>Inside</v>
          </cell>
          <cell r="M374" t="str">
            <v>1/4HPFC</v>
          </cell>
          <cell r="N374" t="str">
            <v>38X12</v>
          </cell>
          <cell r="P374">
            <v>5500</v>
          </cell>
          <cell r="AG374">
            <v>368</v>
          </cell>
        </row>
        <row r="375">
          <cell r="A375" t="str">
            <v>P042</v>
          </cell>
          <cell r="K375" t="str">
            <v>P042Strip ad</v>
          </cell>
          <cell r="L375" t="str">
            <v>Strip ad</v>
          </cell>
          <cell r="M375" t="str">
            <v>FPFC</v>
          </cell>
          <cell r="N375" t="str">
            <v>38X6</v>
          </cell>
          <cell r="P375">
            <v>2400</v>
          </cell>
          <cell r="AG375">
            <v>369</v>
          </cell>
        </row>
        <row r="376">
          <cell r="A376" t="str">
            <v>HANOI MOI</v>
          </cell>
          <cell r="B376" t="str">
            <v>THI TRUONG TIEU DUNG</v>
          </cell>
          <cell r="C376">
            <v>49332728</v>
          </cell>
          <cell r="D376">
            <v>49332729</v>
          </cell>
          <cell r="E376" t="str">
            <v>2A Tran Hung Dao -HN</v>
          </cell>
          <cell r="F376" t="str">
            <v>Ms Giang 0903461009</v>
          </cell>
          <cell r="G376" t="str">
            <v>1,15/ Monthly</v>
          </cell>
          <cell r="H376">
            <v>20000</v>
          </cell>
          <cell r="I376">
            <v>0.3</v>
          </cell>
          <cell r="K376" t="str">
            <v>HANOI MOI</v>
          </cell>
          <cell r="L376" t="str">
            <v>Cover 3</v>
          </cell>
          <cell r="M376" t="str">
            <v>FPFC</v>
          </cell>
          <cell r="N376" t="str">
            <v>20X28</v>
          </cell>
          <cell r="O376" t="str">
            <v>22X30</v>
          </cell>
          <cell r="P376">
            <v>13200.000000000002</v>
          </cell>
          <cell r="Q376">
            <v>0.3</v>
          </cell>
          <cell r="AC376">
            <v>15</v>
          </cell>
          <cell r="AD376">
            <v>10</v>
          </cell>
          <cell r="AE376">
            <v>150</v>
          </cell>
          <cell r="AF376" t="str">
            <v>CD</v>
          </cell>
          <cell r="AG376">
            <v>370</v>
          </cell>
        </row>
        <row r="377">
          <cell r="A377" t="str">
            <v>P043</v>
          </cell>
          <cell r="B377" t="str">
            <v>THI TRUONG TIEU DUNG</v>
          </cell>
          <cell r="C377">
            <v>49332728</v>
          </cell>
          <cell r="D377">
            <v>49332729</v>
          </cell>
          <cell r="E377" t="str">
            <v>2A Tran Hung Dao -HN</v>
          </cell>
          <cell r="F377" t="str">
            <v>Ms Giang 0903461009</v>
          </cell>
          <cell r="G377" t="str">
            <v>1,15/ Monthly</v>
          </cell>
          <cell r="H377">
            <v>20000</v>
          </cell>
          <cell r="I377">
            <v>0.3</v>
          </cell>
          <cell r="K377" t="str">
            <v>P043Cover 3FPFC</v>
          </cell>
          <cell r="L377" t="str">
            <v>Cover 3</v>
          </cell>
          <cell r="M377" t="str">
            <v>FPFC</v>
          </cell>
          <cell r="N377" t="str">
            <v>20X28</v>
          </cell>
          <cell r="O377" t="str">
            <v>22X30</v>
          </cell>
          <cell r="P377">
            <v>30800.000000000004</v>
          </cell>
          <cell r="Q377">
            <v>0.3</v>
          </cell>
          <cell r="AC377">
            <v>15</v>
          </cell>
          <cell r="AD377">
            <v>10</v>
          </cell>
          <cell r="AE377">
            <v>150</v>
          </cell>
          <cell r="AF377" t="str">
            <v>CD</v>
          </cell>
          <cell r="AG377">
            <v>371</v>
          </cell>
        </row>
        <row r="378">
          <cell r="A378" t="str">
            <v>P043</v>
          </cell>
          <cell r="B378" t="str">
            <v>3C</v>
          </cell>
          <cell r="K378" t="str">
            <v>P043Cover 2FPFC</v>
          </cell>
          <cell r="L378" t="str">
            <v>Cover 2</v>
          </cell>
          <cell r="M378" t="str">
            <v>FPFC</v>
          </cell>
          <cell r="N378" t="str">
            <v>20X28</v>
          </cell>
          <cell r="O378" t="str">
            <v>22X30</v>
          </cell>
          <cell r="P378">
            <v>41800</v>
          </cell>
          <cell r="AG378">
            <v>372</v>
          </cell>
        </row>
        <row r="379">
          <cell r="A379" t="str">
            <v>P043</v>
          </cell>
          <cell r="K379" t="str">
            <v>P043Cover 4FPFC</v>
          </cell>
          <cell r="L379" t="str">
            <v>Cover 4</v>
          </cell>
          <cell r="M379" t="str">
            <v>FPFC</v>
          </cell>
          <cell r="N379" t="str">
            <v>20X28</v>
          </cell>
          <cell r="O379" t="str">
            <v>22X30</v>
          </cell>
          <cell r="P379">
            <v>49500.000000000007</v>
          </cell>
          <cell r="AG379">
            <v>373</v>
          </cell>
        </row>
        <row r="380">
          <cell r="A380" t="str">
            <v>P043</v>
          </cell>
          <cell r="K380" t="str">
            <v>P043InsideDPFC</v>
          </cell>
          <cell r="L380" t="str">
            <v>Inside</v>
          </cell>
          <cell r="M380" t="str">
            <v>DPFC</v>
          </cell>
          <cell r="P380">
            <v>33000</v>
          </cell>
          <cell r="AG380">
            <v>374</v>
          </cell>
        </row>
        <row r="381">
          <cell r="A381" t="str">
            <v>P043</v>
          </cell>
          <cell r="B381" t="str">
            <v>SAI GON TIEP THI</v>
          </cell>
          <cell r="C381">
            <v>9305377</v>
          </cell>
          <cell r="D381">
            <v>9305378</v>
          </cell>
          <cell r="E381" t="str">
            <v>29 Ngo Thoi Nhiem Q3</v>
          </cell>
          <cell r="F381" t="str">
            <v>Ms Hoa 0913724900</v>
          </cell>
          <cell r="G381" t="str">
            <v>Thu/ Weekly</v>
          </cell>
          <cell r="H381">
            <v>120000</v>
          </cell>
          <cell r="I381">
            <v>0.15</v>
          </cell>
          <cell r="K381" t="str">
            <v>P043FirstDPFC</v>
          </cell>
          <cell r="L381" t="str">
            <v>First</v>
          </cell>
          <cell r="M381" t="str">
            <v>DPFC</v>
          </cell>
          <cell r="N381" t="str">
            <v>20X28</v>
          </cell>
          <cell r="O381" t="str">
            <v>22X30</v>
          </cell>
          <cell r="P381">
            <v>38500</v>
          </cell>
          <cell r="Q381">
            <v>0.15</v>
          </cell>
          <cell r="S381">
            <v>0.15</v>
          </cell>
          <cell r="U381">
            <v>0.15</v>
          </cell>
          <cell r="AC381">
            <v>15</v>
          </cell>
          <cell r="AD381">
            <v>10</v>
          </cell>
          <cell r="AE381">
            <v>150</v>
          </cell>
          <cell r="AF381" t="str">
            <v>CD</v>
          </cell>
          <cell r="AG381">
            <v>375</v>
          </cell>
        </row>
        <row r="382">
          <cell r="A382" t="str">
            <v>P043</v>
          </cell>
          <cell r="B382" t="str">
            <v>SAI GON TIEP THI</v>
          </cell>
          <cell r="C382">
            <v>9305377</v>
          </cell>
          <cell r="D382">
            <v>9305378</v>
          </cell>
          <cell r="E382" t="str">
            <v>29 Ngo Thoi Nhiem Q3</v>
          </cell>
          <cell r="F382" t="str">
            <v>Ms Hoa 0913724900</v>
          </cell>
          <cell r="G382" t="str">
            <v>Thu/ Weekly</v>
          </cell>
          <cell r="H382">
            <v>120000</v>
          </cell>
          <cell r="I382">
            <v>0.15</v>
          </cell>
          <cell r="K382" t="str">
            <v>P043FirstFPFC</v>
          </cell>
          <cell r="L382" t="str">
            <v>First</v>
          </cell>
          <cell r="M382" t="str">
            <v>FPFC</v>
          </cell>
          <cell r="N382" t="str">
            <v>20X28</v>
          </cell>
          <cell r="O382" t="str">
            <v>22X30</v>
          </cell>
          <cell r="P382">
            <v>26400.000000000004</v>
          </cell>
          <cell r="Q382">
            <v>0.15</v>
          </cell>
          <cell r="S382">
            <v>0.15</v>
          </cell>
          <cell r="U382">
            <v>0.15</v>
          </cell>
          <cell r="AC382">
            <v>15</v>
          </cell>
          <cell r="AD382">
            <v>10</v>
          </cell>
          <cell r="AE382">
            <v>150</v>
          </cell>
          <cell r="AF382" t="str">
            <v>CD</v>
          </cell>
          <cell r="AG382">
            <v>376</v>
          </cell>
        </row>
        <row r="383">
          <cell r="A383" t="str">
            <v>P043</v>
          </cell>
          <cell r="B383" t="str">
            <v>6C</v>
          </cell>
          <cell r="K383" t="str">
            <v>P043InsideFPFC</v>
          </cell>
          <cell r="L383" t="str">
            <v>Inside</v>
          </cell>
          <cell r="M383" t="str">
            <v>FPFC</v>
          </cell>
          <cell r="N383" t="str">
            <v>20X28</v>
          </cell>
          <cell r="O383" t="str">
            <v>22X30</v>
          </cell>
          <cell r="P383">
            <v>18700</v>
          </cell>
          <cell r="AG383">
            <v>377</v>
          </cell>
        </row>
        <row r="384">
          <cell r="A384" t="str">
            <v>P043</v>
          </cell>
          <cell r="K384" t="str">
            <v>P043Inside2/3HPFC</v>
          </cell>
          <cell r="L384" t="str">
            <v>Inside</v>
          </cell>
          <cell r="M384" t="str">
            <v>2/3HPFC</v>
          </cell>
          <cell r="N384" t="str">
            <v>12X16</v>
          </cell>
          <cell r="P384">
            <v>13200.000000000002</v>
          </cell>
          <cell r="AG384">
            <v>378</v>
          </cell>
        </row>
        <row r="385">
          <cell r="A385" t="str">
            <v>P043</v>
          </cell>
          <cell r="B385" t="str">
            <v>SAI GON TIEP THI</v>
          </cell>
          <cell r="C385">
            <v>9305377</v>
          </cell>
          <cell r="D385">
            <v>9305378</v>
          </cell>
          <cell r="E385" t="str">
            <v>29 Ngo Thoi Nhiem Q3</v>
          </cell>
          <cell r="F385" t="str">
            <v>Ms Hoa 0913724900</v>
          </cell>
          <cell r="G385" t="str">
            <v>Thu/ Weekly</v>
          </cell>
          <cell r="H385">
            <v>120000</v>
          </cell>
          <cell r="I385">
            <v>0.15</v>
          </cell>
          <cell r="K385" t="str">
            <v>P043Inside2/3VPFC</v>
          </cell>
          <cell r="L385" t="str">
            <v>Inside</v>
          </cell>
          <cell r="M385" t="str">
            <v>2/3VPFC</v>
          </cell>
          <cell r="N385" t="str">
            <v>12X33</v>
          </cell>
          <cell r="P385">
            <v>13200.000000000002</v>
          </cell>
          <cell r="Q385">
            <v>0.15</v>
          </cell>
          <cell r="S385">
            <v>0.15</v>
          </cell>
          <cell r="U385">
            <v>0.15</v>
          </cell>
          <cell r="AC385">
            <v>15</v>
          </cell>
          <cell r="AD385">
            <v>10</v>
          </cell>
          <cell r="AE385">
            <v>150</v>
          </cell>
          <cell r="AF385" t="str">
            <v>CD</v>
          </cell>
          <cell r="AG385">
            <v>379</v>
          </cell>
        </row>
        <row r="386">
          <cell r="A386" t="str">
            <v>P043</v>
          </cell>
          <cell r="B386" t="str">
            <v>6C</v>
          </cell>
          <cell r="K386" t="str">
            <v>P043InsideHPFC</v>
          </cell>
          <cell r="L386" t="str">
            <v>Inside</v>
          </cell>
          <cell r="M386" t="str">
            <v>HPFC</v>
          </cell>
          <cell r="N386" t="str">
            <v>24X8</v>
          </cell>
          <cell r="P386">
            <v>9900</v>
          </cell>
          <cell r="AG386">
            <v>380</v>
          </cell>
        </row>
        <row r="387">
          <cell r="A387" t="str">
            <v>P043</v>
          </cell>
          <cell r="K387" t="str">
            <v>P043InsideVPFC</v>
          </cell>
          <cell r="L387" t="str">
            <v>Inside</v>
          </cell>
          <cell r="M387" t="str">
            <v>VPFC</v>
          </cell>
          <cell r="N387" t="str">
            <v>24X33</v>
          </cell>
          <cell r="O387" t="str">
            <v>41X30</v>
          </cell>
          <cell r="P387">
            <v>9900</v>
          </cell>
          <cell r="AG387">
            <v>381</v>
          </cell>
        </row>
        <row r="388">
          <cell r="A388" t="str">
            <v>P043</v>
          </cell>
          <cell r="K388" t="str">
            <v>P043InsideGatefold</v>
          </cell>
          <cell r="L388" t="str">
            <v>Inside</v>
          </cell>
          <cell r="M388" t="str">
            <v>Gatefold</v>
          </cell>
          <cell r="N388" t="str">
            <v>24X33</v>
          </cell>
          <cell r="O388" t="str">
            <v>41X30</v>
          </cell>
          <cell r="P388" t="str">
            <v>(FPFC+DPFC)-dis+10.000</v>
          </cell>
          <cell r="AG388">
            <v>382</v>
          </cell>
        </row>
        <row r="389">
          <cell r="A389" t="str">
            <v>P043</v>
          </cell>
          <cell r="K389" t="str">
            <v>P043Strip ad</v>
          </cell>
          <cell r="L389" t="str">
            <v>Strip ad</v>
          </cell>
          <cell r="M389" t="str">
            <v>FPFC</v>
          </cell>
          <cell r="N389" t="str">
            <v>24X33</v>
          </cell>
          <cell r="P389">
            <v>2200</v>
          </cell>
          <cell r="AG389">
            <v>383</v>
          </cell>
        </row>
        <row r="390">
          <cell r="A390" t="str">
            <v>THI TRUONG TIEU DUNG</v>
          </cell>
          <cell r="B390" t="str">
            <v>SAI GON TIEP THI</v>
          </cell>
          <cell r="C390">
            <v>9305377</v>
          </cell>
          <cell r="D390">
            <v>9305378</v>
          </cell>
          <cell r="E390" t="str">
            <v>29 Ngo Thoi Nhiem Q3</v>
          </cell>
          <cell r="F390" t="str">
            <v>Ms Hoa 0913724900</v>
          </cell>
          <cell r="G390" t="str">
            <v>Thu/ Weekly</v>
          </cell>
          <cell r="H390">
            <v>120000</v>
          </cell>
          <cell r="I390">
            <v>0.15</v>
          </cell>
          <cell r="K390" t="str">
            <v>THI TRUONG TIEU DUNG</v>
          </cell>
          <cell r="L390" t="str">
            <v>Inside</v>
          </cell>
          <cell r="M390" t="str">
            <v>FPFC</v>
          </cell>
          <cell r="N390" t="str">
            <v>24X33</v>
          </cell>
          <cell r="P390">
            <v>26000</v>
          </cell>
          <cell r="Q390">
            <v>0.15</v>
          </cell>
          <cell r="S390">
            <v>0.15</v>
          </cell>
          <cell r="U390">
            <v>0.15</v>
          </cell>
          <cell r="AC390">
            <v>15</v>
          </cell>
          <cell r="AD390">
            <v>10</v>
          </cell>
          <cell r="AE390">
            <v>150</v>
          </cell>
          <cell r="AF390" t="str">
            <v>CD</v>
          </cell>
          <cell r="AG390">
            <v>384</v>
          </cell>
        </row>
        <row r="391">
          <cell r="A391" t="str">
            <v>P044</v>
          </cell>
          <cell r="B391" t="str">
            <v>SAI GON TIEP THI</v>
          </cell>
          <cell r="C391">
            <v>9305377</v>
          </cell>
          <cell r="D391">
            <v>9305378</v>
          </cell>
          <cell r="E391" t="str">
            <v>29 Ngo Thoi Nhiem Q3</v>
          </cell>
          <cell r="F391" t="str">
            <v>Ms Hoa 0913724900</v>
          </cell>
          <cell r="G391" t="str">
            <v>Thu/ Weekly</v>
          </cell>
          <cell r="H391">
            <v>120000</v>
          </cell>
          <cell r="I391">
            <v>0.15</v>
          </cell>
          <cell r="K391" t="str">
            <v>P044InsideFPFC</v>
          </cell>
          <cell r="L391" t="str">
            <v>Inside</v>
          </cell>
          <cell r="M391" t="str">
            <v>FPFC</v>
          </cell>
          <cell r="N391" t="str">
            <v>24X33</v>
          </cell>
          <cell r="P391">
            <v>26000</v>
          </cell>
          <cell r="Q391">
            <v>0.15</v>
          </cell>
          <cell r="S391">
            <v>0.15</v>
          </cell>
          <cell r="U391">
            <v>0.15</v>
          </cell>
          <cell r="AC391">
            <v>15</v>
          </cell>
          <cell r="AD391">
            <v>10</v>
          </cell>
          <cell r="AE391">
            <v>150</v>
          </cell>
          <cell r="AF391" t="str">
            <v>CD</v>
          </cell>
          <cell r="AG391">
            <v>385</v>
          </cell>
        </row>
        <row r="392">
          <cell r="A392" t="str">
            <v>P044</v>
          </cell>
          <cell r="B392" t="str">
            <v>6C</v>
          </cell>
          <cell r="K392" t="str">
            <v>P044InsideHPFC</v>
          </cell>
          <cell r="L392" t="str">
            <v>Inside</v>
          </cell>
          <cell r="M392" t="str">
            <v>HPFC</v>
          </cell>
          <cell r="N392" t="str">
            <v>24X16</v>
          </cell>
          <cell r="P392">
            <v>14000</v>
          </cell>
          <cell r="AG392">
            <v>386</v>
          </cell>
        </row>
        <row r="393">
          <cell r="A393" t="str">
            <v>P044</v>
          </cell>
          <cell r="K393" t="str">
            <v>P044InsideQPFC</v>
          </cell>
          <cell r="L393" t="str">
            <v>Inside</v>
          </cell>
          <cell r="M393" t="str">
            <v>QPFC</v>
          </cell>
          <cell r="N393" t="str">
            <v>12X16</v>
          </cell>
          <cell r="P393">
            <v>7500</v>
          </cell>
          <cell r="AG393">
            <v>387</v>
          </cell>
        </row>
        <row r="394">
          <cell r="A394" t="str">
            <v>P044</v>
          </cell>
          <cell r="K394" t="str">
            <v>P044InsideVPFC</v>
          </cell>
          <cell r="L394" t="str">
            <v>Inside</v>
          </cell>
          <cell r="M394" t="str">
            <v>VPFC</v>
          </cell>
          <cell r="N394" t="str">
            <v>12X33</v>
          </cell>
          <cell r="P394">
            <v>20000</v>
          </cell>
          <cell r="AG394">
            <v>388</v>
          </cell>
        </row>
        <row r="395">
          <cell r="A395" t="str">
            <v>P044</v>
          </cell>
          <cell r="K395" t="str">
            <v>P044Inside1/4HPFC</v>
          </cell>
          <cell r="L395" t="str">
            <v>Inside</v>
          </cell>
          <cell r="M395" t="str">
            <v>1/4HPFC</v>
          </cell>
          <cell r="N395" t="str">
            <v>24X8</v>
          </cell>
          <cell r="P395">
            <v>10000</v>
          </cell>
          <cell r="AG395">
            <v>389</v>
          </cell>
        </row>
        <row r="396">
          <cell r="A396" t="str">
            <v>P044</v>
          </cell>
          <cell r="B396" t="str">
            <v>DEP</v>
          </cell>
          <cell r="C396">
            <v>8484754</v>
          </cell>
          <cell r="D396">
            <v>8484753</v>
          </cell>
          <cell r="E396" t="str">
            <v>144A Ly Chinh Thang</v>
          </cell>
          <cell r="F396" t="str">
            <v>Ms Tham 0908678580</v>
          </cell>
          <cell r="G396" t="str">
            <v>5th/ monthly</v>
          </cell>
          <cell r="H396">
            <v>47000</v>
          </cell>
          <cell r="I396">
            <v>0.1</v>
          </cell>
          <cell r="J396">
            <v>0.35</v>
          </cell>
          <cell r="K396" t="str">
            <v>P044Cover 4FPFC</v>
          </cell>
          <cell r="L396" t="str">
            <v>Cover 4</v>
          </cell>
          <cell r="M396" t="str">
            <v>FPFC</v>
          </cell>
          <cell r="N396" t="str">
            <v>24X33</v>
          </cell>
          <cell r="O396" t="str">
            <v>21.3X29.1</v>
          </cell>
          <cell r="P396">
            <v>30000</v>
          </cell>
          <cell r="AC396">
            <v>15</v>
          </cell>
          <cell r="AD396">
            <v>10</v>
          </cell>
          <cell r="AE396">
            <v>175</v>
          </cell>
          <cell r="AF396" t="str">
            <v>CD</v>
          </cell>
          <cell r="AG396">
            <v>390</v>
          </cell>
        </row>
        <row r="397">
          <cell r="A397" t="str">
            <v>P044</v>
          </cell>
          <cell r="B397" t="str">
            <v>DEP</v>
          </cell>
          <cell r="C397">
            <v>8484754</v>
          </cell>
          <cell r="D397">
            <v>8484753</v>
          </cell>
          <cell r="E397" t="str">
            <v>144A Ly Chinh Thang</v>
          </cell>
          <cell r="F397" t="str">
            <v>Ms Tham 0908678580</v>
          </cell>
          <cell r="G397" t="str">
            <v>5th/ monthly</v>
          </cell>
          <cell r="H397">
            <v>47000</v>
          </cell>
          <cell r="I397">
            <v>0.1</v>
          </cell>
          <cell r="J397">
            <v>0.35</v>
          </cell>
          <cell r="K397" t="str">
            <v>P044Cover 2FPFC</v>
          </cell>
          <cell r="L397" t="str">
            <v>Cover 2</v>
          </cell>
          <cell r="M397" t="str">
            <v>FPFC</v>
          </cell>
          <cell r="N397" t="str">
            <v>24X33</v>
          </cell>
          <cell r="O397" t="str">
            <v>21.3X29.1</v>
          </cell>
          <cell r="P397">
            <v>30000</v>
          </cell>
          <cell r="AC397">
            <v>15</v>
          </cell>
          <cell r="AD397">
            <v>10</v>
          </cell>
          <cell r="AE397">
            <v>175</v>
          </cell>
          <cell r="AF397" t="str">
            <v>CD</v>
          </cell>
          <cell r="AG397">
            <v>391</v>
          </cell>
        </row>
        <row r="398">
          <cell r="A398" t="str">
            <v>P044</v>
          </cell>
          <cell r="B398" t="str">
            <v>6A</v>
          </cell>
          <cell r="K398" t="str">
            <v>P044Cover 3FPFC</v>
          </cell>
          <cell r="L398" t="str">
            <v>Cover 3</v>
          </cell>
          <cell r="M398" t="str">
            <v>FPFC</v>
          </cell>
          <cell r="N398" t="str">
            <v>24X33</v>
          </cell>
          <cell r="P398">
            <v>30000</v>
          </cell>
          <cell r="AG398">
            <v>392</v>
          </cell>
        </row>
        <row r="399">
          <cell r="A399" t="str">
            <v>P044</v>
          </cell>
          <cell r="K399" t="str">
            <v>P044FirstFPFC</v>
          </cell>
          <cell r="L399" t="str">
            <v>First</v>
          </cell>
          <cell r="M399" t="str">
            <v>FPFC</v>
          </cell>
          <cell r="N399" t="str">
            <v>24X33</v>
          </cell>
          <cell r="O399" t="str">
            <v>21.3X29.1</v>
          </cell>
          <cell r="P399">
            <v>30000</v>
          </cell>
          <cell r="AG399">
            <v>393</v>
          </cell>
        </row>
        <row r="400">
          <cell r="A400" t="str">
            <v>P044</v>
          </cell>
          <cell r="B400" t="str">
            <v>DEP</v>
          </cell>
          <cell r="C400">
            <v>8484754</v>
          </cell>
          <cell r="D400">
            <v>8484753</v>
          </cell>
          <cell r="E400" t="str">
            <v>144A Ly Chinh Thang</v>
          </cell>
          <cell r="F400" t="str">
            <v>Ms Tham 0908678580</v>
          </cell>
          <cell r="G400" t="str">
            <v>5/ Monthly</v>
          </cell>
          <cell r="H400">
            <v>47000</v>
          </cell>
          <cell r="I400">
            <v>0.1</v>
          </cell>
          <cell r="J400">
            <v>0.35</v>
          </cell>
          <cell r="K400" t="str">
            <v>P044ContentFPFC</v>
          </cell>
          <cell r="L400" t="str">
            <v>Content</v>
          </cell>
          <cell r="M400" t="str">
            <v>FPFC</v>
          </cell>
          <cell r="N400" t="str">
            <v>24X33</v>
          </cell>
          <cell r="O400" t="str">
            <v>21.3X29.1</v>
          </cell>
          <cell r="P400">
            <v>30000</v>
          </cell>
          <cell r="Q400">
            <v>0.35</v>
          </cell>
          <cell r="R400">
            <v>0.1</v>
          </cell>
          <cell r="AC400">
            <v>15</v>
          </cell>
          <cell r="AD400">
            <v>10</v>
          </cell>
          <cell r="AE400">
            <v>175</v>
          </cell>
          <cell r="AF400" t="str">
            <v>CD</v>
          </cell>
          <cell r="AG400">
            <v>394</v>
          </cell>
        </row>
        <row r="401">
          <cell r="A401" t="str">
            <v>P044</v>
          </cell>
          <cell r="B401" t="str">
            <v>6A</v>
          </cell>
          <cell r="F401" t="str">
            <v>Ms Lan 0908290108</v>
          </cell>
          <cell r="K401" t="str">
            <v>P044ContentHPFC</v>
          </cell>
          <cell r="L401" t="str">
            <v>Content</v>
          </cell>
          <cell r="M401" t="str">
            <v>HPFC</v>
          </cell>
          <cell r="N401" t="str">
            <v>24X16</v>
          </cell>
          <cell r="O401" t="str">
            <v>21.3X29.1</v>
          </cell>
          <cell r="P401">
            <v>22000</v>
          </cell>
          <cell r="AG401">
            <v>395</v>
          </cell>
        </row>
        <row r="402">
          <cell r="A402" t="str">
            <v>P044</v>
          </cell>
          <cell r="K402" t="str">
            <v>P044ContentVPFC</v>
          </cell>
          <cell r="L402" t="str">
            <v>Content</v>
          </cell>
          <cell r="M402" t="str">
            <v>VPFC</v>
          </cell>
          <cell r="N402" t="str">
            <v>12X33</v>
          </cell>
          <cell r="O402" t="str">
            <v>21.3X29.1</v>
          </cell>
          <cell r="P402">
            <v>22000</v>
          </cell>
          <cell r="AG402">
            <v>396</v>
          </cell>
        </row>
        <row r="403">
          <cell r="A403" t="str">
            <v>P044</v>
          </cell>
          <cell r="K403" t="str">
            <v>P044Content1/4HPFC</v>
          </cell>
          <cell r="L403" t="str">
            <v>Content</v>
          </cell>
          <cell r="M403" t="str">
            <v>1/4HPFC</v>
          </cell>
          <cell r="N403" t="str">
            <v>24X8</v>
          </cell>
          <cell r="O403" t="str">
            <v>21.3X29.1</v>
          </cell>
          <cell r="P403">
            <v>15000</v>
          </cell>
          <cell r="AG403">
            <v>397</v>
          </cell>
        </row>
        <row r="404">
          <cell r="A404" t="str">
            <v>P044</v>
          </cell>
          <cell r="K404" t="str">
            <v>P044Content1/4VPFC</v>
          </cell>
          <cell r="L404" t="str">
            <v>Content</v>
          </cell>
          <cell r="M404" t="str">
            <v>1/4VPFC</v>
          </cell>
          <cell r="N404" t="str">
            <v>20.2X27.7</v>
          </cell>
          <cell r="O404" t="str">
            <v>21.3X29.1</v>
          </cell>
          <cell r="P404">
            <v>15000</v>
          </cell>
          <cell r="AG404">
            <v>398</v>
          </cell>
        </row>
        <row r="405">
          <cell r="A405" t="str">
            <v>SAI GON TIEP THI</v>
          </cell>
          <cell r="B405" t="str">
            <v>DEP</v>
          </cell>
          <cell r="C405">
            <v>8484754</v>
          </cell>
          <cell r="D405">
            <v>8484753</v>
          </cell>
          <cell r="E405" t="str">
            <v>144A Ly Chinh Thang</v>
          </cell>
          <cell r="F405" t="str">
            <v>Ms Tham 0908678580</v>
          </cell>
          <cell r="G405" t="str">
            <v>5/ Monthly</v>
          </cell>
          <cell r="H405">
            <v>47000</v>
          </cell>
          <cell r="I405">
            <v>0.1</v>
          </cell>
          <cell r="J405">
            <v>0.35</v>
          </cell>
          <cell r="K405" t="str">
            <v>SAI GON TIEP THI</v>
          </cell>
          <cell r="L405" t="str">
            <v>Inside</v>
          </cell>
          <cell r="M405" t="str">
            <v>FPFC</v>
          </cell>
          <cell r="N405" t="str">
            <v>19.5X27.7</v>
          </cell>
          <cell r="O405" t="str">
            <v>21.3X29.1</v>
          </cell>
          <cell r="P405">
            <v>30800.000000000004</v>
          </cell>
          <cell r="Q405">
            <v>0.35</v>
          </cell>
          <cell r="R405">
            <v>0.1</v>
          </cell>
          <cell r="AC405">
            <v>15</v>
          </cell>
          <cell r="AD405">
            <v>10</v>
          </cell>
          <cell r="AE405">
            <v>175</v>
          </cell>
          <cell r="AF405" t="str">
            <v>CD</v>
          </cell>
          <cell r="AG405">
            <v>399</v>
          </cell>
        </row>
        <row r="406">
          <cell r="A406" t="str">
            <v>P045</v>
          </cell>
          <cell r="B406" t="str">
            <v>DEP</v>
          </cell>
          <cell r="C406">
            <v>8484754</v>
          </cell>
          <cell r="D406">
            <v>8484753</v>
          </cell>
          <cell r="E406" t="str">
            <v>144A Ly Chinh Thang</v>
          </cell>
          <cell r="F406" t="str">
            <v>Ms Tham 0908678580</v>
          </cell>
          <cell r="G406" t="str">
            <v>5/ Monthly</v>
          </cell>
          <cell r="H406">
            <v>47000</v>
          </cell>
          <cell r="I406">
            <v>0.1</v>
          </cell>
          <cell r="J406">
            <v>0.35</v>
          </cell>
          <cell r="K406" t="str">
            <v>P045InsideFPFC</v>
          </cell>
          <cell r="L406" t="str">
            <v>Inside</v>
          </cell>
          <cell r="M406" t="str">
            <v>FPFC</v>
          </cell>
          <cell r="N406" t="str">
            <v>19.5X27.7</v>
          </cell>
          <cell r="O406" t="str">
            <v>21.3X29.1</v>
          </cell>
          <cell r="P406">
            <v>30800.000000000004</v>
          </cell>
          <cell r="Q406">
            <v>0.35</v>
          </cell>
          <cell r="R406">
            <v>0.1</v>
          </cell>
          <cell r="AC406">
            <v>15</v>
          </cell>
          <cell r="AD406">
            <v>10</v>
          </cell>
          <cell r="AE406">
            <v>175</v>
          </cell>
          <cell r="AF406" t="str">
            <v>CD</v>
          </cell>
          <cell r="AG406">
            <v>400</v>
          </cell>
        </row>
        <row r="407">
          <cell r="A407" t="str">
            <v>P045</v>
          </cell>
          <cell r="B407" t="str">
            <v>6A</v>
          </cell>
          <cell r="F407" t="str">
            <v>Ms Lan 0908290108</v>
          </cell>
          <cell r="K407" t="str">
            <v>P045InsideHPFC</v>
          </cell>
          <cell r="L407" t="str">
            <v>Inside</v>
          </cell>
          <cell r="M407" t="str">
            <v>HPFC</v>
          </cell>
          <cell r="N407" t="str">
            <v>19.5X13.7</v>
          </cell>
          <cell r="O407" t="str">
            <v>21.3X29.1</v>
          </cell>
          <cell r="P407">
            <v>19800</v>
          </cell>
          <cell r="AG407">
            <v>401</v>
          </cell>
        </row>
        <row r="408">
          <cell r="A408" t="str">
            <v>P045</v>
          </cell>
          <cell r="K408" t="str">
            <v>P045Inside1/3VPFC</v>
          </cell>
          <cell r="L408" t="str">
            <v>Inside</v>
          </cell>
          <cell r="M408" t="str">
            <v>1/3VPFC</v>
          </cell>
          <cell r="N408" t="str">
            <v>7X27.7</v>
          </cell>
          <cell r="O408" t="str">
            <v>21.3X29.1</v>
          </cell>
          <cell r="P408">
            <v>15400.000000000002</v>
          </cell>
          <cell r="AG408">
            <v>402</v>
          </cell>
        </row>
        <row r="409">
          <cell r="A409" t="str">
            <v>P045</v>
          </cell>
          <cell r="B409" t="str">
            <v>HOA HOC TRO 1</v>
          </cell>
          <cell r="C409" t="str">
            <v>04 8217162</v>
          </cell>
          <cell r="D409" t="str">
            <v>04 9781477</v>
          </cell>
          <cell r="E409" t="str">
            <v>5 Hoa Ma, HN/ 502 Le Van Sy, Q3, HCM</v>
          </cell>
          <cell r="F409" t="str">
            <v>Mr Lu Thanh Nam 0912259088</v>
          </cell>
          <cell r="G409" t="str">
            <v>Mon/ Weekly</v>
          </cell>
          <cell r="H409">
            <v>200000</v>
          </cell>
          <cell r="K409" t="str">
            <v>P045FirstFPFC</v>
          </cell>
          <cell r="L409" t="str">
            <v>First</v>
          </cell>
          <cell r="M409" t="str">
            <v>FPFC</v>
          </cell>
          <cell r="N409" t="str">
            <v>19.5X27.7</v>
          </cell>
          <cell r="O409" t="str">
            <v>21.3X29.1</v>
          </cell>
          <cell r="P409">
            <v>37400</v>
          </cell>
          <cell r="AC409">
            <v>15</v>
          </cell>
          <cell r="AD409">
            <v>10</v>
          </cell>
          <cell r="AE409">
            <v>150</v>
          </cell>
          <cell r="AF409" t="str">
            <v>CD</v>
          </cell>
          <cell r="AG409">
            <v>403</v>
          </cell>
        </row>
        <row r="410">
          <cell r="A410" t="str">
            <v>P045</v>
          </cell>
          <cell r="B410" t="str">
            <v>8A</v>
          </cell>
          <cell r="K410" t="str">
            <v>P045SecondFPFC</v>
          </cell>
          <cell r="L410" t="str">
            <v>Second</v>
          </cell>
          <cell r="M410" t="str">
            <v>FPFC</v>
          </cell>
          <cell r="N410" t="str">
            <v>19.5X27.7</v>
          </cell>
          <cell r="O410" t="str">
            <v>21.3X29.1</v>
          </cell>
          <cell r="P410">
            <v>35200</v>
          </cell>
          <cell r="AG410">
            <v>404</v>
          </cell>
        </row>
        <row r="411">
          <cell r="A411" t="str">
            <v>P045</v>
          </cell>
          <cell r="B411" t="str">
            <v>HOA HOC TRO 2</v>
          </cell>
          <cell r="C411" t="str">
            <v>04 8217162</v>
          </cell>
          <cell r="D411" t="str">
            <v>04 9781477</v>
          </cell>
          <cell r="E411" t="str">
            <v>5 Hoa Ma, HN/ 502 Le Van Sy, Q3, HCM</v>
          </cell>
          <cell r="F411" t="str">
            <v>Mr Lu Thanh Nam 0912259088</v>
          </cell>
          <cell r="G411" t="str">
            <v>2/ Weekly</v>
          </cell>
          <cell r="H411">
            <v>200000</v>
          </cell>
          <cell r="K411" t="str">
            <v>P045Cover 2FPFC</v>
          </cell>
          <cell r="L411" t="str">
            <v>Cover 2</v>
          </cell>
          <cell r="M411" t="str">
            <v>FPFC</v>
          </cell>
          <cell r="N411" t="str">
            <v>19.5X27.7</v>
          </cell>
          <cell r="O411" t="str">
            <v>21.3X29.1</v>
          </cell>
          <cell r="P411">
            <v>44000</v>
          </cell>
          <cell r="AC411">
            <v>15</v>
          </cell>
          <cell r="AD411">
            <v>10</v>
          </cell>
          <cell r="AE411">
            <v>150</v>
          </cell>
          <cell r="AF411" t="str">
            <v>CD</v>
          </cell>
          <cell r="AG411">
            <v>405</v>
          </cell>
        </row>
        <row r="412">
          <cell r="A412" t="str">
            <v>P045</v>
          </cell>
          <cell r="B412" t="str">
            <v>HOA HOC TRO 2</v>
          </cell>
          <cell r="C412" t="str">
            <v>04 8217162</v>
          </cell>
          <cell r="D412" t="str">
            <v>04 9781477</v>
          </cell>
          <cell r="E412" t="str">
            <v>5 Hoa Ma, HN/ 502 Le Van Sy, Q3, HCM</v>
          </cell>
          <cell r="F412" t="str">
            <v>Mr Lu Thanh Nam 0912259088</v>
          </cell>
          <cell r="G412" t="str">
            <v>2/ Weekly</v>
          </cell>
          <cell r="H412">
            <v>200000</v>
          </cell>
          <cell r="K412" t="str">
            <v>P045Cover 3FPFC</v>
          </cell>
          <cell r="L412" t="str">
            <v>Cover 3</v>
          </cell>
          <cell r="M412" t="str">
            <v>FPFC</v>
          </cell>
          <cell r="N412" t="str">
            <v>19.5X27.7</v>
          </cell>
          <cell r="O412" t="str">
            <v>21.3X29.1</v>
          </cell>
          <cell r="P412">
            <v>40700</v>
          </cell>
          <cell r="AC412">
            <v>15</v>
          </cell>
          <cell r="AD412">
            <v>10</v>
          </cell>
          <cell r="AE412">
            <v>150</v>
          </cell>
          <cell r="AF412" t="str">
            <v>CD</v>
          </cell>
          <cell r="AG412">
            <v>406</v>
          </cell>
        </row>
        <row r="413">
          <cell r="A413" t="str">
            <v>P045</v>
          </cell>
          <cell r="B413" t="str">
            <v>8A</v>
          </cell>
          <cell r="K413" t="str">
            <v>P045Cover 4FPFC</v>
          </cell>
          <cell r="L413" t="str">
            <v>Cover 4</v>
          </cell>
          <cell r="M413" t="str">
            <v>FPFC</v>
          </cell>
          <cell r="N413" t="str">
            <v>20.2X27.7</v>
          </cell>
          <cell r="O413" t="str">
            <v>21.3X29.1</v>
          </cell>
          <cell r="P413">
            <v>51700.000000000007</v>
          </cell>
          <cell r="AG413">
            <v>407</v>
          </cell>
        </row>
        <row r="414">
          <cell r="A414" t="str">
            <v>DEP</v>
          </cell>
          <cell r="B414" t="str">
            <v>HOA HOC TRO 1</v>
          </cell>
          <cell r="C414" t="str">
            <v>04 8217162</v>
          </cell>
          <cell r="D414" t="str">
            <v>04 9781477</v>
          </cell>
          <cell r="E414" t="str">
            <v>5 Hoa Ma, HN/ 502 Le Van Sy, Q3, HCM</v>
          </cell>
          <cell r="F414" t="str">
            <v>Mr Lu Thanh Nam 0912259088</v>
          </cell>
          <cell r="G414" t="str">
            <v>Mon/ Weekly</v>
          </cell>
          <cell r="H414">
            <v>200000</v>
          </cell>
          <cell r="K414" t="str">
            <v>DEP</v>
          </cell>
          <cell r="L414" t="str">
            <v>Cover 2</v>
          </cell>
          <cell r="M414" t="str">
            <v>FPFC</v>
          </cell>
          <cell r="N414" t="str">
            <v>13.5X23.5</v>
          </cell>
          <cell r="P414">
            <v>27170.000000000004</v>
          </cell>
          <cell r="AC414">
            <v>15</v>
          </cell>
          <cell r="AD414">
            <v>10</v>
          </cell>
          <cell r="AE414">
            <v>150</v>
          </cell>
          <cell r="AF414" t="str">
            <v>CD</v>
          </cell>
          <cell r="AG414">
            <v>408</v>
          </cell>
        </row>
        <row r="415">
          <cell r="A415" t="str">
            <v>P046</v>
          </cell>
          <cell r="B415" t="str">
            <v>HOA HOC TRO 1</v>
          </cell>
          <cell r="C415" t="str">
            <v>04 8217162</v>
          </cell>
          <cell r="D415" t="str">
            <v>04 9781477</v>
          </cell>
          <cell r="E415" t="str">
            <v>5 Hoa Ma, HN/ 502 Le Van Sy, Q3, HCM</v>
          </cell>
          <cell r="F415" t="str">
            <v>Mr Lu Thanh Nam 0912259088</v>
          </cell>
          <cell r="G415" t="str">
            <v>Mon/ Weekly</v>
          </cell>
          <cell r="H415">
            <v>200000</v>
          </cell>
          <cell r="K415" t="str">
            <v>P046Cover 2FPFC</v>
          </cell>
          <cell r="L415" t="str">
            <v>Cover 2</v>
          </cell>
          <cell r="M415" t="str">
            <v>FPFC</v>
          </cell>
          <cell r="N415" t="str">
            <v>13.5X23.5</v>
          </cell>
          <cell r="P415">
            <v>27170.000000000004</v>
          </cell>
          <cell r="AC415">
            <v>15</v>
          </cell>
          <cell r="AD415">
            <v>10</v>
          </cell>
          <cell r="AE415">
            <v>150</v>
          </cell>
          <cell r="AF415" t="str">
            <v>CD</v>
          </cell>
          <cell r="AG415">
            <v>409</v>
          </cell>
        </row>
        <row r="416">
          <cell r="A416" t="str">
            <v>P046</v>
          </cell>
          <cell r="B416" t="str">
            <v>8A</v>
          </cell>
          <cell r="K416" t="str">
            <v>P046Cover 3FPFC</v>
          </cell>
          <cell r="L416" t="str">
            <v>Cover 3</v>
          </cell>
          <cell r="M416" t="str">
            <v>FPFC</v>
          </cell>
          <cell r="N416" t="str">
            <v>13.5X23.5</v>
          </cell>
          <cell r="P416">
            <v>27170.000000000004</v>
          </cell>
          <cell r="AG416">
            <v>410</v>
          </cell>
        </row>
        <row r="417">
          <cell r="A417" t="str">
            <v>P046</v>
          </cell>
          <cell r="K417" t="str">
            <v>P046InsideFPFC</v>
          </cell>
          <cell r="L417" t="str">
            <v>Inside</v>
          </cell>
          <cell r="M417" t="str">
            <v>FPFC</v>
          </cell>
          <cell r="N417" t="str">
            <v>13.5X23.5</v>
          </cell>
          <cell r="P417">
            <v>23100.000000000004</v>
          </cell>
          <cell r="AG417">
            <v>411</v>
          </cell>
        </row>
        <row r="418">
          <cell r="A418" t="str">
            <v>P046</v>
          </cell>
          <cell r="K418" t="str">
            <v>P046InsideHPFC</v>
          </cell>
          <cell r="L418" t="str">
            <v>Inside</v>
          </cell>
          <cell r="M418" t="str">
            <v>HPFC</v>
          </cell>
          <cell r="N418" t="str">
            <v>12.5X10.5</v>
          </cell>
          <cell r="P418">
            <v>13200.000000000002</v>
          </cell>
          <cell r="AG418">
            <v>412</v>
          </cell>
        </row>
        <row r="419">
          <cell r="A419" t="str">
            <v>P046</v>
          </cell>
          <cell r="K419" t="str">
            <v>P046InsideVPFC</v>
          </cell>
          <cell r="L419" t="str">
            <v>Inside</v>
          </cell>
          <cell r="M419" t="str">
            <v>VPFC</v>
          </cell>
          <cell r="N419" t="str">
            <v>6X21.5</v>
          </cell>
          <cell r="P419">
            <v>13200.000000000002</v>
          </cell>
          <cell r="AG419">
            <v>413</v>
          </cell>
        </row>
        <row r="420">
          <cell r="A420" t="str">
            <v>HOA HOC TRO 1</v>
          </cell>
          <cell r="B420" t="str">
            <v>HOA HOC TRO 2</v>
          </cell>
          <cell r="C420" t="str">
            <v>04 8217162</v>
          </cell>
          <cell r="D420" t="str">
            <v>04 9781477</v>
          </cell>
          <cell r="E420" t="str">
            <v>5 Hoa Ma, HN/ 502 Le Van Sy, Q3, HCM</v>
          </cell>
          <cell r="F420" t="str">
            <v>Mr Lu Thanh Nam 0912259088</v>
          </cell>
          <cell r="G420" t="str">
            <v>1,15/ Monthly</v>
          </cell>
          <cell r="H420">
            <v>170000</v>
          </cell>
          <cell r="K420" t="str">
            <v>HOA HOC TRO 1</v>
          </cell>
          <cell r="L420" t="str">
            <v>Cover 4</v>
          </cell>
          <cell r="M420" t="str">
            <v>FPFC</v>
          </cell>
          <cell r="N420" t="str">
            <v>24X30</v>
          </cell>
          <cell r="P420">
            <v>40040</v>
          </cell>
          <cell r="AC420">
            <v>15</v>
          </cell>
          <cell r="AD420">
            <v>10</v>
          </cell>
          <cell r="AE420">
            <v>150</v>
          </cell>
          <cell r="AF420" t="str">
            <v>CD</v>
          </cell>
          <cell r="AG420">
            <v>414</v>
          </cell>
        </row>
        <row r="421">
          <cell r="A421" t="str">
            <v>P047</v>
          </cell>
          <cell r="B421" t="str">
            <v>HOA HOC TRO 2</v>
          </cell>
          <cell r="C421" t="str">
            <v>04 8217162</v>
          </cell>
          <cell r="D421" t="str">
            <v>04 9781477</v>
          </cell>
          <cell r="E421" t="str">
            <v>5 Hoa Ma, HN/ 502 Le Van Sy, Q3, HCM</v>
          </cell>
          <cell r="F421" t="str">
            <v>Mr Lu Thanh Nam 0912259088</v>
          </cell>
          <cell r="G421" t="str">
            <v>1,15/ Monthly</v>
          </cell>
          <cell r="H421">
            <v>170000</v>
          </cell>
          <cell r="K421" t="str">
            <v>P047Cover 4FPFC</v>
          </cell>
          <cell r="L421" t="str">
            <v>Cover 4</v>
          </cell>
          <cell r="M421" t="str">
            <v>FPFC</v>
          </cell>
          <cell r="N421" t="str">
            <v>24X30</v>
          </cell>
          <cell r="P421">
            <v>40040</v>
          </cell>
          <cell r="AC421">
            <v>15</v>
          </cell>
          <cell r="AD421">
            <v>10</v>
          </cell>
          <cell r="AE421">
            <v>150</v>
          </cell>
          <cell r="AF421" t="str">
            <v>CD</v>
          </cell>
          <cell r="AG421">
            <v>415</v>
          </cell>
        </row>
        <row r="422">
          <cell r="A422" t="str">
            <v>P047</v>
          </cell>
          <cell r="B422" t="str">
            <v>8A</v>
          </cell>
          <cell r="K422" t="str">
            <v>P047Cover 41/3VPFC</v>
          </cell>
          <cell r="L422" t="str">
            <v>Cover 4</v>
          </cell>
          <cell r="M422" t="str">
            <v>1/3VPFC</v>
          </cell>
          <cell r="N422" t="str">
            <v>8X30</v>
          </cell>
          <cell r="P422">
            <v>20020</v>
          </cell>
          <cell r="AG422">
            <v>416</v>
          </cell>
        </row>
        <row r="423">
          <cell r="A423" t="str">
            <v>P047</v>
          </cell>
          <cell r="B423" t="str">
            <v>PHU NU THE THAO</v>
          </cell>
          <cell r="C423">
            <v>9102539</v>
          </cell>
          <cell r="D423">
            <v>8222143</v>
          </cell>
          <cell r="E423" t="str">
            <v>48 Nguyen Dinh Chieu Q1</v>
          </cell>
          <cell r="F423" t="str">
            <v>Ms Yen 0903735445</v>
          </cell>
          <cell r="G423" t="str">
            <v>5/ Monthly</v>
          </cell>
          <cell r="H423">
            <v>40000</v>
          </cell>
          <cell r="I423">
            <v>0.15</v>
          </cell>
          <cell r="K423" t="str">
            <v>P047Cover 2FPFC</v>
          </cell>
          <cell r="L423" t="str">
            <v>Cover 2</v>
          </cell>
          <cell r="M423" t="str">
            <v>FPFC</v>
          </cell>
          <cell r="N423" t="str">
            <v>24X30</v>
          </cell>
          <cell r="P423">
            <v>33000</v>
          </cell>
          <cell r="S423">
            <v>0.15</v>
          </cell>
          <cell r="AC423">
            <v>15</v>
          </cell>
          <cell r="AD423">
            <v>10</v>
          </cell>
          <cell r="AE423">
            <v>150</v>
          </cell>
          <cell r="AF423" t="str">
            <v>CD</v>
          </cell>
          <cell r="AG423">
            <v>417</v>
          </cell>
        </row>
        <row r="424">
          <cell r="A424" t="str">
            <v>P047</v>
          </cell>
          <cell r="B424" t="str">
            <v>PHU NU THE THAO</v>
          </cell>
          <cell r="C424">
            <v>9102539</v>
          </cell>
          <cell r="D424">
            <v>8222143</v>
          </cell>
          <cell r="E424" t="str">
            <v>48 Nguyen Dinh Chieu Q1</v>
          </cell>
          <cell r="F424" t="str">
            <v>Ms Yen 0903735445</v>
          </cell>
          <cell r="G424" t="str">
            <v>5/ Monthly</v>
          </cell>
          <cell r="H424">
            <v>40000</v>
          </cell>
          <cell r="I424">
            <v>0.15</v>
          </cell>
          <cell r="K424" t="str">
            <v>P047Cover 3FPFC</v>
          </cell>
          <cell r="L424" t="str">
            <v>Cover 3</v>
          </cell>
          <cell r="M424" t="str">
            <v>FPFC</v>
          </cell>
          <cell r="N424" t="str">
            <v>24X30</v>
          </cell>
          <cell r="P424">
            <v>33000</v>
          </cell>
          <cell r="S424">
            <v>0.15</v>
          </cell>
          <cell r="AC424">
            <v>15</v>
          </cell>
          <cell r="AD424">
            <v>10</v>
          </cell>
          <cell r="AE424">
            <v>150</v>
          </cell>
          <cell r="AF424" t="str">
            <v>CD</v>
          </cell>
          <cell r="AG424">
            <v>418</v>
          </cell>
        </row>
        <row r="425">
          <cell r="A425" t="str">
            <v>P047</v>
          </cell>
          <cell r="B425" t="str">
            <v>12E</v>
          </cell>
          <cell r="K425" t="str">
            <v>P047Cover 21/3VPFC</v>
          </cell>
          <cell r="L425" t="str">
            <v>Cover 2</v>
          </cell>
          <cell r="M425" t="str">
            <v>1/3VPFC</v>
          </cell>
          <cell r="N425" t="str">
            <v>8X30</v>
          </cell>
          <cell r="P425">
            <v>16500</v>
          </cell>
          <cell r="AG425">
            <v>419</v>
          </cell>
        </row>
        <row r="426">
          <cell r="A426" t="str">
            <v>P047</v>
          </cell>
          <cell r="K426" t="str">
            <v>P047Cover 31/3VPFC</v>
          </cell>
          <cell r="L426" t="str">
            <v>Cover 3</v>
          </cell>
          <cell r="M426" t="str">
            <v>1/3VPFC</v>
          </cell>
          <cell r="N426" t="str">
            <v>8X30</v>
          </cell>
          <cell r="P426">
            <v>16500</v>
          </cell>
          <cell r="AG426">
            <v>420</v>
          </cell>
        </row>
        <row r="427">
          <cell r="A427" t="str">
            <v>P047</v>
          </cell>
          <cell r="B427" t="str">
            <v>PHU NU THE THAO</v>
          </cell>
          <cell r="C427">
            <v>9102539</v>
          </cell>
          <cell r="D427">
            <v>8222143</v>
          </cell>
          <cell r="E427" t="str">
            <v>48 Nguyen Dinh Chieu Q1</v>
          </cell>
          <cell r="F427" t="str">
            <v>Ms Yen 0903735445</v>
          </cell>
          <cell r="G427" t="str">
            <v>5/ Monthly</v>
          </cell>
          <cell r="H427">
            <v>40000</v>
          </cell>
          <cell r="I427">
            <v>0.15</v>
          </cell>
          <cell r="K427" t="str">
            <v>P047InsideFPFC</v>
          </cell>
          <cell r="L427" t="str">
            <v>Inside</v>
          </cell>
          <cell r="M427" t="str">
            <v>FPFC</v>
          </cell>
          <cell r="N427" t="str">
            <v>24X30</v>
          </cell>
          <cell r="P427">
            <v>28270.000000000004</v>
          </cell>
          <cell r="S427">
            <v>0.15</v>
          </cell>
          <cell r="AC427">
            <v>15</v>
          </cell>
          <cell r="AD427">
            <v>10</v>
          </cell>
          <cell r="AE427">
            <v>150</v>
          </cell>
          <cell r="AF427" t="str">
            <v>CD</v>
          </cell>
          <cell r="AG427">
            <v>421</v>
          </cell>
        </row>
        <row r="428">
          <cell r="A428" t="str">
            <v>P047</v>
          </cell>
          <cell r="B428" t="str">
            <v>12E</v>
          </cell>
          <cell r="K428" t="str">
            <v>P047InsideHPFC</v>
          </cell>
          <cell r="L428" t="str">
            <v>Inside</v>
          </cell>
          <cell r="M428" t="str">
            <v>HPFC</v>
          </cell>
          <cell r="N428" t="str">
            <v>24X15</v>
          </cell>
          <cell r="P428">
            <v>15730.000000000002</v>
          </cell>
          <cell r="AG428">
            <v>422</v>
          </cell>
        </row>
        <row r="429">
          <cell r="A429" t="str">
            <v>P047</v>
          </cell>
          <cell r="K429" t="str">
            <v>P047InsideVPFC</v>
          </cell>
          <cell r="L429" t="str">
            <v>Inside</v>
          </cell>
          <cell r="M429" t="str">
            <v>VPFC</v>
          </cell>
          <cell r="N429" t="str">
            <v>12X30</v>
          </cell>
          <cell r="P429">
            <v>15730.000000000002</v>
          </cell>
          <cell r="AG429">
            <v>423</v>
          </cell>
        </row>
        <row r="430">
          <cell r="A430" t="str">
            <v>P047</v>
          </cell>
          <cell r="K430" t="str">
            <v>P047Content1/4VPFC</v>
          </cell>
          <cell r="L430" t="str">
            <v>Content</v>
          </cell>
          <cell r="M430" t="str">
            <v>1/4VPFC</v>
          </cell>
          <cell r="N430" t="str">
            <v>12X15</v>
          </cell>
          <cell r="P430">
            <v>10120</v>
          </cell>
          <cell r="AG430">
            <v>424</v>
          </cell>
        </row>
        <row r="431">
          <cell r="A431" t="str">
            <v>P047</v>
          </cell>
          <cell r="K431" t="str">
            <v>P047Inside- Consicutive1/3VPFC</v>
          </cell>
          <cell r="L431" t="str">
            <v>Inside- Consicutive</v>
          </cell>
          <cell r="M431" t="str">
            <v>1/3VPFC</v>
          </cell>
          <cell r="N431" t="str">
            <v>8X30</v>
          </cell>
          <cell r="P431">
            <v>16500</v>
          </cell>
          <cell r="AG431">
            <v>425</v>
          </cell>
        </row>
        <row r="432">
          <cell r="A432" t="str">
            <v>HOA HOC TRO 2</v>
          </cell>
          <cell r="B432" t="str">
            <v>PHU NU THE THAO</v>
          </cell>
          <cell r="C432">
            <v>9102539</v>
          </cell>
          <cell r="D432">
            <v>8222143</v>
          </cell>
          <cell r="E432" t="str">
            <v>48 Nguyen Dinh Chieu Q1</v>
          </cell>
          <cell r="F432" t="str">
            <v>Ms Yen 0903735445</v>
          </cell>
          <cell r="G432" t="str">
            <v>5/ Monthly</v>
          </cell>
          <cell r="H432">
            <v>40000</v>
          </cell>
          <cell r="I432">
            <v>0.15</v>
          </cell>
          <cell r="K432" t="str">
            <v>HOA HOC TRO 2</v>
          </cell>
          <cell r="L432" t="str">
            <v>Cover 4</v>
          </cell>
          <cell r="M432" t="str">
            <v>FPFC</v>
          </cell>
          <cell r="N432" t="str">
            <v>19.5X27.5</v>
          </cell>
          <cell r="P432">
            <v>30000</v>
          </cell>
          <cell r="S432">
            <v>0.15</v>
          </cell>
          <cell r="AC432">
            <v>15</v>
          </cell>
          <cell r="AD432">
            <v>10</v>
          </cell>
          <cell r="AE432">
            <v>150</v>
          </cell>
          <cell r="AF432" t="str">
            <v>CD</v>
          </cell>
          <cell r="AG432">
            <v>426</v>
          </cell>
        </row>
        <row r="433">
          <cell r="A433" t="str">
            <v>P048</v>
          </cell>
          <cell r="B433" t="str">
            <v>PHU NU THE THAO</v>
          </cell>
          <cell r="C433">
            <v>9102539</v>
          </cell>
          <cell r="D433">
            <v>8222143</v>
          </cell>
          <cell r="E433" t="str">
            <v>48 Nguyen Dinh Chieu Q1</v>
          </cell>
          <cell r="F433" t="str">
            <v>Ms Yen 0903735445</v>
          </cell>
          <cell r="G433" t="str">
            <v>5/ Monthly</v>
          </cell>
          <cell r="H433">
            <v>40000</v>
          </cell>
          <cell r="I433">
            <v>0.15</v>
          </cell>
          <cell r="K433" t="str">
            <v>P048Cover 4FPFC</v>
          </cell>
          <cell r="L433" t="str">
            <v>Cover 4</v>
          </cell>
          <cell r="M433" t="str">
            <v>FPFC</v>
          </cell>
          <cell r="N433" t="str">
            <v>19.5X27.5</v>
          </cell>
          <cell r="P433">
            <v>30000</v>
          </cell>
          <cell r="S433">
            <v>0.15</v>
          </cell>
          <cell r="AC433">
            <v>15</v>
          </cell>
          <cell r="AD433">
            <v>10</v>
          </cell>
          <cell r="AE433">
            <v>150</v>
          </cell>
          <cell r="AF433" t="str">
            <v>CD</v>
          </cell>
          <cell r="AG433">
            <v>427</v>
          </cell>
        </row>
        <row r="434">
          <cell r="A434" t="str">
            <v>P048</v>
          </cell>
          <cell r="B434" t="str">
            <v>12E</v>
          </cell>
          <cell r="K434" t="str">
            <v>P048Cover 2FPFC</v>
          </cell>
          <cell r="L434" t="str">
            <v>Cover 2</v>
          </cell>
          <cell r="M434" t="str">
            <v>FPFC</v>
          </cell>
          <cell r="N434" t="str">
            <v>19.5X27.5</v>
          </cell>
          <cell r="P434">
            <v>28000</v>
          </cell>
          <cell r="AG434">
            <v>428</v>
          </cell>
        </row>
        <row r="435">
          <cell r="A435" t="str">
            <v>P048</v>
          </cell>
          <cell r="K435" t="str">
            <v>P048Cover 3FPFC</v>
          </cell>
          <cell r="L435" t="str">
            <v>Cover 3</v>
          </cell>
          <cell r="M435" t="str">
            <v>FPFC</v>
          </cell>
          <cell r="N435" t="str">
            <v>19.5X27.5</v>
          </cell>
          <cell r="P435">
            <v>28000</v>
          </cell>
          <cell r="AG435">
            <v>429</v>
          </cell>
        </row>
        <row r="436">
          <cell r="A436" t="str">
            <v>P048</v>
          </cell>
          <cell r="B436" t="str">
            <v>NGUOI LAO DONG CN</v>
          </cell>
          <cell r="C436">
            <v>9303373</v>
          </cell>
          <cell r="D436">
            <v>9303373</v>
          </cell>
          <cell r="E436" t="str">
            <v>19 Vo Van Tan, Q.3, Qp. HCM</v>
          </cell>
          <cell r="F436" t="str">
            <v>Ms Hien 098 8883754/ Ms Ha 0903122633</v>
          </cell>
          <cell r="G436" t="str">
            <v>Sun/ Weekly</v>
          </cell>
          <cell r="K436" t="str">
            <v>P048InsideFPFC</v>
          </cell>
          <cell r="L436" t="str">
            <v>Inside</v>
          </cell>
          <cell r="M436" t="str">
            <v>FPFC</v>
          </cell>
          <cell r="N436" t="str">
            <v>19.5X27.5</v>
          </cell>
          <cell r="P436">
            <v>20000</v>
          </cell>
          <cell r="AC436">
            <v>15</v>
          </cell>
          <cell r="AD436">
            <v>10</v>
          </cell>
          <cell r="AE436">
            <v>150</v>
          </cell>
          <cell r="AF436" t="str">
            <v>CD</v>
          </cell>
          <cell r="AG436">
            <v>430</v>
          </cell>
        </row>
        <row r="437">
          <cell r="A437" t="str">
            <v>P048</v>
          </cell>
          <cell r="B437" t="str">
            <v>11D</v>
          </cell>
          <cell r="K437" t="str">
            <v>P048InsideHPFC</v>
          </cell>
          <cell r="L437" t="str">
            <v>Inside</v>
          </cell>
          <cell r="M437" t="str">
            <v>HPFC</v>
          </cell>
          <cell r="N437" t="str">
            <v>19.5X13.5</v>
          </cell>
          <cell r="P437">
            <v>10500</v>
          </cell>
          <cell r="AG437">
            <v>431</v>
          </cell>
        </row>
        <row r="438">
          <cell r="A438" t="str">
            <v>P048</v>
          </cell>
          <cell r="K438" t="str">
            <v>P048InsideQPFC</v>
          </cell>
          <cell r="L438" t="str">
            <v>Inside</v>
          </cell>
          <cell r="M438" t="str">
            <v>QPFC</v>
          </cell>
          <cell r="N438" t="str">
            <v>9.5X13</v>
          </cell>
          <cell r="P438">
            <v>5500</v>
          </cell>
          <cell r="AG438">
            <v>432</v>
          </cell>
        </row>
        <row r="439">
          <cell r="A439" t="str">
            <v>P048</v>
          </cell>
          <cell r="B439" t="str">
            <v>NHA DEP</v>
          </cell>
          <cell r="D439">
            <v>8483810</v>
          </cell>
          <cell r="F439" t="str">
            <v>Ms Huong 0918291777</v>
          </cell>
          <cell r="G439" t="str">
            <v>5/ Monthly</v>
          </cell>
          <cell r="I439">
            <v>0.1</v>
          </cell>
          <cell r="K439" t="str">
            <v>P048Inside1/4HPFC</v>
          </cell>
          <cell r="L439" t="str">
            <v>Inside</v>
          </cell>
          <cell r="M439" t="str">
            <v>1/4HPFC</v>
          </cell>
          <cell r="N439" t="str">
            <v>19.5X7</v>
          </cell>
          <cell r="P439">
            <v>5500</v>
          </cell>
          <cell r="Y439">
            <v>0.1</v>
          </cell>
          <cell r="AC439">
            <v>15</v>
          </cell>
          <cell r="AD439">
            <v>15</v>
          </cell>
          <cell r="AE439">
            <v>175</v>
          </cell>
          <cell r="AF439" t="str">
            <v>CD</v>
          </cell>
          <cell r="AG439">
            <v>433</v>
          </cell>
        </row>
        <row r="440">
          <cell r="A440" t="str">
            <v>P048</v>
          </cell>
          <cell r="B440" t="str">
            <v>9G</v>
          </cell>
          <cell r="K440" t="str">
            <v>P048Strip ad</v>
          </cell>
          <cell r="L440" t="str">
            <v>Strip ad</v>
          </cell>
          <cell r="M440" t="str">
            <v>FPFC</v>
          </cell>
          <cell r="N440" t="str">
            <v>19.5X5</v>
          </cell>
          <cell r="P440">
            <v>5500</v>
          </cell>
          <cell r="AG440">
            <v>434</v>
          </cell>
        </row>
        <row r="441">
          <cell r="A441" t="str">
            <v>PHU NU THE THAO</v>
          </cell>
          <cell r="B441" t="str">
            <v>NGUOI LAO DONG CN</v>
          </cell>
          <cell r="C441">
            <v>9303373</v>
          </cell>
          <cell r="D441">
            <v>9303373</v>
          </cell>
          <cell r="E441" t="str">
            <v>19 Vo Van Tan, Q.3, Qp. HCM</v>
          </cell>
          <cell r="F441" t="str">
            <v>Ms Hien 098 8883754/ Ms Ha 0903122633</v>
          </cell>
          <cell r="G441" t="str">
            <v>Sun/ Weekly</v>
          </cell>
          <cell r="K441" t="str">
            <v>PHU NU THE THAO</v>
          </cell>
          <cell r="L441" t="str">
            <v>Last</v>
          </cell>
          <cell r="M441" t="str">
            <v>FPFC</v>
          </cell>
          <cell r="N441" t="str">
            <v>26.5X37</v>
          </cell>
          <cell r="P441">
            <v>25000</v>
          </cell>
          <cell r="AC441">
            <v>15</v>
          </cell>
          <cell r="AD441">
            <v>10</v>
          </cell>
          <cell r="AE441">
            <v>150</v>
          </cell>
          <cell r="AF441" t="str">
            <v>CD</v>
          </cell>
          <cell r="AG441">
            <v>435</v>
          </cell>
        </row>
        <row r="442">
          <cell r="A442" t="str">
            <v>P049</v>
          </cell>
          <cell r="B442" t="str">
            <v>NGUOI LAO DONG CN</v>
          </cell>
          <cell r="C442">
            <v>9303373</v>
          </cell>
          <cell r="D442">
            <v>9303373</v>
          </cell>
          <cell r="E442" t="str">
            <v>19 Vo Van Tan, Q.3, Qp. HCM</v>
          </cell>
          <cell r="F442" t="str">
            <v>Ms Hien 098 8883754/ Ms Ha 0903122633</v>
          </cell>
          <cell r="G442" t="str">
            <v>Sun/ Weekly</v>
          </cell>
          <cell r="I442">
            <v>0.1</v>
          </cell>
          <cell r="K442" t="str">
            <v>P049LastFPFC</v>
          </cell>
          <cell r="L442" t="str">
            <v>Last</v>
          </cell>
          <cell r="M442" t="str">
            <v>FPFC</v>
          </cell>
          <cell r="N442" t="str">
            <v>26.5X37</v>
          </cell>
          <cell r="P442">
            <v>25000</v>
          </cell>
          <cell r="Y442">
            <v>0.1</v>
          </cell>
          <cell r="AC442">
            <v>15</v>
          </cell>
          <cell r="AD442">
            <v>10</v>
          </cell>
          <cell r="AE442">
            <v>150</v>
          </cell>
          <cell r="AF442" t="str">
            <v>CD</v>
          </cell>
          <cell r="AG442">
            <v>436</v>
          </cell>
        </row>
        <row r="443">
          <cell r="A443" t="str">
            <v>P049</v>
          </cell>
          <cell r="B443" t="str">
            <v>11D</v>
          </cell>
          <cell r="K443" t="str">
            <v>P049FirstFPFC</v>
          </cell>
          <cell r="L443" t="str">
            <v>First</v>
          </cell>
          <cell r="M443" t="str">
            <v>FPFC</v>
          </cell>
          <cell r="N443" t="str">
            <v>26.5X35.5</v>
          </cell>
          <cell r="P443">
            <v>16000</v>
          </cell>
          <cell r="AG443">
            <v>437</v>
          </cell>
        </row>
        <row r="444">
          <cell r="A444" t="str">
            <v>P049</v>
          </cell>
          <cell r="K444" t="str">
            <v>P049InsideFPFC</v>
          </cell>
          <cell r="L444" t="str">
            <v>Inside</v>
          </cell>
          <cell r="M444" t="str">
            <v>FPFC</v>
          </cell>
          <cell r="N444" t="str">
            <v>26.5X37</v>
          </cell>
          <cell r="O444" t="str">
            <v>23.6X28.1</v>
          </cell>
          <cell r="P444">
            <v>14000</v>
          </cell>
          <cell r="AG444">
            <v>438</v>
          </cell>
        </row>
        <row r="445">
          <cell r="A445" t="str">
            <v>P049</v>
          </cell>
          <cell r="B445" t="str">
            <v>BO SUU TAP NHA DEP</v>
          </cell>
          <cell r="D445">
            <v>8483810</v>
          </cell>
          <cell r="F445" t="str">
            <v>Ms Huong 0918291777</v>
          </cell>
          <cell r="G445" t="str">
            <v>5/ Monthly</v>
          </cell>
          <cell r="K445" t="str">
            <v>P049InsideHPFC</v>
          </cell>
          <cell r="L445" t="str">
            <v>Inside</v>
          </cell>
          <cell r="M445" t="str">
            <v>HPFC</v>
          </cell>
          <cell r="N445" t="str">
            <v>26.5X17.5</v>
          </cell>
          <cell r="P445">
            <v>7000</v>
          </cell>
          <cell r="AC445">
            <v>15</v>
          </cell>
          <cell r="AD445">
            <v>15</v>
          </cell>
          <cell r="AE445">
            <v>175</v>
          </cell>
          <cell r="AF445" t="str">
            <v>CD</v>
          </cell>
          <cell r="AG445">
            <v>439</v>
          </cell>
        </row>
        <row r="446">
          <cell r="A446" t="str">
            <v>P049</v>
          </cell>
          <cell r="B446" t="str">
            <v>9G</v>
          </cell>
          <cell r="K446" t="str">
            <v>P049Strip ad</v>
          </cell>
          <cell r="L446" t="str">
            <v>Strip ad</v>
          </cell>
          <cell r="M446" t="str">
            <v>FPFC</v>
          </cell>
          <cell r="N446" t="str">
            <v>26.5X4.5</v>
          </cell>
          <cell r="P446">
            <v>2200</v>
          </cell>
          <cell r="AG446">
            <v>440</v>
          </cell>
        </row>
        <row r="447">
          <cell r="A447" t="str">
            <v>NGUOI LAO DONG</v>
          </cell>
          <cell r="B447" t="str">
            <v>NHA DEP</v>
          </cell>
          <cell r="D447">
            <v>8483810</v>
          </cell>
          <cell r="F447" t="str">
            <v>Ms Huong 0918291777</v>
          </cell>
          <cell r="G447" t="str">
            <v>5/ Monthly</v>
          </cell>
          <cell r="I447">
            <v>0.1</v>
          </cell>
          <cell r="K447" t="str">
            <v>NGUOI LAO DONG</v>
          </cell>
          <cell r="L447" t="str">
            <v>Cover 2</v>
          </cell>
          <cell r="M447" t="str">
            <v>FPFC</v>
          </cell>
          <cell r="N447" t="str">
            <v>19.4X23.9</v>
          </cell>
          <cell r="P447">
            <v>26400.000000000004</v>
          </cell>
          <cell r="Y447">
            <v>0.1</v>
          </cell>
          <cell r="AC447">
            <v>15</v>
          </cell>
          <cell r="AD447">
            <v>15</v>
          </cell>
          <cell r="AE447">
            <v>175</v>
          </cell>
          <cell r="AF447" t="str">
            <v>CD</v>
          </cell>
          <cell r="AG447">
            <v>441</v>
          </cell>
        </row>
        <row r="448">
          <cell r="A448" t="str">
            <v>P050</v>
          </cell>
          <cell r="B448" t="str">
            <v>NHA DEP</v>
          </cell>
          <cell r="D448">
            <v>8483810</v>
          </cell>
          <cell r="F448" t="str">
            <v>Ms Huong 0918291777</v>
          </cell>
          <cell r="G448" t="str">
            <v>5/ Monthly</v>
          </cell>
          <cell r="I448">
            <v>0.1</v>
          </cell>
          <cell r="K448" t="str">
            <v>P050Cover 2FPFC</v>
          </cell>
          <cell r="L448" t="str">
            <v>Cover 2</v>
          </cell>
          <cell r="M448" t="str">
            <v>FPFC</v>
          </cell>
          <cell r="N448" t="str">
            <v>19.4X23.9</v>
          </cell>
          <cell r="P448">
            <v>26400.000000000004</v>
          </cell>
          <cell r="Y448">
            <v>0.1</v>
          </cell>
          <cell r="AC448">
            <v>15</v>
          </cell>
          <cell r="AD448">
            <v>15</v>
          </cell>
          <cell r="AE448">
            <v>175</v>
          </cell>
          <cell r="AF448" t="str">
            <v>CD</v>
          </cell>
          <cell r="AG448">
            <v>442</v>
          </cell>
        </row>
        <row r="449">
          <cell r="A449" t="str">
            <v>P050</v>
          </cell>
          <cell r="B449" t="str">
            <v>9G</v>
          </cell>
          <cell r="K449" t="str">
            <v>P050Cover 3FPFC</v>
          </cell>
          <cell r="L449" t="str">
            <v>Cover 3</v>
          </cell>
          <cell r="M449" t="str">
            <v>FPFC</v>
          </cell>
          <cell r="N449" t="str">
            <v>19.4X23.9</v>
          </cell>
          <cell r="O449" t="str">
            <v>23.6X28.1</v>
          </cell>
          <cell r="P449">
            <v>24200.000000000004</v>
          </cell>
          <cell r="AG449">
            <v>443</v>
          </cell>
        </row>
        <row r="450">
          <cell r="A450" t="str">
            <v>P050</v>
          </cell>
          <cell r="K450" t="str">
            <v>P050Cover 4FPFC</v>
          </cell>
          <cell r="L450" t="str">
            <v>Cover 4</v>
          </cell>
          <cell r="M450" t="str">
            <v>FPFC</v>
          </cell>
          <cell r="N450" t="str">
            <v>23X27.5</v>
          </cell>
          <cell r="O450" t="str">
            <v>23.6X28.1</v>
          </cell>
          <cell r="P450">
            <v>28600.000000000004</v>
          </cell>
          <cell r="AG450">
            <v>444</v>
          </cell>
        </row>
        <row r="451">
          <cell r="A451" t="str">
            <v>P050</v>
          </cell>
          <cell r="K451" t="str">
            <v>P050InsideFPFC</v>
          </cell>
          <cell r="L451" t="str">
            <v>Inside</v>
          </cell>
          <cell r="M451" t="str">
            <v>FPFC</v>
          </cell>
          <cell r="N451" t="str">
            <v>19.4X23.9</v>
          </cell>
          <cell r="P451">
            <v>19800</v>
          </cell>
          <cell r="AG451">
            <v>445</v>
          </cell>
        </row>
      </sheetData>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ER "/>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2"/>
      <sheetName val="P3"/>
      <sheetName val="P3 to P4 New"/>
      <sheetName val="P4"/>
      <sheetName val="P3 template for Automation"/>
      <sheetName val="P3_to_P4_New"/>
      <sheetName val="P3_template_for_Automation"/>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4B29F-A12B-45A1-AA3F-142F9C480C54}">
  <dimension ref="A2:IV25"/>
  <sheetViews>
    <sheetView showGridLines="0" tabSelected="1" zoomScale="90" zoomScaleNormal="90" workbookViewId="0">
      <selection activeCell="C13" sqref="C13"/>
    </sheetView>
  </sheetViews>
  <sheetFormatPr defaultColWidth="15.6328125" defaultRowHeight="13"/>
  <cols>
    <col min="1" max="1" width="3.453125" style="5" customWidth="1"/>
    <col min="2" max="2" width="6.36328125" style="5" customWidth="1"/>
    <col min="3" max="3" width="85.36328125" style="5" customWidth="1"/>
    <col min="4" max="4" width="8.1796875" style="5" customWidth="1"/>
    <col min="5" max="5" width="12" style="6" customWidth="1"/>
    <col min="6" max="6" width="15.36328125" style="5" customWidth="1"/>
    <col min="7" max="7" width="15.6328125" style="7" customWidth="1"/>
    <col min="8" max="8" width="25.453125" style="5" customWidth="1"/>
    <col min="9" max="9" width="12" style="5" customWidth="1"/>
    <col min="10" max="10" width="12.1796875" style="5" customWidth="1"/>
    <col min="11" max="249" width="8.81640625" style="5" customWidth="1"/>
    <col min="250" max="250" width="3.453125" style="5" customWidth="1"/>
    <col min="251" max="251" width="10.6328125" style="5" customWidth="1"/>
    <col min="252" max="252" width="54.81640625" style="5" customWidth="1"/>
    <col min="253" max="253" width="8.81640625" style="5" customWidth="1"/>
    <col min="254" max="254" width="13" style="5" customWidth="1"/>
    <col min="255" max="255" width="15.453125" style="5" customWidth="1"/>
    <col min="256" max="16384" width="15.6328125" style="5"/>
  </cols>
  <sheetData>
    <row r="2" spans="1:256" ht="14">
      <c r="A2" s="1"/>
      <c r="B2" s="8" t="s">
        <v>6</v>
      </c>
      <c r="C2" s="9" t="s">
        <v>7</v>
      </c>
      <c r="D2" s="9"/>
      <c r="G2" s="10"/>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c r="IQ2"/>
      <c r="IR2"/>
      <c r="IS2"/>
      <c r="IT2"/>
      <c r="IU2"/>
      <c r="IV2"/>
    </row>
    <row r="3" spans="1:256">
      <c r="A3" s="11"/>
      <c r="B3" s="12"/>
      <c r="C3" s="13" t="s">
        <v>8</v>
      </c>
      <c r="D3" s="13"/>
      <c r="F3" s="13" t="s">
        <v>9</v>
      </c>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c r="IQ3"/>
      <c r="IR3"/>
      <c r="IS3"/>
      <c r="IT3"/>
      <c r="IU3"/>
      <c r="IV3"/>
    </row>
    <row r="4" spans="1:256">
      <c r="A4" s="11"/>
      <c r="B4" s="12" t="s">
        <v>10</v>
      </c>
      <c r="C4" s="14" t="s">
        <v>11</v>
      </c>
      <c r="D4" s="14"/>
      <c r="F4" s="14" t="s">
        <v>12</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c r="IQ4"/>
      <c r="IR4"/>
      <c r="IS4"/>
      <c r="IT4"/>
      <c r="IU4"/>
      <c r="IV4"/>
    </row>
    <row r="5" spans="1:256">
      <c r="A5" s="11"/>
      <c r="B5" s="12" t="s">
        <v>13</v>
      </c>
      <c r="C5" s="13" t="s">
        <v>14</v>
      </c>
      <c r="D5" s="13"/>
      <c r="F5" s="13" t="s">
        <v>15</v>
      </c>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c r="IQ5"/>
      <c r="IR5"/>
      <c r="IS5"/>
      <c r="IT5"/>
      <c r="IU5"/>
      <c r="IV5"/>
    </row>
    <row r="6" spans="1:256">
      <c r="A6" s="11"/>
      <c r="B6" s="56" t="s">
        <v>16</v>
      </c>
      <c r="C6" s="56"/>
      <c r="D6" s="56"/>
      <c r="E6" s="56"/>
      <c r="F6" s="56"/>
      <c r="G6" s="56"/>
      <c r="H6" s="56"/>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c r="IQ6"/>
      <c r="IR6"/>
      <c r="IS6"/>
      <c r="IT6"/>
      <c r="IU6"/>
      <c r="IV6"/>
    </row>
    <row r="7" spans="1:256" ht="17.5">
      <c r="A7" s="1"/>
      <c r="B7" s="55" t="s">
        <v>32</v>
      </c>
      <c r="C7" s="55"/>
      <c r="D7" s="55"/>
      <c r="E7" s="55"/>
      <c r="F7" s="55"/>
      <c r="G7" s="55"/>
      <c r="H7" s="55"/>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c r="IQ7"/>
      <c r="IR7"/>
      <c r="IS7"/>
      <c r="IT7"/>
      <c r="IU7"/>
      <c r="IV7"/>
    </row>
    <row r="8" spans="1:256">
      <c r="A8" s="11"/>
      <c r="B8" s="15" t="s">
        <v>33</v>
      </c>
      <c r="C8" s="16"/>
      <c r="D8" s="16"/>
      <c r="E8" s="17"/>
      <c r="F8" s="18"/>
      <c r="G8" s="16"/>
      <c r="H8" s="17"/>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c r="IQ8"/>
      <c r="IR8"/>
      <c r="IS8"/>
      <c r="IT8"/>
      <c r="IU8"/>
      <c r="IV8"/>
    </row>
    <row r="9" spans="1:256" ht="11" customHeight="1">
      <c r="A9" s="11"/>
      <c r="B9" s="19"/>
      <c r="C9" s="20"/>
      <c r="D9" s="20"/>
      <c r="E9" s="21"/>
      <c r="F9" s="22"/>
      <c r="G9" s="20"/>
      <c r="H9" s="17"/>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c r="IQ9"/>
      <c r="IR9"/>
      <c r="IS9"/>
      <c r="IT9"/>
      <c r="IU9"/>
      <c r="IV9"/>
    </row>
    <row r="10" spans="1:256" ht="28" customHeight="1">
      <c r="A10" s="23"/>
      <c r="B10" s="49" t="s">
        <v>0</v>
      </c>
      <c r="C10" s="49" t="s">
        <v>1</v>
      </c>
      <c r="D10" s="49" t="s">
        <v>2</v>
      </c>
      <c r="E10" s="49" t="s">
        <v>17</v>
      </c>
      <c r="F10" s="49" t="s">
        <v>18</v>
      </c>
      <c r="G10" s="49" t="s">
        <v>3</v>
      </c>
      <c r="H10" s="49" t="s">
        <v>5</v>
      </c>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row>
    <row r="11" spans="1:256" ht="15.5">
      <c r="A11" s="23"/>
      <c r="B11" s="49"/>
      <c r="C11" s="49"/>
      <c r="D11" s="49"/>
      <c r="E11" s="49"/>
      <c r="F11" s="49"/>
      <c r="G11" s="49"/>
      <c r="H11" s="49"/>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N11" s="23"/>
      <c r="HO11" s="23"/>
      <c r="HP11" s="23"/>
      <c r="HQ11" s="23"/>
      <c r="HR11" s="23"/>
      <c r="HS11" s="23"/>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row>
    <row r="12" spans="1:256" ht="231.5">
      <c r="A12" s="23"/>
      <c r="B12" s="24">
        <v>1</v>
      </c>
      <c r="C12" s="25" t="s">
        <v>19</v>
      </c>
      <c r="D12" s="26" t="s">
        <v>4</v>
      </c>
      <c r="E12" s="26">
        <v>681</v>
      </c>
      <c r="F12" s="26">
        <v>79000</v>
      </c>
      <c r="G12" s="27">
        <f>F12*E12</f>
        <v>53799000</v>
      </c>
      <c r="H12" s="26" t="s">
        <v>20</v>
      </c>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c r="HV12" s="23"/>
      <c r="HW12" s="23"/>
      <c r="HX12" s="23"/>
      <c r="HY12" s="23"/>
      <c r="HZ12" s="23"/>
      <c r="IA12" s="23"/>
      <c r="IB12" s="23"/>
      <c r="IC12" s="23"/>
      <c r="ID12" s="23"/>
      <c r="IE12" s="23"/>
      <c r="IF12" s="23"/>
      <c r="IG12" s="23"/>
      <c r="IH12" s="23"/>
      <c r="II12" s="23"/>
      <c r="IJ12" s="23"/>
      <c r="IK12" s="23"/>
      <c r="IL12" s="23"/>
      <c r="IM12" s="23"/>
      <c r="IN12" s="23"/>
      <c r="IO12" s="23"/>
      <c r="IP12" s="23"/>
      <c r="IQ12" s="23"/>
      <c r="IR12" s="23"/>
      <c r="IS12" s="23"/>
      <c r="IT12" s="23"/>
      <c r="IU12" s="23"/>
      <c r="IV12" s="23"/>
    </row>
    <row r="13" spans="1:256" ht="247.5">
      <c r="A13" s="23"/>
      <c r="B13" s="24">
        <v>2</v>
      </c>
      <c r="C13" s="25" t="s">
        <v>21</v>
      </c>
      <c r="D13" s="26" t="s">
        <v>4</v>
      </c>
      <c r="E13" s="26">
        <v>4</v>
      </c>
      <c r="F13" s="26">
        <f>1.2*2.4*750000+300000</f>
        <v>2460000</v>
      </c>
      <c r="G13" s="27">
        <f>F13*E13</f>
        <v>9840000</v>
      </c>
      <c r="H13" s="26"/>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row>
    <row r="14" spans="1:256" ht="15.5">
      <c r="A14" s="23"/>
      <c r="B14" s="24">
        <v>2</v>
      </c>
      <c r="C14" s="28" t="s">
        <v>22</v>
      </c>
      <c r="D14" s="26" t="s">
        <v>23</v>
      </c>
      <c r="E14" s="29">
        <v>4</v>
      </c>
      <c r="F14" s="29">
        <v>900000</v>
      </c>
      <c r="G14" s="27">
        <f>F14*E14</f>
        <v>3600000</v>
      </c>
      <c r="H14" s="26"/>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row>
    <row r="15" spans="1:256" ht="15.5">
      <c r="A15" s="23"/>
      <c r="B15" s="30">
        <v>3</v>
      </c>
      <c r="C15" s="31" t="s">
        <v>24</v>
      </c>
      <c r="D15" s="32"/>
      <c r="E15" s="32"/>
      <c r="F15" s="32"/>
      <c r="G15" s="33"/>
      <c r="H15" s="34"/>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row>
    <row r="16" spans="1:256" ht="31">
      <c r="A16" s="23"/>
      <c r="B16" s="35"/>
      <c r="C16" s="36" t="s">
        <v>25</v>
      </c>
      <c r="D16" s="37" t="s">
        <v>4</v>
      </c>
      <c r="E16" s="37">
        <v>5</v>
      </c>
      <c r="F16" s="37">
        <f>220000</f>
        <v>220000</v>
      </c>
      <c r="G16" s="38"/>
      <c r="H16" s="39" t="s">
        <v>26</v>
      </c>
      <c r="I16" s="51" t="s">
        <v>36</v>
      </c>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row>
    <row r="17" spans="1:256" ht="15.5">
      <c r="A17" s="23"/>
      <c r="B17" s="40"/>
      <c r="C17" s="41" t="s">
        <v>27</v>
      </c>
      <c r="D17" s="42"/>
      <c r="E17" s="42"/>
      <c r="F17" s="42"/>
      <c r="G17" s="43"/>
      <c r="H17" s="44"/>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X17" s="23"/>
      <c r="HY17" s="23"/>
      <c r="HZ17" s="23"/>
      <c r="IA17" s="23"/>
      <c r="IB17" s="23"/>
      <c r="IC17" s="23"/>
      <c r="ID17" s="23"/>
      <c r="IE17" s="23"/>
      <c r="IF17" s="23"/>
      <c r="IG17" s="23"/>
      <c r="IH17" s="23"/>
      <c r="II17" s="23"/>
      <c r="IJ17" s="23"/>
      <c r="IK17" s="23"/>
      <c r="IL17" s="23"/>
      <c r="IM17" s="23"/>
      <c r="IN17" s="23"/>
      <c r="IO17" s="23"/>
      <c r="IP17" s="23"/>
      <c r="IQ17" s="23"/>
      <c r="IR17" s="23"/>
      <c r="IS17" s="23"/>
      <c r="IT17" s="23"/>
      <c r="IU17" s="23"/>
      <c r="IV17" s="23"/>
    </row>
    <row r="18" spans="1:256" ht="15.5">
      <c r="A18" s="23"/>
      <c r="B18" s="26"/>
      <c r="C18" s="28"/>
      <c r="D18" s="29"/>
      <c r="E18" s="29"/>
      <c r="F18" s="29"/>
      <c r="G18" s="27"/>
      <c r="H18" s="26"/>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c r="HV18" s="23"/>
      <c r="HW18" s="23"/>
      <c r="HX18" s="23"/>
      <c r="HY18" s="23"/>
      <c r="HZ18" s="23"/>
      <c r="IA18" s="23"/>
      <c r="IB18" s="23"/>
      <c r="IC18" s="23"/>
      <c r="ID18" s="23"/>
      <c r="IE18" s="23"/>
      <c r="IF18" s="23"/>
      <c r="IG18" s="23"/>
      <c r="IH18" s="23"/>
      <c r="II18" s="23"/>
      <c r="IJ18" s="23"/>
      <c r="IK18" s="23"/>
      <c r="IL18" s="23"/>
      <c r="IM18" s="23"/>
      <c r="IN18" s="23"/>
      <c r="IO18" s="23"/>
      <c r="IP18" s="23"/>
      <c r="IQ18" s="23"/>
      <c r="IR18" s="23"/>
      <c r="IS18" s="23"/>
      <c r="IT18" s="23"/>
      <c r="IU18" s="23"/>
      <c r="IV18" s="23"/>
    </row>
    <row r="19" spans="1:256" ht="19" customHeight="1">
      <c r="A19" s="23"/>
      <c r="B19" s="3"/>
      <c r="C19" s="53" t="s">
        <v>35</v>
      </c>
      <c r="D19" s="52" t="s">
        <v>28</v>
      </c>
      <c r="E19" s="52"/>
      <c r="F19" s="52"/>
      <c r="G19" s="50">
        <f>SUM(G12:G18)</f>
        <v>67239000</v>
      </c>
      <c r="H19" s="23"/>
      <c r="I19" s="45"/>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row>
    <row r="20" spans="1:256" ht="19" customHeight="1">
      <c r="A20" s="1"/>
      <c r="B20" s="1"/>
      <c r="C20" s="54"/>
      <c r="D20" s="52" t="s">
        <v>34</v>
      </c>
      <c r="E20" s="52"/>
      <c r="F20" s="52"/>
      <c r="G20" s="50">
        <f>SUM(G13:G19)</f>
        <v>80679000</v>
      </c>
      <c r="H20" s="1"/>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pans="1:256" ht="19" customHeight="1">
      <c r="A21" s="1"/>
      <c r="B21" s="1"/>
      <c r="C21" s="54"/>
      <c r="D21" s="52" t="s">
        <v>3</v>
      </c>
      <c r="E21" s="52"/>
      <c r="F21" s="52"/>
      <c r="G21" s="50">
        <f>SUM(G14:G20)</f>
        <v>151518000</v>
      </c>
      <c r="H21" s="1"/>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pans="1:256" ht="15.5">
      <c r="A22" s="1"/>
      <c r="B22" s="1"/>
      <c r="C22" s="46"/>
      <c r="D22" s="4"/>
      <c r="E22" s="47"/>
      <c r="F22" s="2"/>
      <c r="G22" s="2"/>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pans="1:256" ht="15.5">
      <c r="A23" s="1"/>
      <c r="B23" s="1"/>
      <c r="C23" s="46"/>
      <c r="D23" s="4"/>
      <c r="E23" s="47"/>
      <c r="F23" s="2"/>
      <c r="G23" s="2"/>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pans="1:256" ht="14">
      <c r="C24" s="1" t="s">
        <v>29</v>
      </c>
      <c r="D24" s="1"/>
      <c r="E24" s="48"/>
      <c r="F24" s="48" t="s">
        <v>30</v>
      </c>
    </row>
    <row r="25" spans="1:256" ht="14">
      <c r="C25" s="1" t="s">
        <v>31</v>
      </c>
      <c r="D25" s="1"/>
      <c r="E25" s="48"/>
      <c r="F25" s="1"/>
    </row>
  </sheetData>
  <mergeCells count="6">
    <mergeCell ref="D21:F21"/>
    <mergeCell ref="C19:C21"/>
    <mergeCell ref="B7:H7"/>
    <mergeCell ref="B6:H6"/>
    <mergeCell ref="D19:F19"/>
    <mergeCell ref="D20:F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Administrator</cp:lastModifiedBy>
  <cp:lastPrinted>2026-01-15T08:36:27Z</cp:lastPrinted>
  <dcterms:created xsi:type="dcterms:W3CDTF">2000-06-22T04:23:24Z</dcterms:created>
  <dcterms:modified xsi:type="dcterms:W3CDTF">2026-05-31T15:46:16Z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8FFCEDBC79C94C6386A1F41FEA312276</vt:lpwstr>
  </property>
  <property fmtid="{D5CDD505-2E9C-101B-9397-08002B2CF9AE}" pid="3" name="KSOProductBuildVer">
    <vt:lpwstr>1033-11.2.0.10351</vt:lpwstr>
  </property>
</Properties>
</file>